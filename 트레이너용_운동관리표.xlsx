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ou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오늘보다 이전 날짜의 최신 인바디</t>
      </text>
    </comment>
    <comment authorId="0" ref="B28">
      <text>
        <t xml:space="preserve">오늘보다 이전 날짜의 최신 인바디</t>
      </text>
    </comment>
    <comment authorId="0" ref="B43">
      <text>
        <t xml:space="preserve">오늘보다 이전 날짜의 최신 인바디</t>
      </text>
    </comment>
    <comment authorId="0" ref="B58">
      <text>
        <t xml:space="preserve">오늘보다 이전 날짜의 최신 인바디</t>
      </text>
    </comment>
    <comment authorId="0" ref="B73">
      <text>
        <t xml:space="preserve">오늘보다 이전 날짜의 최신 인바디</t>
      </text>
    </comment>
    <comment authorId="0" ref="B88">
      <text>
        <t xml:space="preserve">오늘보다 이전 날짜의 최신 인바디</t>
      </text>
    </comment>
    <comment authorId="0" ref="B103">
      <text>
        <t xml:space="preserve">오늘보다 이전 날짜의 최신 인바디</t>
      </text>
    </comment>
    <comment authorId="0" ref="B118">
      <text>
        <t xml:space="preserve">오늘보다 이전 날짜의 최신 인바디</t>
      </text>
    </comment>
    <comment authorId="0" ref="B133">
      <text>
        <t xml:space="preserve">오늘보다 이전 날짜의 최신 인바디</t>
      </text>
    </comment>
    <comment authorId="0" ref="B148">
      <text>
        <t xml:space="preserve">오늘보다 이전 날짜의 최신 인바디</t>
      </text>
    </comment>
    <comment authorId="0" ref="B163">
      <text>
        <t xml:space="preserve">오늘보다 이전 날짜의 최신 인바디</t>
      </text>
    </comment>
    <comment authorId="0" ref="B178">
      <text>
        <t xml:space="preserve">오늘보다 이전 날짜의 최신 인바디</t>
      </text>
    </comment>
    <comment authorId="0" ref="B193">
      <text>
        <t xml:space="preserve">오늘보다 이전 날짜의 최신 인바디</t>
      </text>
    </comment>
    <comment authorId="0" ref="B208">
      <text>
        <t xml:space="preserve">오늘보다 이전 날짜의 최신 인바디</t>
      </text>
    </comment>
    <comment authorId="0" ref="B223">
      <text>
        <t xml:space="preserve">오늘보다 이전 날짜의 최신 인바디</t>
      </text>
    </comment>
    <comment authorId="0" ref="B238">
      <text>
        <t xml:space="preserve">오늘보다 이전 날짜의 최신 인바디</t>
      </text>
    </comment>
    <comment authorId="0" ref="B253">
      <text>
        <t xml:space="preserve">오늘보다 이전 날짜의 최신 인바디</t>
      </text>
    </comment>
    <comment authorId="0" ref="B268">
      <text>
        <t xml:space="preserve">오늘보다 이전 날짜의 최신 인바디</t>
      </text>
    </comment>
    <comment authorId="0" ref="B283">
      <text>
        <t xml:space="preserve">오늘보다 이전 날짜의 최신 인바디</t>
      </text>
    </comment>
    <comment authorId="0" ref="B298">
      <text>
        <t xml:space="preserve">오늘보다 이전 날짜의 최신 인바디</t>
      </text>
    </comment>
    <comment authorId="0" ref="B313">
      <text>
        <t xml:space="preserve">오늘보다 이전 날짜의 최신 인바디</t>
      </text>
    </comment>
    <comment authorId="0" ref="B328">
      <text>
        <t xml:space="preserve">오늘보다 이전 날짜의 최신 인바디</t>
      </text>
    </comment>
    <comment authorId="0" ref="B343">
      <text>
        <t xml:space="preserve">오늘보다 이전 날짜의 최신 인바디</t>
      </text>
    </comment>
    <comment authorId="0" ref="B358">
      <text>
        <t xml:space="preserve">오늘보다 이전 날짜의 최신 인바디</t>
      </text>
    </comment>
    <comment authorId="0" ref="B373">
      <text>
        <t xml:space="preserve">오늘보다 이전 날짜의 최신 인바디</t>
      </text>
    </comment>
    <comment authorId="0" ref="B388">
      <text>
        <t xml:space="preserve">오늘보다 이전 날짜의 최신 인바디</t>
      </text>
    </comment>
    <comment authorId="0" ref="B403">
      <text>
        <t xml:space="preserve">오늘보다 이전 날짜의 최신 인바디</t>
      </text>
    </comment>
    <comment authorId="0" ref="B418">
      <text>
        <t xml:space="preserve">오늘보다 이전 날짜의 최신 인바디</t>
      </text>
    </comment>
    <comment authorId="0" ref="B433">
      <text>
        <t xml:space="preserve">오늘보다 이전 날짜의 최신 인바디</t>
      </text>
    </comment>
    <comment authorId="0" ref="B448">
      <text>
        <t xml:space="preserve">오늘보다 이전 날짜의 최신 인바디</t>
      </text>
    </comment>
    <comment authorId="0" ref="B463">
      <text>
        <t xml:space="preserve">오늘보다 이전 날짜의 최신 인바디</t>
      </text>
    </comment>
    <comment authorId="0" ref="B478">
      <text>
        <t xml:space="preserve">오늘보다 이전 날짜의 최신 인바디</t>
      </text>
    </comment>
    <comment authorId="0" ref="B493">
      <text>
        <t xml:space="preserve">오늘보다 이전 날짜의 최신 인바디</t>
      </text>
    </comment>
    <comment authorId="0" ref="B508">
      <text>
        <t xml:space="preserve">오늘보다 이전 날짜의 최신 인바디</t>
      </text>
    </comment>
    <comment authorId="0" ref="B523">
      <text>
        <t xml:space="preserve">오늘보다 이전 날짜의 최신 인바디</t>
      </text>
    </comment>
    <comment authorId="0" ref="B538">
      <text>
        <t xml:space="preserve">오늘보다 이전 날짜의 최신 인바디</t>
      </text>
    </comment>
    <comment authorId="0" ref="B553">
      <text>
        <t xml:space="preserve">오늘보다 이전 날짜의 최신 인바디</t>
      </text>
    </comment>
    <comment authorId="0" ref="B568">
      <text>
        <t xml:space="preserve">오늘보다 이전 날짜의 최신 인바디</t>
      </text>
    </comment>
    <comment authorId="0" ref="B583">
      <text>
        <t xml:space="preserve">오늘보다 이전 날짜의 최신 인바디</t>
      </text>
    </comment>
    <comment authorId="0" ref="B598">
      <text>
        <t xml:space="preserve">오늘보다 이전 날짜의 최신 인바디</t>
      </text>
    </comment>
    <comment authorId="0" ref="B613">
      <text>
        <t xml:space="preserve">오늘보다 이전 날짜의 최신 인바디</t>
      </text>
    </comment>
    <comment authorId="0" ref="B628">
      <text>
        <t xml:space="preserve">오늘보다 이전 날짜의 최신 인바디</t>
      </text>
    </comment>
    <comment authorId="0" ref="B643">
      <text>
        <t xml:space="preserve">오늘보다 이전 날짜의 최신 인바디</t>
      </text>
    </comment>
    <comment authorId="0" ref="B658">
      <text>
        <t xml:space="preserve">오늘보다 이전 날짜의 최신 인바디</t>
      </text>
    </comment>
    <comment authorId="0" ref="B673">
      <text>
        <t xml:space="preserve">오늘보다 이전 날짜의 최신 인바디</t>
      </text>
    </comment>
    <comment authorId="0" ref="B688">
      <text>
        <t xml:space="preserve">오늘보다 이전 날짜의 최신 인바디</t>
      </text>
    </comment>
    <comment authorId="0" ref="B703">
      <text>
        <t xml:space="preserve">오늘보다 이전 날짜의 최신 인바디</t>
      </text>
    </comment>
    <comment authorId="0" ref="B718">
      <text>
        <t xml:space="preserve">오늘보다 이전 날짜의 최신 인바디</t>
      </text>
    </comment>
    <comment authorId="0" ref="B733">
      <text>
        <t xml:space="preserve">오늘보다 이전 날짜의 최신 인바디</t>
      </text>
    </comment>
    <comment authorId="0" ref="B748">
      <text>
        <t xml:space="preserve">오늘보다 이전 날짜의 최신 인바디</t>
      </text>
    </comment>
    <comment authorId="0" ref="B763">
      <text>
        <t xml:space="preserve">오늘보다 이전 날짜의 최신 인바디</t>
      </text>
    </comment>
    <comment authorId="0" ref="B778">
      <text>
        <t xml:space="preserve">오늘보다 이전 날짜의 최신 인바디</t>
      </text>
    </comment>
    <comment authorId="0" ref="B793">
      <text>
        <t xml:space="preserve">오늘보다 이전 날짜의 최신 인바디</t>
      </text>
    </comment>
    <comment authorId="0" ref="B808">
      <text>
        <t xml:space="preserve">오늘보다 이전 날짜의 최신 인바디</t>
      </text>
    </comment>
    <comment authorId="0" ref="B823">
      <text>
        <t xml:space="preserve">오늘보다 이전 날짜의 최신 인바디</t>
      </text>
    </comment>
    <comment authorId="0" ref="B838">
      <text>
        <t xml:space="preserve">오늘보다 이전 날짜의 최신 인바디</t>
      </text>
    </comment>
    <comment authorId="0" ref="B853">
      <text>
        <t xml:space="preserve">오늘보다 이전 날짜의 최신 인바디</t>
      </text>
    </comment>
    <comment authorId="0" ref="B868">
      <text>
        <t xml:space="preserve">오늘보다 이전 날짜의 최신 인바디</t>
      </text>
    </comment>
    <comment authorId="0" ref="B883">
      <text>
        <t xml:space="preserve">오늘보다 이전 날짜의 최신 인바디</t>
      </text>
    </comment>
    <comment authorId="0" ref="B898">
      <text>
        <t xml:space="preserve">오늘보다 이전 날짜의 최신 인바디</t>
      </text>
    </comment>
    <comment authorId="0" ref="B913">
      <text>
        <t xml:space="preserve">오늘보다 이전 날짜의 최신 인바디</t>
      </text>
    </comment>
    <comment authorId="0" ref="B928">
      <text>
        <t xml:space="preserve">오늘보다 이전 날짜의 최신 인바디</t>
      </text>
    </comment>
    <comment authorId="0" ref="B943">
      <text>
        <t xml:space="preserve">오늘보다 이전 날짜의 최신 인바디</t>
      </text>
    </comment>
    <comment authorId="0" ref="B958">
      <text>
        <t xml:space="preserve">오늘보다 이전 날짜의 최신 인바디</t>
      </text>
    </comment>
    <comment authorId="0" ref="B973">
      <text>
        <t xml:space="preserve">오늘보다 이전 날짜의 최신 인바디</t>
      </text>
    </comment>
    <comment authorId="0" ref="B988">
      <text>
        <t xml:space="preserve">오늘보다 이전 날짜의 최신 인바디</t>
      </text>
    </comment>
    <comment authorId="0" ref="B1003">
      <text>
        <t xml:space="preserve">오늘보다 이전 날짜의 최신 인바디</t>
      </text>
    </comment>
    <comment authorId="0" ref="B1018">
      <text>
        <t xml:space="preserve">오늘보다 이전 날짜의 최신 인바디</t>
      </text>
    </comment>
    <comment authorId="0" ref="B1033">
      <text>
        <t xml:space="preserve">오늘보다 이전 날짜의 최신 인바디</t>
      </text>
    </comment>
    <comment authorId="0" ref="B1048">
      <text>
        <t xml:space="preserve">오늘보다 이전 날짜의 최신 인바디</t>
      </text>
    </comment>
    <comment authorId="0" ref="B1063">
      <text>
        <t xml:space="preserve">오늘보다 이전 날짜의 최신 인바디</t>
      </text>
    </comment>
    <comment authorId="0" ref="B1078">
      <text>
        <t xml:space="preserve">오늘보다 이전 날짜의 최신 인바디</t>
      </text>
    </comment>
    <comment authorId="0" ref="B1093">
      <text>
        <t xml:space="preserve">오늘보다 이전 날짜의 최신 인바디</t>
      </text>
    </comment>
    <comment authorId="0" ref="B1108">
      <text>
        <t xml:space="preserve">오늘보다 이전 날짜의 최신 인바디</t>
      </text>
    </comment>
    <comment authorId="0" ref="B1123">
      <text>
        <t xml:space="preserve">오늘보다 이전 날짜의 최신 인바디</t>
      </text>
    </comment>
    <comment authorId="0" ref="B1138">
      <text>
        <t xml:space="preserve">오늘보다 이전 날짜의 최신 인바디</t>
      </text>
    </comment>
    <comment authorId="0" ref="B1153">
      <text>
        <t xml:space="preserve">오늘보다 이전 날짜의 최신 인바디</t>
      </text>
    </comment>
    <comment authorId="0" ref="B1168">
      <text>
        <t xml:space="preserve">오늘보다 이전 날짜의 최신 인바디</t>
      </text>
    </comment>
    <comment authorId="0" ref="B1183">
      <text>
        <t xml:space="preserve">오늘보다 이전 날짜의 최신 인바디</t>
      </text>
    </comment>
    <comment authorId="0" ref="B1198">
      <text>
        <t xml:space="preserve">오늘보다 이전 날짜의 최신 인바디</t>
      </text>
    </comment>
    <comment authorId="0" ref="B1213">
      <text>
        <t xml:space="preserve">오늘보다 이전 날짜의 최신 인바디</t>
      </text>
    </comment>
    <comment authorId="0" ref="B1228">
      <text>
        <t xml:space="preserve">오늘보다 이전 날짜의 최신 인바디</t>
      </text>
    </comment>
    <comment authorId="0" ref="B1243">
      <text>
        <t xml:space="preserve">오늘보다 이전 날짜의 최신 인바디</t>
      </text>
    </comment>
    <comment authorId="0" ref="B1258">
      <text>
        <t xml:space="preserve">오늘보다 이전 날짜의 최신 인바디</t>
      </text>
    </comment>
    <comment authorId="0" ref="B1273">
      <text>
        <t xml:space="preserve">오늘보다 이전 날짜의 최신 인바디</t>
      </text>
    </comment>
    <comment authorId="0" ref="B1288">
      <text>
        <t xml:space="preserve">오늘보다 이전 날짜의 최신 인바디</t>
      </text>
    </comment>
    <comment authorId="0" ref="B1303">
      <text>
        <t xml:space="preserve">오늘보다 이전 날짜의 최신 인바디</t>
      </text>
    </comment>
    <comment authorId="0" ref="B1318">
      <text>
        <t xml:space="preserve">오늘보다 이전 날짜의 최신 인바디</t>
      </text>
    </comment>
    <comment authorId="0" ref="B1333">
      <text>
        <t xml:space="preserve">오늘보다 이전 날짜의 최신 인바디</t>
      </text>
    </comment>
    <comment authorId="0" ref="B1348">
      <text>
        <t xml:space="preserve">오늘보다 이전 날짜의 최신 인바디</t>
      </text>
    </comment>
    <comment authorId="0" ref="B1363">
      <text>
        <t xml:space="preserve">오늘보다 이전 날짜의 최신 인바디</t>
      </text>
    </comment>
    <comment authorId="0" ref="B1378">
      <text>
        <t xml:space="preserve">오늘보다 이전 날짜의 최신 인바디</t>
      </text>
    </comment>
    <comment authorId="0" ref="B1393">
      <text>
        <t xml:space="preserve">오늘보다 이전 날짜의 최신 인바디</t>
      </text>
    </comment>
    <comment authorId="0" ref="B1408">
      <text>
        <t xml:space="preserve">오늘보다 이전 날짜의 최신 인바디</t>
      </text>
    </comment>
    <comment authorId="0" ref="B1423">
      <text>
        <t xml:space="preserve">오늘보다 이전 날짜의 최신 인바디</t>
      </text>
    </comment>
    <comment authorId="0" ref="B1438">
      <text>
        <t xml:space="preserve">오늘보다 이전 날짜의 최신 인바디</t>
      </text>
    </comment>
    <comment authorId="0" ref="B1453">
      <text>
        <t xml:space="preserve">오늘보다 이전 날짜의 최신 인바디</t>
      </text>
    </comment>
    <comment authorId="0" ref="B1468">
      <text>
        <t xml:space="preserve">오늘보다 이전 날짜의 최신 인바디</t>
      </text>
    </comment>
    <comment authorId="0" ref="B1483">
      <text>
        <t xml:space="preserve">오늘보다 이전 날짜의 최신 인바디</t>
      </text>
    </comment>
    <comment authorId="0" ref="B1498">
      <text>
        <t xml:space="preserve">오늘보다 이전 날짜의 최신 인바디</t>
      </text>
    </comment>
    <comment authorId="0" ref="B1513">
      <text>
        <t xml:space="preserve">오늘보다 이전 날짜의 최신 인바디</t>
      </text>
    </comment>
    <comment authorId="0" ref="B1528">
      <text>
        <t xml:space="preserve">오늘보다 이전 날짜의 최신 인바디</t>
      </text>
    </comment>
    <comment authorId="0" ref="B1543">
      <text>
        <t xml:space="preserve">오늘보다 이전 날짜의 최신 인바디</t>
      </text>
    </comment>
    <comment authorId="0" ref="B1558">
      <text>
        <t xml:space="preserve">오늘보다 이전 날짜의 최신 인바디</t>
      </text>
    </comment>
    <comment authorId="0" ref="B1573">
      <text>
        <t xml:space="preserve">오늘보다 이전 날짜의 최신 인바디</t>
      </text>
    </comment>
    <comment authorId="0" ref="B1588">
      <text>
        <t xml:space="preserve">오늘보다 이전 날짜의 최신 인바디</t>
      </text>
    </comment>
    <comment authorId="0" ref="B1603">
      <text>
        <t xml:space="preserve">오늘보다 이전 날짜의 최신 인바디</t>
      </text>
    </comment>
    <comment authorId="0" ref="B1618">
      <text>
        <t xml:space="preserve">오늘보다 이전 날짜의 최신 인바디</t>
      </text>
    </comment>
    <comment authorId="0" ref="B1633">
      <text>
        <t xml:space="preserve">오늘보다 이전 날짜의 최신 인바디</t>
      </text>
    </comment>
    <comment authorId="0" ref="B1648">
      <text>
        <t xml:space="preserve">오늘보다 이전 날짜의 최신 인바디</t>
      </text>
    </comment>
    <comment authorId="0" ref="B1663">
      <text>
        <t xml:space="preserve">오늘보다 이전 날짜의 최신 인바디</t>
      </text>
    </comment>
    <comment authorId="0" ref="B1678">
      <text>
        <t xml:space="preserve">오늘보다 이전 날짜의 최신 인바디</t>
      </text>
    </comment>
    <comment authorId="0" ref="B1693">
      <text>
        <t xml:space="preserve">오늘보다 이전 날짜의 최신 인바디</t>
      </text>
    </comment>
    <comment authorId="0" ref="B1708">
      <text>
        <t xml:space="preserve">오늘보다 이전 날짜의 최신 인바디</t>
      </text>
    </comment>
    <comment authorId="0" ref="B1723">
      <text>
        <t xml:space="preserve">오늘보다 이전 날짜의 최신 인바디</t>
      </text>
    </comment>
    <comment authorId="0" ref="B1738">
      <text>
        <t xml:space="preserve">오늘보다 이전 날짜의 최신 인바디</t>
      </text>
    </comment>
    <comment authorId="0" ref="B1753">
      <text>
        <t xml:space="preserve">오늘보다 이전 날짜의 최신 인바디</t>
      </text>
    </comment>
    <comment authorId="0" ref="B1768">
      <text>
        <t xml:space="preserve">오늘보다 이전 날짜의 최신 인바디</t>
      </text>
    </comment>
    <comment authorId="0" ref="B1783">
      <text>
        <t xml:space="preserve">오늘보다 이전 날짜의 최신 인바디</t>
      </text>
    </comment>
    <comment authorId="0" ref="B1798">
      <text>
        <t xml:space="preserve">오늘보다 이전 날짜의 최신 인바디</t>
      </text>
    </comment>
    <comment authorId="0" ref="B1813">
      <text>
        <t xml:space="preserve">오늘보다 이전 날짜의 최신 인바디</t>
      </text>
    </comment>
    <comment authorId="0" ref="B1828">
      <text>
        <t xml:space="preserve">오늘보다 이전 날짜의 최신 인바디</t>
      </text>
    </comment>
    <comment authorId="0" ref="B1843">
      <text>
        <t xml:space="preserve">오늘보다 이전 날짜의 최신 인바디</t>
      </text>
    </comment>
    <comment authorId="0" ref="B1858">
      <text>
        <t xml:space="preserve">오늘보다 이전 날짜의 최신 인바디</t>
      </text>
    </comment>
    <comment authorId="0" ref="B1873">
      <text>
        <t xml:space="preserve">오늘보다 이전 날짜의 최신 인바디</t>
      </text>
    </comment>
    <comment authorId="0" ref="B1888">
      <text>
        <t xml:space="preserve">오늘보다 이전 날짜의 최신 인바디</t>
      </text>
    </comment>
    <comment authorId="0" ref="B1903">
      <text>
        <t xml:space="preserve">오늘보다 이전 날짜의 최신 인바디</t>
      </text>
    </comment>
    <comment authorId="0" ref="B1918">
      <text>
        <t xml:space="preserve">오늘보다 이전 날짜의 최신 인바디</t>
      </text>
    </comment>
    <comment authorId="0" ref="B1933">
      <text>
        <t xml:space="preserve">오늘보다 이전 날짜의 최신 인바디</t>
      </text>
    </comment>
    <comment authorId="0" ref="B1948">
      <text>
        <t xml:space="preserve">오늘보다 이전 날짜의 최신 인바디</t>
      </text>
    </comment>
    <comment authorId="0" ref="B1963">
      <text>
        <t xml:space="preserve">오늘보다 이전 날짜의 최신 인바디</t>
      </text>
    </comment>
    <comment authorId="0" ref="B1978">
      <text>
        <t xml:space="preserve">오늘보다 이전 날짜의 최신 인바디</t>
      </text>
    </comment>
    <comment authorId="0" ref="B1993">
      <text>
        <t xml:space="preserve">오늘보다 이전 날짜의 최신 인바디</t>
      </text>
    </comment>
    <comment authorId="0" ref="B2008">
      <text>
        <t xml:space="preserve">오늘보다 이전 날짜의 최신 인바디</t>
      </text>
    </comment>
    <comment authorId="0" ref="B2023">
      <text>
        <t xml:space="preserve">오늘보다 이전 날짜의 최신 인바디</t>
      </text>
    </comment>
    <comment authorId="0" ref="B2038">
      <text>
        <t xml:space="preserve">오늘보다 이전 날짜의 최신 인바디</t>
      </text>
    </comment>
    <comment authorId="0" ref="B2053">
      <text>
        <t xml:space="preserve">오늘보다 이전 날짜의 최신 인바디</t>
      </text>
    </comment>
    <comment authorId="0" ref="B2068">
      <text>
        <t xml:space="preserve">오늘보다 이전 날짜의 최신 인바디</t>
      </text>
    </comment>
    <comment authorId="0" ref="B2083">
      <text>
        <t xml:space="preserve">오늘보다 이전 날짜의 최신 인바디</t>
      </text>
    </comment>
    <comment authorId="0" ref="B2098">
      <text>
        <t xml:space="preserve">오늘보다 이전 날짜의 최신 인바디</t>
      </text>
    </comment>
    <comment authorId="0" ref="B2113">
      <text>
        <t xml:space="preserve">오늘보다 이전 날짜의 최신 인바디</t>
      </text>
    </comment>
    <comment authorId="0" ref="B2128">
      <text>
        <t xml:space="preserve">오늘보다 이전 날짜의 최신 인바디</t>
      </text>
    </comment>
    <comment authorId="0" ref="B2143">
      <text>
        <t xml:space="preserve">오늘보다 이전 날짜의 최신 인바디</t>
      </text>
    </comment>
    <comment authorId="0" ref="B2158">
      <text>
        <t xml:space="preserve">오늘보다 이전 날짜의 최신 인바디</t>
      </text>
    </comment>
    <comment authorId="0" ref="B2173">
      <text>
        <t xml:space="preserve">오늘보다 이전 날짜의 최신 인바디</t>
      </text>
    </comment>
    <comment authorId="0" ref="B2188">
      <text>
        <t xml:space="preserve">오늘보다 이전 날짜의 최신 인바디</t>
      </text>
    </comment>
    <comment authorId="0" ref="B2203">
      <text>
        <t xml:space="preserve">오늘보다 이전 날짜의 최신 인바디</t>
      </text>
    </comment>
    <comment authorId="0" ref="B2218">
      <text>
        <t xml:space="preserve">오늘보다 이전 날짜의 최신 인바디</t>
      </text>
    </comment>
    <comment authorId="0" ref="B2233">
      <text>
        <t xml:space="preserve">오늘보다 이전 날짜의 최신 인바디</t>
      </text>
    </comment>
    <comment authorId="0" ref="B2248">
      <text>
        <t xml:space="preserve">오늘보다 이전 날짜의 최신 인바디</t>
      </text>
    </comment>
    <comment authorId="0" ref="B2263">
      <text>
        <t xml:space="preserve">오늘보다 이전 날짜의 최신 인바디</t>
      </text>
    </comment>
    <comment authorId="0" ref="B2278">
      <text>
        <t xml:space="preserve">오늘보다 이전 날짜의 최신 인바디</t>
      </text>
    </comment>
    <comment authorId="0" ref="B2293">
      <text>
        <t xml:space="preserve">오늘보다 이전 날짜의 최신 인바디</t>
      </text>
    </comment>
    <comment authorId="0" ref="B2308">
      <text>
        <t xml:space="preserve">오늘보다 이전 날짜의 최신 인바디</t>
      </text>
    </comment>
    <comment authorId="0" ref="B2323">
      <text>
        <t xml:space="preserve">오늘보다 이전 날짜의 최신 인바디</t>
      </text>
    </comment>
    <comment authorId="0" ref="B2338">
      <text>
        <t xml:space="preserve">오늘보다 이전 날짜의 최신 인바디</t>
      </text>
    </comment>
    <comment authorId="0" ref="B2353">
      <text>
        <t xml:space="preserve">오늘보다 이전 날짜의 최신 인바디</t>
      </text>
    </comment>
    <comment authorId="0" ref="B2368">
      <text>
        <t xml:space="preserve">오늘보다 이전 날짜의 최신 인바디</t>
      </text>
    </comment>
    <comment authorId="0" ref="B2383">
      <text>
        <t xml:space="preserve">오늘보다 이전 날짜의 최신 인바디</t>
      </text>
    </comment>
    <comment authorId="0" ref="B2398">
      <text>
        <t xml:space="preserve">오늘보다 이전 날짜의 최신 인바디</t>
      </text>
    </comment>
    <comment authorId="0" ref="B2413">
      <text>
        <t xml:space="preserve">오늘보다 이전 날짜의 최신 인바디</t>
      </text>
    </comment>
    <comment authorId="0" ref="B2428">
      <text>
        <t xml:space="preserve">오늘보다 이전 날짜의 최신 인바디</t>
      </text>
    </comment>
    <comment authorId="0" ref="B2443">
      <text>
        <t xml:space="preserve">오늘보다 이전 날짜의 최신 인바디</t>
      </text>
    </comment>
    <comment authorId="0" ref="B2458">
      <text>
        <t xml:space="preserve">오늘보다 이전 날짜의 최신 인바디</t>
      </text>
    </comment>
    <comment authorId="0" ref="B2473">
      <text>
        <t xml:space="preserve">오늘보다 이전 날짜의 최신 인바디</t>
      </text>
    </comment>
    <comment authorId="0" ref="B2488">
      <text>
        <t xml:space="preserve">오늘보다 이전 날짜의 최신 인바디</t>
      </text>
    </comment>
    <comment authorId="0" ref="B2503">
      <text>
        <t xml:space="preserve">오늘보다 이전 날짜의 최신 인바디</t>
      </text>
    </comment>
    <comment authorId="0" ref="B2518">
      <text>
        <t xml:space="preserve">오늘보다 이전 날짜의 최신 인바디</t>
      </text>
    </comment>
    <comment authorId="0" ref="B2533">
      <text>
        <t xml:space="preserve">오늘보다 이전 날짜의 최신 인바디</t>
      </text>
    </comment>
    <comment authorId="0" ref="B2548">
      <text>
        <t xml:space="preserve">오늘보다 이전 날짜의 최신 인바디</t>
      </text>
    </comment>
    <comment authorId="0" ref="B2563">
      <text>
        <t xml:space="preserve">오늘보다 이전 날짜의 최신 인바디</t>
      </text>
    </comment>
    <comment authorId="0" ref="B2578">
      <text>
        <t xml:space="preserve">오늘보다 이전 날짜의 최신 인바디</t>
      </text>
    </comment>
    <comment authorId="0" ref="B2593">
      <text>
        <t xml:space="preserve">오늘보다 이전 날짜의 최신 인바디</t>
      </text>
    </comment>
    <comment authorId="0" ref="B2608">
      <text>
        <t xml:space="preserve">오늘보다 이전 날짜의 최신 인바디</t>
      </text>
    </comment>
    <comment authorId="0" ref="B2623">
      <text>
        <t xml:space="preserve">오늘보다 이전 날짜의 최신 인바디</t>
      </text>
    </comment>
    <comment authorId="0" ref="B2638">
      <text>
        <t xml:space="preserve">오늘보다 이전 날짜의 최신 인바디</t>
      </text>
    </comment>
    <comment authorId="0" ref="B2653">
      <text>
        <t xml:space="preserve">오늘보다 이전 날짜의 최신 인바디</t>
      </text>
    </comment>
    <comment authorId="0" ref="B2668">
      <text>
        <t xml:space="preserve">오늘보다 이전 날짜의 최신 인바디</t>
      </text>
    </comment>
    <comment authorId="0" ref="B2683">
      <text>
        <t xml:space="preserve">오늘보다 이전 날짜의 최신 인바디</t>
      </text>
    </comment>
    <comment authorId="0" ref="B2698">
      <text>
        <t xml:space="preserve">오늘보다 이전 날짜의 최신 인바디</t>
      </text>
    </comment>
    <comment authorId="0" ref="B2713">
      <text>
        <t xml:space="preserve">오늘보다 이전 날짜의 최신 인바디</t>
      </text>
    </comment>
    <comment authorId="0" ref="B2728">
      <text>
        <t xml:space="preserve">오늘보다 이전 날짜의 최신 인바디</t>
      </text>
    </comment>
    <comment authorId="0" ref="B2743">
      <text>
        <t xml:space="preserve">오늘보다 이전 날짜의 최신 인바디</t>
      </text>
    </comment>
    <comment authorId="0" ref="B2758">
      <text>
        <t xml:space="preserve">오늘보다 이전 날짜의 최신 인바디</t>
      </text>
    </comment>
    <comment authorId="0" ref="B2773">
      <text>
        <t xml:space="preserve">오늘보다 이전 날짜의 최신 인바디</t>
      </text>
    </comment>
    <comment authorId="0" ref="B2788">
      <text>
        <t xml:space="preserve">오늘보다 이전 날짜의 최신 인바디</t>
      </text>
    </comment>
    <comment authorId="0" ref="B2803">
      <text>
        <t xml:space="preserve">오늘보다 이전 날짜의 최신 인바디</t>
      </text>
    </comment>
    <comment authorId="0" ref="B2818">
      <text>
        <t xml:space="preserve">오늘보다 이전 날짜의 최신 인바디</t>
      </text>
    </comment>
    <comment authorId="0" ref="B2833">
      <text>
        <t xml:space="preserve">오늘보다 이전 날짜의 최신 인바디</t>
      </text>
    </comment>
    <comment authorId="0" ref="B2848">
      <text>
        <t xml:space="preserve">오늘보다 이전 날짜의 최신 인바디</t>
      </text>
    </comment>
    <comment authorId="0" ref="B2863">
      <text>
        <t xml:space="preserve">오늘보다 이전 날짜의 최신 인바디</t>
      </text>
    </comment>
    <comment authorId="0" ref="B2878">
      <text>
        <t xml:space="preserve">오늘보다 이전 날짜의 최신 인바디</t>
      </text>
    </comment>
    <comment authorId="0" ref="B2893">
      <text>
        <t xml:space="preserve">오늘보다 이전 날짜의 최신 인바디</t>
      </text>
    </comment>
    <comment authorId="0" ref="B2908">
      <text>
        <t xml:space="preserve">오늘보다 이전 날짜의 최신 인바디</t>
      </text>
    </comment>
    <comment authorId="0" ref="B2923">
      <text>
        <t xml:space="preserve">오늘보다 이전 날짜의 최신 인바디</t>
      </text>
    </comment>
    <comment authorId="0" ref="B2938">
      <text>
        <t xml:space="preserve">오늘보다 이전 날짜의 최신 인바디</t>
      </text>
    </comment>
    <comment authorId="0" ref="B2953">
      <text>
        <t xml:space="preserve">오늘보다 이전 날짜의 최신 인바디</t>
      </text>
    </comment>
    <comment authorId="0" ref="B2968">
      <text>
        <t xml:space="preserve">오늘보다 이전 날짜의 최신 인바디</t>
      </text>
    </comment>
    <comment authorId="0" ref="B2983">
      <text>
        <t xml:space="preserve">오늘보다 이전 날짜의 최신 인바디</t>
      </text>
    </comment>
    <comment authorId="0" ref="B2998">
      <text>
        <t xml:space="preserve">오늘보다 이전 날짜의 최신 인바디</t>
      </text>
    </comment>
  </commentList>
</comments>
</file>

<file path=xl/sharedStrings.xml><?xml version="1.0" encoding="utf-8"?>
<sst xmlns="http://schemas.openxmlformats.org/spreadsheetml/2006/main" count="14479" uniqueCount="498">
  <si>
    <t>이동주회원님</t>
  </si>
  <si>
    <t>날짜</t>
  </si>
  <si>
    <t>유산소🔥</t>
  </si>
  <si>
    <t>수업⚡</t>
  </si>
  <si>
    <t>운동부위✔️</t>
  </si>
  <si>
    <t>웨이트 운동기록🏋️‍♀️</t>
  </si>
  <si>
    <t>1회 최대반복 추정🤖 (kg)</t>
  </si>
  <si>
    <t>걸음수</t>
  </si>
  <si>
    <t>러닝머신</t>
  </si>
  <si>
    <t>사이클</t>
  </si>
  <si>
    <t>수업</t>
  </si>
  <si>
    <t>등</t>
  </si>
  <si>
    <t>1set</t>
  </si>
  <si>
    <t>2set</t>
  </si>
  <si>
    <t>3set</t>
  </si>
  <si>
    <t>4set</t>
  </si>
  <si>
    <t>5set</t>
  </si>
  <si>
    <t>6set</t>
  </si>
  <si>
    <t>7set</t>
  </si>
  <si>
    <t>8set</t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</si>
  <si>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</si>
  <si>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무게 합</t>
  </si>
  <si>
    <t>1RM 추정값</t>
  </si>
  <si>
    <t>MAX</t>
  </si>
  <si>
    <t>오늘의 진단✅</t>
  </si>
  <si>
    <t>오늘의 식단🍚</t>
  </si>
  <si>
    <t>웨이트💪</t>
  </si>
  <si>
    <t>무게</t>
  </si>
  <si>
    <t>횟수</t>
  </si>
  <si>
    <t>1RM</t>
  </si>
  <si>
    <t>5RM</t>
  </si>
  <si>
    <t>12RM</t>
  </si>
  <si>
    <t>숙면🌙</t>
  </si>
  <si>
    <t>아
침</t>
  </si>
  <si>
    <t>탄수화물</t>
  </si>
  <si>
    <t>렛풀다운</t>
  </si>
  <si>
    <t>컨디션😀</t>
  </si>
  <si>
    <t>단백질</t>
  </si>
  <si>
    <t>시티드로우</t>
  </si>
  <si>
    <t>활동강도🔥</t>
  </si>
  <si>
    <t>지방</t>
  </si>
  <si>
    <t>식이조절😇</t>
  </si>
  <si>
    <t>점
심</t>
  </si>
  <si>
    <t>수분🥛</t>
  </si>
  <si>
    <t>몸무게🙈</t>
  </si>
  <si>
    <t>저
녁</t>
  </si>
  <si>
    <t>골격근</t>
  </si>
  <si>
    <t>체지방</t>
  </si>
  <si>
    <t>체지방률</t>
  </si>
  <si>
    <t>간식</t>
  </si>
  <si>
    <t>한줄평💬</t>
  </si>
  <si>
    <t>피드백💡</t>
  </si>
  <si>
    <r>
      <rPr>
        <rFont val="Arial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</si>
  <si>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가슴</t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</si>
  <si>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</si>
  <si>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체스트프레스</t>
  </si>
  <si>
    <t>펙덱플라이</t>
  </si>
  <si>
    <t xml:space="preserve"> </t>
  </si>
  <si>
    <r>
      <rPr>
        <rFont val="Arial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</si>
  <si>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하체</t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</si>
  <si>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</si>
  <si>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익스텐션</t>
  </si>
  <si>
    <t>컬</t>
  </si>
  <si>
    <t>어브덕션</t>
  </si>
  <si>
    <r>
      <rPr>
        <rFont val="Arial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</si>
  <si>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어깨 복부</t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</si>
  <si>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</si>
  <si>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밴드 외회전</t>
  </si>
  <si>
    <t>프론트레이즈(원판)</t>
  </si>
  <si>
    <t>사이드레이즈(아령)</t>
  </si>
  <si>
    <t>플랭크</t>
  </si>
  <si>
    <r>
      <rPr>
        <rFont val="Arial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</si>
  <si>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팔</t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</si>
  <si>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</si>
  <si>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바이셉스컬(이두)</t>
  </si>
  <si>
    <t>케이블푸쉬다운(삼두)</t>
  </si>
  <si>
    <t>케이블로프다운(삼두)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</si>
  <si>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</si>
  <si>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</si>
  <si>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mts로우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</si>
  <si>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</si>
  <si>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</si>
  <si>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덤벨프레스(아령)</t>
  </si>
  <si>
    <t>플라이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</si>
  <si>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</si>
  <si>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</si>
  <si>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어덕션</t>
  </si>
  <si>
    <t>스쿼트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</si>
  <si>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</si>
  <si>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어깨</t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</si>
  <si>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</si>
  <si>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밴드외전</t>
  </si>
  <si>
    <t>덤벨숄더프레스(아령)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</si>
  <si>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</si>
  <si>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</si>
  <si>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덤벨컬</t>
  </si>
  <si>
    <t>바이셉스컬</t>
  </si>
  <si>
    <t>로프다운</t>
  </si>
  <si>
    <t>푸쉬다운</t>
  </si>
  <si>
    <t>사이드플랭크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</si>
  <si>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</si>
  <si>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</si>
  <si>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프론트풀다운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</si>
  <si>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</si>
  <si>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</si>
  <si>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덤벨프레스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</si>
  <si>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</si>
  <si>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</si>
  <si>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스쿼트프레스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</si>
  <si>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</si>
  <si>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어깨 팔</t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</si>
  <si>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</si>
  <si>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덤벨숄더프레스</t>
  </si>
  <si>
    <t>사이드레이즈</t>
  </si>
  <si>
    <t>프랭크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</si>
  <si>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</si>
  <si>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</si>
  <si>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로우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</si>
  <si>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</si>
  <si>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</si>
  <si>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덤벨플라이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</si>
  <si>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</si>
  <si>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</si>
  <si>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런지</t>
  </si>
  <si>
    <t>글루트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</si>
  <si>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</si>
  <si>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</si>
  <si>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t>암풀다운</t>
  </si>
  <si>
    <t>서큘러</t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</si>
  <si>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</si>
  <si>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기능성</t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</si>
  <si>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</si>
  <si>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</si>
  <si>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</si>
  <si>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</si>
  <si>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가슴 등</t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</si>
  <si>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</si>
  <si>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</si>
  <si>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t>0/0</t>
  </si>
  <si>
    <t>개인운동</t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</si>
  <si>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</si>
  <si>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</si>
  <si>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</si>
  <si>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</si>
  <si>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</si>
  <si>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</si>
  <si>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</si>
  <si>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</si>
  <si>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</si>
  <si>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</si>
  <si>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</si>
  <si>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</si>
  <si>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</si>
  <si>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</si>
  <si>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</si>
  <si>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</si>
  <si>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</si>
  <si>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</si>
  <si>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</si>
  <si>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</si>
  <si>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</si>
  <si>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</si>
  <si>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</si>
  <si>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</si>
  <si>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</si>
  <si>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</si>
  <si>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</si>
  <si>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</si>
  <si>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</si>
  <si>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</si>
  <si>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</si>
  <si>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</si>
  <si>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</si>
  <si>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</si>
  <si>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</si>
  <si>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</si>
  <si>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</si>
  <si>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</si>
  <si>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</si>
  <si>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</si>
  <si>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</si>
  <si>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</si>
  <si>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</si>
  <si>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</si>
  <si>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</si>
  <si>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</si>
  <si>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</si>
  <si>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</si>
  <si>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</si>
  <si>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</si>
  <si>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</si>
  <si>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</si>
  <si>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</si>
  <si>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</si>
  <si>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</si>
  <si>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</si>
  <si>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</si>
  <si>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</si>
  <si>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</si>
  <si>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</si>
  <si>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</si>
  <si>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</si>
  <si>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</si>
  <si>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</si>
  <si>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</si>
  <si>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</si>
  <si>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</si>
  <si>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</si>
  <si>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</si>
  <si>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</si>
  <si>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</si>
  <si>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</si>
  <si>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</si>
  <si>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</si>
  <si>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</si>
  <si>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</si>
  <si>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</si>
  <si>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</si>
  <si>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</si>
  <si>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</si>
  <si>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</si>
  <si>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</si>
  <si>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</si>
  <si>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</si>
  <si>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</si>
  <si>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</si>
  <si>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</si>
  <si>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</si>
  <si>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</si>
  <si>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</si>
  <si>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</si>
  <si>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</si>
  <si>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</si>
  <si>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</si>
  <si>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</si>
  <si>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</si>
  <si>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</si>
  <si>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</si>
  <si>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</si>
  <si>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</si>
  <si>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</si>
  <si>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</si>
  <si>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</si>
  <si>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</si>
  <si>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</si>
  <si>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</si>
  <si>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</si>
  <si>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</si>
  <si>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</si>
  <si>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</si>
  <si>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</si>
  <si>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</si>
  <si>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</si>
  <si>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</si>
  <si>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</si>
  <si>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</si>
  <si>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</si>
  <si>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</si>
  <si>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</si>
  <si>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</si>
  <si>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</si>
  <si>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</si>
  <si>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</si>
  <si>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</si>
  <si>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</si>
  <si>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</si>
  <si>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</si>
  <si>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</si>
  <si>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</si>
  <si>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</si>
  <si>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</si>
  <si>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</si>
  <si>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</si>
  <si>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</si>
  <si>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</si>
  <si>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</si>
  <si>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</si>
  <si>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</si>
  <si>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</si>
  <si>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</si>
  <si>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</si>
  <si>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</si>
  <si>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</si>
  <si>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</si>
  <si>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</si>
  <si>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</si>
  <si>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</si>
  <si>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</si>
  <si>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</si>
  <si>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</si>
  <si>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</si>
  <si>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</si>
  <si>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</si>
  <si>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</si>
  <si>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</si>
  <si>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</si>
  <si>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</si>
  <si>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</si>
  <si>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</si>
  <si>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</si>
  <si>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</si>
  <si>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</si>
  <si>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</si>
  <si>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</si>
  <si>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</si>
  <si>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</si>
  <si>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</si>
  <si>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</si>
  <si>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</si>
  <si>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</si>
  <si>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</si>
  <si>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</si>
  <si>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</si>
  <si>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</si>
  <si>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</si>
  <si>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</si>
  <si>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</si>
  <si>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</si>
  <si>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</si>
  <si>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</si>
  <si>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</si>
  <si>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</si>
  <si>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</si>
  <si>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</si>
  <si>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</si>
  <si>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</si>
  <si>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</si>
  <si>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</si>
  <si>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</si>
  <si>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</si>
  <si>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</si>
  <si>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</si>
  <si>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</si>
  <si>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</si>
  <si>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</si>
  <si>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</si>
  <si>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</si>
  <si>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</si>
  <si>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</si>
  <si>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</si>
  <si>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</si>
  <si>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</si>
  <si>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</si>
  <si>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</si>
  <si>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</si>
  <si>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</si>
  <si>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</si>
  <si>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</si>
  <si>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</si>
  <si>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</si>
  <si>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</si>
  <si>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</si>
  <si>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</si>
  <si>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</si>
  <si>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</si>
  <si>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</si>
  <si>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</si>
  <si>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</si>
  <si>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</si>
  <si>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</si>
  <si>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</si>
  <si>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</si>
  <si>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</si>
  <si>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</si>
  <si>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</si>
  <si>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</si>
  <si>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</si>
  <si>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</si>
  <si>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</si>
  <si>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</si>
  <si>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</si>
  <si>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</si>
  <si>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</si>
  <si>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</si>
  <si>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</si>
  <si>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</si>
  <si>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</si>
  <si>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</si>
  <si>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</si>
  <si>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</si>
  <si>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</si>
  <si>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</si>
  <si>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</si>
  <si>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</si>
  <si>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</si>
  <si>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</si>
  <si>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</si>
  <si>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</si>
  <si>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</si>
  <si>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</si>
  <si>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</si>
  <si>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</si>
  <si>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</si>
  <si>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</si>
  <si>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</si>
  <si>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</si>
  <si>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</si>
  <si>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</si>
  <si>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</si>
  <si>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</si>
  <si>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</si>
  <si>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</si>
  <si>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</si>
  <si>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</si>
  <si>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</si>
  <si>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</si>
  <si>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</si>
  <si>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</si>
  <si>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</si>
  <si>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</si>
  <si>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</si>
  <si>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</si>
  <si>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</si>
  <si>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</si>
  <si>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</si>
  <si>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</si>
  <si>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</si>
  <si>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</si>
  <si>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</si>
  <si>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</si>
  <si>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</si>
  <si>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</si>
  <si>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</si>
  <si>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</si>
  <si>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</si>
  <si>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</si>
  <si>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</si>
  <si>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</si>
  <si>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</si>
  <si>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</si>
  <si>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</si>
  <si>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</si>
  <si>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</si>
  <si>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</si>
  <si>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</si>
  <si>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</si>
  <si>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</si>
  <si>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</si>
  <si>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</si>
  <si>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</si>
  <si>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</si>
  <si>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</si>
  <si>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</si>
  <si>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</si>
  <si>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</si>
  <si>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</si>
  <si>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</si>
  <si>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</si>
  <si>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</si>
  <si>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</si>
  <si>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</si>
  <si>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</si>
  <si>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</si>
  <si>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</si>
  <si>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</si>
  <si>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</si>
  <si>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</si>
  <si>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</si>
  <si>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</si>
  <si>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</si>
  <si>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</si>
  <si>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</si>
  <si>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</si>
  <si>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</si>
  <si>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</si>
  <si>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</si>
  <si>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</si>
  <si>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</si>
  <si>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</si>
  <si>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</si>
  <si>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</si>
  <si>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</si>
  <si>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</si>
  <si>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</si>
  <si>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</si>
  <si>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</si>
  <si>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</si>
  <si>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</si>
  <si>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</si>
  <si>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</si>
  <si>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</si>
  <si>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</si>
  <si>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</si>
  <si>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</si>
  <si>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</si>
  <si>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</si>
  <si>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</si>
  <si>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</si>
  <si>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</si>
  <si>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</si>
  <si>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</si>
  <si>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</si>
  <si>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</si>
  <si>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</si>
  <si>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</si>
  <si>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</si>
  <si>
    <r>
      <rPr>
        <rFont val="Arial"/>
        <color theme="1"/>
        <sz val="11.0"/>
      </rPr>
      <t xml:space="preserve">lb
</t>
    </r>
    <r>
      <rPr>
        <rFont val="Arial"/>
        <color theme="1"/>
        <sz val="7.0"/>
      </rPr>
      <t>(파운드)</t>
    </r>
  </si>
  <si>
    <r>
      <rPr>
        <rFont val="g마켓 산스 medium"/>
        <color rgb="FFA5A5A5"/>
        <sz val="11.0"/>
      </rPr>
      <t>ⓒ</t>
    </r>
    <r>
      <rPr>
        <rFont val="돋움"/>
        <color rgb="FFA5A5A5"/>
        <sz val="11.0"/>
      </rPr>
      <t xml:space="preserve"> 공여사들 All rights reserved.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</si>
</sst>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"/>
    <numFmt numFmtId="165" formatCode="&quot;Day &quot;#,##0"/>
    <numFmt numFmtId="166" formatCode="#,##0&quot; 걸음&quot;"/>
    <numFmt numFmtId="167" formatCode="#,##0&quot; 분&quot;"/>
    <numFmt numFmtId="168" formatCode="#,##0&quot;회차&quot;"/>
    <numFmt numFmtId="169" formatCode="&quot; &quot;@"/>
    <numFmt numFmtId="170" formatCode="#,##0&quot; &quot;"/>
    <numFmt numFmtId="171" formatCode="0.0&quot; kg &quot;"/>
    <numFmt numFmtId="172" formatCode="0.0&quot; &quot;%&quot; &quot;"/>
    <numFmt numFmtId="173" formatCode="#,##0.0"/>
  </numFmts>
  <fonts count="17">
    <font>
      <sz val="11.0"/>
      <color theme="1"/>
      <name val="Aptos narrow"/>
      <scheme val="minor"/>
    </font>
    <font>
      <sz val="11.0"/>
      <color theme="1"/>
      <name val="G마켓 산스 medium"/>
    </font>
    <font>
      <b/>
      <sz val="17.0"/>
      <color rgb="FF000000"/>
      <name val="G마켓 산스 medium"/>
    </font>
    <font>
      <color theme="1"/>
      <name val="Aptos narrow"/>
      <scheme val="minor"/>
    </font>
    <font>
      <b/>
      <sz val="11.0"/>
      <color rgb="FFFFFFFF"/>
      <name val="Arial"/>
    </font>
    <font/>
    <font>
      <sz val="11.0"/>
      <color theme="1"/>
      <name val="Arial"/>
    </font>
    <font>
      <sz val="11.0"/>
      <color theme="1"/>
      <name val="Aptos narrow"/>
    </font>
    <font>
      <sz val="11.0"/>
      <color rgb="FF666666"/>
      <name val="Arial"/>
    </font>
    <font>
      <sz val="11.0"/>
      <color rgb="FFFFFFFF"/>
      <name val="Arial"/>
    </font>
    <font>
      <b/>
      <sz val="11.0"/>
      <color theme="1"/>
      <name val="Arial"/>
    </font>
    <font>
      <sz val="11.0"/>
      <color rgb="FFA5A5A5"/>
      <name val="Arial"/>
    </font>
    <font>
      <b/>
      <sz val="11.0"/>
      <color rgb="FFFFFFFF"/>
      <name val="G마켓 산스 medium"/>
    </font>
    <font>
      <sz val="11.0"/>
      <color theme="1"/>
      <name val="G마켓 산스 light"/>
    </font>
    <font>
      <b/>
      <sz val="11.0"/>
      <color theme="1"/>
      <name val="G마켓 산스 medium"/>
    </font>
    <font>
      <sz val="11.0"/>
      <color rgb="FFA5A5A5"/>
      <name val="G마켓 산스 medium"/>
    </font>
    <font>
      <sz val="11.0"/>
      <color rgb="FFFFFFFF"/>
      <name val="G마켓 산스 medium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theme="1"/>
        <bgColor theme="1"/>
      </patternFill>
    </fill>
  </fills>
  <borders count="71">
    <border/>
    <border>
      <left style="medium">
        <color rgb="FF000000"/>
      </left>
      <top style="medium">
        <color rgb="FF000000"/>
      </top>
    </border>
    <border>
      <right style="thin">
        <color rgb="FF999999"/>
      </right>
      <top style="medium">
        <color rgb="FF000000"/>
      </top>
    </border>
    <border>
      <left style="thin">
        <color rgb="FF999999"/>
      </left>
      <top style="medium">
        <color rgb="FF000000"/>
      </top>
    </border>
    <border>
      <top style="medium">
        <color rgb="FF000000"/>
      </top>
    </border>
    <border>
      <left style="thin">
        <color rgb="FF999999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B7B7B7"/>
      </bottom>
    </border>
    <border>
      <right style="thin">
        <color rgb="FF666666"/>
      </right>
      <top style="medium">
        <color rgb="FF000000"/>
      </top>
      <bottom style="thin">
        <color rgb="FFB7B7B7"/>
      </bottom>
    </border>
    <border>
      <left style="thin">
        <color rgb="FF666666"/>
      </left>
      <right style="thin">
        <color rgb="FF666666"/>
      </right>
      <top style="medium">
        <color rgb="FF000000"/>
      </top>
      <bottom style="thin">
        <color rgb="FFD9D9D9"/>
      </bottom>
    </border>
    <border>
      <left style="thin">
        <color rgb="FF666666"/>
      </left>
      <top style="medium">
        <color rgb="FF000000"/>
      </top>
      <bottom style="thin">
        <color rgb="FFD9D9D9"/>
      </bottom>
    </border>
    <border>
      <right style="thin">
        <color rgb="FF666666"/>
      </right>
      <top style="medium">
        <color rgb="FF000000"/>
      </top>
      <bottom style="thin">
        <color rgb="FFD9D9D9"/>
      </bottom>
    </border>
    <border>
      <left style="thin">
        <color rgb="FF666666"/>
      </left>
      <right style="medium">
        <color rgb="FF000000"/>
      </right>
      <top style="medium">
        <color rgb="FF000000"/>
      </top>
      <bottom style="thin">
        <color rgb="FFD9D9D9"/>
      </bottom>
    </border>
    <border>
      <left style="thin">
        <color rgb="FF999999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B7B7B7"/>
      </top>
      <bottom style="medium">
        <color rgb="FF000000"/>
      </bottom>
    </border>
    <border>
      <right style="thin">
        <color rgb="FF666666"/>
      </right>
      <top style="thin">
        <color rgb="FFB7B7B7"/>
      </top>
      <bottom style="medium">
        <color rgb="FF000000"/>
      </bottom>
    </border>
    <border>
      <left style="thin">
        <color rgb="FF666666"/>
      </left>
      <right style="thin">
        <color rgb="FF666666"/>
      </right>
      <top style="thin">
        <color rgb="FFD9D9D9"/>
      </top>
      <bottom style="medium">
        <color rgb="FF000000"/>
      </bottom>
    </border>
    <border>
      <left style="thin">
        <color rgb="FF666666"/>
      </left>
      <top style="thin">
        <color rgb="FFD9D9D9"/>
      </top>
      <bottom style="medium">
        <color rgb="FF000000"/>
      </bottom>
    </border>
    <border>
      <right style="thin">
        <color rgb="FF666666"/>
      </right>
      <top style="thin">
        <color rgb="FFD9D9D9"/>
      </top>
      <bottom style="medium">
        <color rgb="FF000000"/>
      </bottom>
    </border>
    <border>
      <left style="thin">
        <color rgb="FF666666"/>
      </left>
      <right style="medium">
        <color rgb="FF000000"/>
      </right>
      <top style="thin">
        <color rgb="FFD9D9D9"/>
      </top>
      <bottom style="medium">
        <color rgb="FF000000"/>
      </bottom>
    </border>
    <border>
      <top style="thin">
        <color rgb="FFCCCCCC"/>
      </top>
      <bottom style="medium">
        <color rgb="FF000000"/>
      </bottom>
    </border>
    <border>
      <left style="thin">
        <color rgb="FF999999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B7B7B7"/>
      </bottom>
    </border>
    <border>
      <right style="medium">
        <color rgb="FF000000"/>
      </right>
      <bottom style="thin">
        <color rgb="FFB7B7B7"/>
      </bottom>
    </border>
    <border>
      <left style="medium">
        <color rgb="FF000000"/>
      </left>
      <right style="medium">
        <color rgb="FF000000"/>
      </right>
    </border>
    <border>
      <bottom style="thin">
        <color rgb="FFB7B7B7"/>
      </bottom>
    </border>
    <border>
      <left style="medium">
        <color rgb="FF000000"/>
      </left>
      <bottom style="thin">
        <color rgb="FF666666"/>
      </bottom>
    </border>
    <border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right style="medium">
        <color rgb="FF000000"/>
      </right>
      <top style="thin">
        <color rgb="FFB7B7B7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000000"/>
      </bottom>
    </border>
    <border>
      <left style="medium">
        <color rgb="FF000000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D9D9D9"/>
      </bottom>
    </border>
    <border>
      <right style="thin">
        <color rgb="FF666666"/>
      </right>
      <top style="thin">
        <color rgb="FF666666"/>
      </top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medium">
        <color rgb="FF000000"/>
      </left>
      <top style="medium">
        <color rgb="FF000000"/>
      </top>
      <bottom style="thin">
        <color rgb="FFD9D9D9"/>
      </bottom>
    </border>
    <border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medium">
        <color rgb="FF000000"/>
      </right>
      <bottom style="thin">
        <color rgb="FFD9D9D9"/>
      </bottom>
    </border>
    <border>
      <left style="medium">
        <color rgb="FF000000"/>
      </left>
      <right style="medium">
        <color rgb="FF000000"/>
      </right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medium">
        <color rgb="FF000000"/>
      </left>
      <right style="medium">
        <color rgb="FF000000"/>
      </right>
      <top style="thin">
        <color rgb="FFD9D9D9"/>
      </top>
      <bottom style="thin">
        <color rgb="FFD9D9D9"/>
      </bottom>
    </border>
    <border>
      <right style="thin">
        <color rgb="FF666666"/>
      </right>
    </border>
    <border>
      <left style="medium">
        <color rgb="FF000000"/>
      </left>
      <top style="thin">
        <color rgb="FFD9D9D9"/>
      </top>
      <bottom style="thin">
        <color rgb="FFD9D9D9"/>
      </bottom>
    </border>
    <border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medium">
        <color rgb="FF000000"/>
      </right>
      <top style="thin">
        <color rgb="FFD9D9D9"/>
      </top>
      <bottom style="thin">
        <color rgb="FF000000"/>
      </bottom>
    </border>
    <border>
      <top style="thin">
        <color rgb="FFD9D9D9"/>
      </top>
      <bottom style="thin">
        <color rgb="FFD9D9D9"/>
      </bottom>
    </border>
    <border>
      <right style="medium">
        <color rgb="FF000000"/>
      </right>
      <top style="thin">
        <color rgb="FF666666"/>
      </top>
      <bottom style="thin">
        <color rgb="FF666666"/>
      </bottom>
    </border>
    <border>
      <bottom style="thin">
        <color rgb="FFD9D9D9"/>
      </bottom>
    </border>
    <border>
      <right style="medium">
        <color rgb="FF000000"/>
      </right>
      <bottom style="thin">
        <color rgb="FFD9D9D9"/>
      </bottom>
    </border>
    <border>
      <left style="medium">
        <color rgb="FF000000"/>
      </left>
      <right style="medium">
        <color rgb="FF000000"/>
      </right>
      <top style="thin">
        <color rgb="FFD9D9D9"/>
      </top>
      <bottom style="medium">
        <color rgb="FF000000"/>
      </bottom>
    </border>
    <border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top style="thin">
        <color rgb="FFD9D9D9"/>
      </top>
      <bottom style="medium">
        <color rgb="FF000000"/>
      </bottom>
    </border>
    <border>
      <right style="medium">
        <color rgb="FF000000"/>
      </right>
      <top style="thin">
        <color rgb="FFD9D9D9"/>
      </top>
      <bottom style="medium">
        <color rgb="FF000000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medium">
        <color rgb="FF000000"/>
      </left>
      <top style="thin">
        <color rgb="FF666666"/>
      </top>
      <bottom style="medium">
        <color rgb="FF000000"/>
      </bottom>
    </border>
    <border>
      <right style="thin">
        <color rgb="FF666666"/>
      </right>
      <top style="thin">
        <color rgb="FF666666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Alignment="1" applyBorder="1" applyFont="1">
      <alignment vertical="center"/>
    </xf>
    <xf borderId="3" fillId="2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6" numFmtId="164" xfId="0" applyAlignment="1" applyBorder="1" applyFont="1" applyNumberFormat="1">
      <alignment horizontal="right" readingOrder="0" vertical="center"/>
    </xf>
    <xf borderId="9" fillId="0" fontId="7" numFmtId="49" xfId="0" applyAlignment="1" applyBorder="1" applyFont="1" applyNumberFormat="1">
      <alignment vertical="center"/>
    </xf>
    <xf borderId="10" fillId="3" fontId="6" numFmtId="0" xfId="0" applyAlignment="1" applyBorder="1" applyFill="1" applyFont="1">
      <alignment horizontal="center" vertical="center"/>
    </xf>
    <xf borderId="11" fillId="3" fontId="6" numFmtId="0" xfId="0" applyAlignment="1" applyBorder="1" applyFont="1">
      <alignment horizontal="center" vertical="center"/>
    </xf>
    <xf borderId="12" fillId="0" fontId="5" numFmtId="0" xfId="0" applyAlignment="1" applyBorder="1" applyFont="1">
      <alignment vertical="center"/>
    </xf>
    <xf borderId="13" fillId="3" fontId="6" numFmtId="0" xfId="0" applyAlignment="1" applyBorder="1" applyFont="1">
      <alignment horizontal="center" vertical="center"/>
    </xf>
    <xf borderId="4" fillId="4" fontId="8" numFmtId="0" xfId="0" applyAlignment="1" applyBorder="1" applyFill="1" applyFont="1">
      <alignment horizontal="center" readingOrder="0" vertical="center"/>
    </xf>
    <xf borderId="14" fillId="4" fontId="7" numFmtId="0" xfId="0" applyAlignment="1" applyBorder="1" applyFont="1">
      <alignment horizontal="center" readingOrder="0" vertical="center"/>
    </xf>
    <xf borderId="1" fillId="5" fontId="6" numFmtId="0" xfId="0" applyAlignment="1" applyBorder="1" applyFill="1" applyFont="1">
      <alignment horizontal="center" vertical="center"/>
    </xf>
    <xf borderId="15" fillId="0" fontId="5" numFmtId="0" xfId="0" applyAlignment="1" applyBorder="1" applyFont="1">
      <alignment vertical="center"/>
    </xf>
    <xf borderId="1" fillId="5" fontId="6" numFmtId="0" xfId="0" applyAlignment="1" applyBorder="1" applyFont="1">
      <alignment horizontal="center" vertical="center"/>
    </xf>
    <xf borderId="16" fillId="5" fontId="6" numFmtId="0" xfId="0" applyAlignment="1" applyBorder="1" applyFont="1">
      <alignment horizontal="center" vertical="center"/>
    </xf>
    <xf borderId="16" fillId="5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vertical="center"/>
    </xf>
    <xf borderId="17" fillId="3" fontId="6" numFmtId="165" xfId="0" applyAlignment="1" applyBorder="1" applyFont="1" applyNumberFormat="1">
      <alignment horizontal="center" vertical="center"/>
    </xf>
    <xf borderId="18" fillId="0" fontId="5" numFmtId="0" xfId="0" applyAlignment="1" applyBorder="1" applyFont="1">
      <alignment vertical="center"/>
    </xf>
    <xf borderId="19" fillId="0" fontId="6" numFmtId="166" xfId="0" applyAlignment="1" applyBorder="1" applyFont="1" applyNumberFormat="1">
      <alignment horizontal="right" vertical="center"/>
    </xf>
    <xf borderId="20" fillId="0" fontId="6" numFmtId="167" xfId="0" applyAlignment="1" applyBorder="1" applyFont="1" applyNumberFormat="1">
      <alignment horizontal="right" vertical="center"/>
    </xf>
    <xf borderId="21" fillId="0" fontId="5" numFmtId="0" xfId="0" applyAlignment="1" applyBorder="1" applyFont="1">
      <alignment vertical="center"/>
    </xf>
    <xf borderId="22" fillId="0" fontId="6" numFmtId="167" xfId="0" applyAlignment="1" applyBorder="1" applyFont="1" applyNumberFormat="1">
      <alignment horizontal="right" vertical="center"/>
    </xf>
    <xf borderId="23" fillId="0" fontId="6" numFmtId="168" xfId="0" applyAlignment="1" applyBorder="1" applyFont="1" applyNumberFormat="1">
      <alignment horizontal="center" vertical="center"/>
    </xf>
    <xf borderId="24" fillId="0" fontId="5" numFmtId="0" xfId="0" applyAlignment="1" applyBorder="1" applyFont="1">
      <alignment vertical="center"/>
    </xf>
    <xf borderId="25" fillId="0" fontId="5" numFmtId="0" xfId="0" applyAlignment="1" applyBorder="1" applyFont="1">
      <alignment vertical="center"/>
    </xf>
    <xf borderId="26" fillId="0" fontId="5" numFmtId="0" xfId="0" applyAlignment="1" applyBorder="1" applyFont="1">
      <alignment vertical="center"/>
    </xf>
    <xf borderId="27" fillId="0" fontId="5" numFmtId="0" xfId="0" applyAlignment="1" applyBorder="1" applyFont="1">
      <alignment vertical="center"/>
    </xf>
    <xf borderId="28" fillId="0" fontId="5" numFmtId="0" xfId="0" applyAlignment="1" applyBorder="1" applyFont="1">
      <alignment vertical="center"/>
    </xf>
    <xf borderId="29" fillId="2" fontId="4" numFmtId="0" xfId="0" applyAlignment="1" applyBorder="1" applyFont="1">
      <alignment horizontal="center" vertical="center"/>
    </xf>
    <xf borderId="30" fillId="0" fontId="5" numFmtId="0" xfId="0" applyAlignment="1" applyBorder="1" applyFont="1">
      <alignment vertical="center"/>
    </xf>
    <xf borderId="31" fillId="0" fontId="5" numFmtId="0" xfId="0" applyAlignment="1" applyBorder="1" applyFont="1">
      <alignment vertical="center"/>
    </xf>
    <xf borderId="30" fillId="2" fontId="4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32" fillId="5" fontId="6" numFmtId="0" xfId="0" applyAlignment="1" applyBorder="1" applyFont="1">
      <alignment horizontal="center" shrinkToFit="0" vertical="center" wrapText="1"/>
    </xf>
    <xf borderId="33" fillId="5" fontId="6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vertical="center"/>
    </xf>
    <xf borderId="35" fillId="5" fontId="6" numFmtId="0" xfId="0" applyAlignment="1" applyBorder="1" applyFont="1">
      <alignment horizontal="center" shrinkToFit="0" vertical="center" wrapText="1"/>
    </xf>
    <xf borderId="36" fillId="2" fontId="9" numFmtId="0" xfId="0" applyAlignment="1" applyBorder="1" applyFont="1">
      <alignment horizontal="center" vertical="center"/>
    </xf>
    <xf borderId="37" fillId="0" fontId="5" numFmtId="0" xfId="0" applyAlignment="1" applyBorder="1" applyFont="1">
      <alignment vertical="center"/>
    </xf>
    <xf borderId="38" fillId="0" fontId="7" numFmtId="0" xfId="0" applyAlignment="1" applyBorder="1" applyFont="1">
      <alignment horizontal="center" vertical="center"/>
    </xf>
    <xf borderId="39" fillId="2" fontId="9" numFmtId="0" xfId="0" applyAlignment="1" applyBorder="1" applyFont="1">
      <alignment horizontal="center" vertical="center"/>
    </xf>
    <xf borderId="40" fillId="2" fontId="9" numFmtId="0" xfId="0" applyAlignment="1" applyBorder="1" applyFont="1">
      <alignment horizontal="center" vertical="center"/>
    </xf>
    <xf borderId="38" fillId="0" fontId="7" numFmtId="169" xfId="0" applyAlignment="1" applyBorder="1" applyFont="1" applyNumberFormat="1">
      <alignment vertical="center"/>
    </xf>
    <xf borderId="41" fillId="0" fontId="7" numFmtId="0" xfId="0" applyAlignment="1" applyBorder="1" applyFont="1">
      <alignment readingOrder="0" vertical="center"/>
    </xf>
    <xf borderId="42" fillId="0" fontId="5" numFmtId="0" xfId="0" applyAlignment="1" applyBorder="1" applyFont="1">
      <alignment vertical="center"/>
    </xf>
    <xf borderId="43" fillId="0" fontId="7" numFmtId="3" xfId="0" applyAlignment="1" applyBorder="1" applyFont="1" applyNumberFormat="1">
      <alignment horizontal="center" readingOrder="0" vertical="center"/>
    </xf>
    <xf borderId="44" fillId="0" fontId="7" numFmtId="3" xfId="0" applyAlignment="1" applyBorder="1" applyFont="1" applyNumberFormat="1">
      <alignment horizontal="center" readingOrder="0" vertical="center"/>
    </xf>
    <xf borderId="43" fillId="0" fontId="7" numFmtId="3" xfId="0" applyAlignment="1" applyBorder="1" applyFont="1" applyNumberFormat="1">
      <alignment horizontal="center" vertical="center"/>
    </xf>
    <xf borderId="44" fillId="0" fontId="7" numFmtId="3" xfId="0" applyAlignment="1" applyBorder="1" applyFont="1" applyNumberFormat="1">
      <alignment horizontal="center" vertical="center"/>
    </xf>
    <xf borderId="45" fillId="4" fontId="6" numFmtId="0" xfId="0" applyAlignment="1" applyBorder="1" applyFont="1">
      <alignment horizontal="center" vertical="center"/>
    </xf>
    <xf borderId="45" fillId="0" fontId="6" numFmtId="170" xfId="0" applyAlignment="1" applyBorder="1" applyFont="1" applyNumberFormat="1">
      <alignment horizontal="right" vertical="center"/>
    </xf>
    <xf borderId="43" fillId="0" fontId="6" numFmtId="170" xfId="0" applyAlignment="1" applyBorder="1" applyFont="1" applyNumberFormat="1">
      <alignment horizontal="right" vertical="center"/>
    </xf>
    <xf borderId="46" fillId="0" fontId="6" numFmtId="170" xfId="0" applyAlignment="1" applyBorder="1" applyFont="1" applyNumberFormat="1">
      <alignment horizontal="right" vertical="center"/>
    </xf>
    <xf borderId="44" fillId="0" fontId="6" numFmtId="170" xfId="0" applyAlignment="1" applyBorder="1" applyFont="1" applyNumberFormat="1">
      <alignment horizontal="right" vertical="center"/>
    </xf>
    <xf borderId="47" fillId="0" fontId="7" numFmtId="0" xfId="0" applyAlignment="1" applyBorder="1" applyFont="1">
      <alignment horizontal="center" vertical="center"/>
    </xf>
    <xf borderId="48" fillId="0" fontId="5" numFmtId="0" xfId="0" applyAlignment="1" applyBorder="1" applyFont="1">
      <alignment vertical="center"/>
    </xf>
    <xf borderId="47" fillId="0" fontId="7" numFmtId="169" xfId="0" applyAlignment="1" applyBorder="1" applyFont="1" applyNumberFormat="1">
      <alignment vertical="center"/>
    </xf>
    <xf borderId="49" fillId="0" fontId="7" numFmtId="0" xfId="0" applyAlignment="1" applyBorder="1" applyFont="1">
      <alignment readingOrder="0" vertical="center"/>
    </xf>
    <xf borderId="50" fillId="0" fontId="5" numFmtId="0" xfId="0" applyAlignment="1" applyBorder="1" applyFont="1">
      <alignment vertical="center"/>
    </xf>
    <xf borderId="51" fillId="0" fontId="7" numFmtId="3" xfId="0" applyAlignment="1" applyBorder="1" applyFont="1" applyNumberFormat="1">
      <alignment horizontal="center" readingOrder="0" vertical="center"/>
    </xf>
    <xf borderId="52" fillId="0" fontId="7" numFmtId="3" xfId="0" applyAlignment="1" applyBorder="1" applyFont="1" applyNumberFormat="1">
      <alignment horizontal="center" readingOrder="0" vertical="center"/>
    </xf>
    <xf borderId="51" fillId="0" fontId="7" numFmtId="3" xfId="0" applyAlignment="1" applyBorder="1" applyFont="1" applyNumberFormat="1">
      <alignment horizontal="center" vertical="center"/>
    </xf>
    <xf borderId="52" fillId="0" fontId="7" numFmtId="3" xfId="0" applyAlignment="1" applyBorder="1" applyFont="1" applyNumberFormat="1">
      <alignment horizontal="center" vertical="center"/>
    </xf>
    <xf borderId="47" fillId="4" fontId="6" numFmtId="0" xfId="0" applyAlignment="1" applyBorder="1" applyFont="1">
      <alignment horizontal="center" vertical="center"/>
    </xf>
    <xf borderId="47" fillId="0" fontId="6" numFmtId="170" xfId="0" applyAlignment="1" applyBorder="1" applyFont="1" applyNumberFormat="1">
      <alignment horizontal="right" vertical="center"/>
    </xf>
    <xf borderId="51" fillId="0" fontId="6" numFmtId="170" xfId="0" applyAlignment="1" applyBorder="1" applyFont="1" applyNumberFormat="1">
      <alignment horizontal="right" vertical="center"/>
    </xf>
    <xf borderId="53" fillId="0" fontId="6" numFmtId="170" xfId="0" applyAlignment="1" applyBorder="1" applyFont="1" applyNumberFormat="1">
      <alignment horizontal="right" vertical="center"/>
    </xf>
    <xf borderId="52" fillId="0" fontId="6" numFmtId="170" xfId="0" applyAlignment="1" applyBorder="1" applyFont="1" applyNumberFormat="1">
      <alignment horizontal="right" vertical="center"/>
    </xf>
    <xf borderId="54" fillId="0" fontId="7" numFmtId="169" xfId="0" applyAlignment="1" applyBorder="1" applyFont="1" applyNumberFormat="1">
      <alignment vertical="center"/>
    </xf>
    <xf borderId="55" fillId="0" fontId="7" numFmtId="0" xfId="0" applyAlignment="1" applyBorder="1" applyFont="1">
      <alignment vertical="center"/>
    </xf>
    <xf borderId="56" fillId="0" fontId="5" numFmtId="0" xfId="0" applyAlignment="1" applyBorder="1" applyFont="1">
      <alignment vertical="center"/>
    </xf>
    <xf borderId="50" fillId="0" fontId="6" numFmtId="0" xfId="0" applyAlignment="1" applyBorder="1" applyFont="1">
      <alignment horizontal="center" vertical="center"/>
    </xf>
    <xf borderId="45" fillId="0" fontId="7" numFmtId="169" xfId="0" applyAlignment="1" applyBorder="1" applyFont="1" applyNumberFormat="1">
      <alignment vertical="center"/>
    </xf>
    <xf borderId="57" fillId="0" fontId="7" numFmtId="0" xfId="0" applyAlignment="1" applyBorder="1" applyFont="1">
      <alignment vertical="center"/>
    </xf>
    <xf borderId="58" fillId="0" fontId="5" numFmtId="0" xfId="0" applyAlignment="1" applyBorder="1" applyFont="1">
      <alignment vertical="center"/>
    </xf>
    <xf borderId="59" fillId="0" fontId="6" numFmtId="0" xfId="0" applyAlignment="1" applyBorder="1" applyFont="1">
      <alignment horizontal="center" vertical="center"/>
    </xf>
    <xf borderId="36" fillId="2" fontId="9" numFmtId="0" xfId="0" applyAlignment="1" applyBorder="1" applyFont="1">
      <alignment horizontal="center" shrinkToFit="0" vertical="center" wrapText="1"/>
    </xf>
    <xf borderId="60" fillId="0" fontId="5" numFmtId="0" xfId="0" applyAlignment="1" applyBorder="1" applyFont="1">
      <alignment vertical="center"/>
    </xf>
    <xf borderId="36" fillId="2" fontId="9" numFmtId="0" xfId="0" applyAlignment="1" applyBorder="1" applyFont="1">
      <alignment horizontal="center" shrinkToFit="0" vertical="center" wrapText="1"/>
    </xf>
    <xf borderId="58" fillId="0" fontId="10" numFmtId="171" xfId="0" applyAlignment="1" applyBorder="1" applyFont="1" applyNumberFormat="1">
      <alignment horizontal="right" vertical="center"/>
    </xf>
    <xf borderId="50" fillId="0" fontId="10" numFmtId="171" xfId="0" applyAlignment="1" applyBorder="1" applyFont="1" applyNumberFormat="1">
      <alignment horizontal="right" vertical="center"/>
    </xf>
    <xf borderId="61" fillId="2" fontId="9" numFmtId="0" xfId="0" applyAlignment="1" applyBorder="1" applyFont="1">
      <alignment horizontal="center" vertical="center"/>
    </xf>
    <xf borderId="62" fillId="0" fontId="7" numFmtId="0" xfId="0" applyAlignment="1" applyBorder="1" applyFont="1">
      <alignment vertical="center"/>
    </xf>
    <xf borderId="63" fillId="0" fontId="5" numFmtId="0" xfId="0" applyAlignment="1" applyBorder="1" applyFont="1">
      <alignment vertical="center"/>
    </xf>
    <xf borderId="64" fillId="0" fontId="7" numFmtId="3" xfId="0" applyAlignment="1" applyBorder="1" applyFont="1" applyNumberFormat="1">
      <alignment horizontal="center" vertical="center"/>
    </xf>
    <xf borderId="65" fillId="0" fontId="7" numFmtId="3" xfId="0" applyAlignment="1" applyBorder="1" applyFont="1" applyNumberFormat="1">
      <alignment horizontal="center" vertical="center"/>
    </xf>
    <xf borderId="59" fillId="4" fontId="6" numFmtId="0" xfId="0" applyAlignment="1" applyBorder="1" applyFont="1">
      <alignment horizontal="center" vertical="center"/>
    </xf>
    <xf borderId="59" fillId="0" fontId="6" numFmtId="170" xfId="0" applyAlignment="1" applyBorder="1" applyFont="1" applyNumberFormat="1">
      <alignment horizontal="right" vertical="center"/>
    </xf>
    <xf borderId="64" fillId="0" fontId="6" numFmtId="170" xfId="0" applyAlignment="1" applyBorder="1" applyFont="1" applyNumberFormat="1">
      <alignment horizontal="right" vertical="center"/>
    </xf>
    <xf borderId="66" fillId="0" fontId="6" numFmtId="170" xfId="0" applyAlignment="1" applyBorder="1" applyFont="1" applyNumberFormat="1">
      <alignment horizontal="right" vertical="center"/>
    </xf>
    <xf borderId="65" fillId="0" fontId="6" numFmtId="170" xfId="0" applyAlignment="1" applyBorder="1" applyFont="1" applyNumberFormat="1">
      <alignment horizontal="right" vertical="center"/>
    </xf>
    <xf borderId="67" fillId="2" fontId="9" numFmtId="0" xfId="0" applyAlignment="1" applyBorder="1" applyFont="1">
      <alignment horizontal="center" vertical="center"/>
    </xf>
    <xf borderId="68" fillId="0" fontId="5" numFmtId="0" xfId="0" applyAlignment="1" applyBorder="1" applyFont="1">
      <alignment vertical="center"/>
    </xf>
    <xf borderId="59" fillId="0" fontId="10" numFmtId="172" xfId="0" applyAlignment="1" applyBorder="1" applyFont="1" applyNumberFormat="1">
      <alignment horizontal="right" vertical="center"/>
    </xf>
    <xf borderId="34" fillId="0" fontId="7" numFmtId="169" xfId="0" applyAlignment="1" applyBorder="1" applyFont="1" applyNumberFormat="1">
      <alignment vertical="center"/>
    </xf>
    <xf borderId="69" fillId="2" fontId="9" numFmtId="0" xfId="0" applyAlignment="1" applyBorder="1" applyFont="1">
      <alignment horizontal="center" shrinkToFit="0" vertical="center" wrapText="1"/>
    </xf>
    <xf borderId="6" fillId="0" fontId="7" numFmtId="49" xfId="0" applyAlignment="1" applyBorder="1" applyFont="1" applyNumberFormat="1">
      <alignment vertical="center"/>
    </xf>
    <xf borderId="70" fillId="2" fontId="9" numFmtId="0" xfId="0" applyAlignment="1" applyBorder="1" applyFont="1">
      <alignment horizontal="center" shrinkToFit="0" vertical="center" wrapText="1"/>
    </xf>
    <xf borderId="6" fillId="0" fontId="7" numFmtId="49" xfId="0" applyAlignment="1" applyBorder="1" applyFont="1" applyNumberFormat="1">
      <alignment vertical="center"/>
    </xf>
    <xf borderId="34" fillId="4" fontId="10" numFmtId="170" xfId="0" applyAlignment="1" applyBorder="1" applyFont="1" applyNumberFormat="1">
      <alignment horizontal="right" vertical="center"/>
    </xf>
    <xf borderId="0" fillId="0" fontId="11" numFmtId="0" xfId="0" applyAlignment="1" applyFont="1">
      <alignment horizontal="right" vertical="bottom"/>
    </xf>
    <xf borderId="41" fillId="0" fontId="6" numFmtId="0" xfId="0" applyAlignment="1" applyBorder="1" applyFont="1">
      <alignment readingOrder="0" vertical="center"/>
    </xf>
    <xf borderId="55" fillId="0" fontId="6" numFmtId="0" xfId="0" applyAlignment="1" applyBorder="1" applyFont="1">
      <alignment readingOrder="0" vertical="center"/>
    </xf>
    <xf borderId="49" fillId="0" fontId="6" numFmtId="0" xfId="0" applyAlignment="1" applyBorder="1" applyFont="1">
      <alignment readingOrder="0" vertical="center"/>
    </xf>
    <xf borderId="55" fillId="0" fontId="7" numFmtId="0" xfId="0" applyAlignment="1" applyBorder="1" applyFont="1">
      <alignment readingOrder="0" vertical="center"/>
    </xf>
    <xf borderId="51" fillId="0" fontId="7" numFmtId="173" xfId="0" applyAlignment="1" applyBorder="1" applyFont="1" applyNumberFormat="1">
      <alignment horizontal="center" readingOrder="0" vertical="center"/>
    </xf>
    <xf borderId="5" fillId="2" fontId="12" numFmtId="0" xfId="0" applyAlignment="1" applyBorder="1" applyFont="1">
      <alignment horizontal="center" readingOrder="0" vertical="center"/>
    </xf>
    <xf borderId="16" fillId="5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32" fillId="5" fontId="13" numFmtId="0" xfId="0" applyAlignment="1" applyBorder="1" applyFont="1">
      <alignment horizontal="center" shrinkToFit="0" vertical="center" wrapText="1"/>
    </xf>
    <xf borderId="35" fillId="5" fontId="13" numFmtId="0" xfId="0" applyAlignment="1" applyBorder="1" applyFont="1">
      <alignment horizontal="center" shrinkToFit="0" vertical="center" wrapText="1"/>
    </xf>
    <xf borderId="33" fillId="5" fontId="13" numFmtId="0" xfId="0" applyAlignment="1" applyBorder="1" applyFont="1">
      <alignment horizontal="center" shrinkToFit="0" vertical="center" wrapText="1"/>
    </xf>
    <xf borderId="43" fillId="0" fontId="7" numFmtId="173" xfId="0" applyAlignment="1" applyBorder="1" applyFont="1" applyNumberFormat="1">
      <alignment horizontal="center" readingOrder="0" vertical="center"/>
    </xf>
    <xf borderId="45" fillId="0" fontId="1" numFmtId="170" xfId="0" applyAlignment="1" applyBorder="1" applyFont="1" applyNumberFormat="1">
      <alignment vertical="center"/>
    </xf>
    <xf borderId="43" fillId="0" fontId="1" numFmtId="170" xfId="0" applyAlignment="1" applyBorder="1" applyFont="1" applyNumberFormat="1">
      <alignment vertical="center"/>
    </xf>
    <xf borderId="46" fillId="0" fontId="1" numFmtId="170" xfId="0" applyAlignment="1" applyBorder="1" applyFont="1" applyNumberFormat="1">
      <alignment vertical="center"/>
    </xf>
    <xf borderId="44" fillId="0" fontId="1" numFmtId="170" xfId="0" applyAlignment="1" applyBorder="1" applyFont="1" applyNumberFormat="1">
      <alignment vertical="center"/>
    </xf>
    <xf borderId="49" fillId="0" fontId="7" numFmtId="0" xfId="0" applyAlignment="1" applyBorder="1" applyFont="1">
      <alignment vertical="center"/>
    </xf>
    <xf borderId="47" fillId="0" fontId="1" numFmtId="170" xfId="0" applyAlignment="1" applyBorder="1" applyFont="1" applyNumberFormat="1">
      <alignment vertical="center"/>
    </xf>
    <xf borderId="51" fillId="0" fontId="1" numFmtId="170" xfId="0" applyAlignment="1" applyBorder="1" applyFont="1" applyNumberFormat="1">
      <alignment vertical="center"/>
    </xf>
    <xf borderId="53" fillId="0" fontId="1" numFmtId="170" xfId="0" applyAlignment="1" applyBorder="1" applyFont="1" applyNumberFormat="1">
      <alignment vertical="center"/>
    </xf>
    <xf borderId="52" fillId="0" fontId="1" numFmtId="170" xfId="0" applyAlignment="1" applyBorder="1" applyFont="1" applyNumberFormat="1">
      <alignment vertical="center"/>
    </xf>
    <xf borderId="57" fillId="0" fontId="6" numFmtId="0" xfId="0" applyAlignment="1" applyBorder="1" applyFont="1">
      <alignment readingOrder="0" vertical="center"/>
    </xf>
    <xf borderId="59" fillId="0" fontId="1" numFmtId="170" xfId="0" applyAlignment="1" applyBorder="1" applyFont="1" applyNumberFormat="1">
      <alignment vertical="center"/>
    </xf>
    <xf borderId="64" fillId="0" fontId="1" numFmtId="170" xfId="0" applyAlignment="1" applyBorder="1" applyFont="1" applyNumberFormat="1">
      <alignment vertical="center"/>
    </xf>
    <xf borderId="66" fillId="0" fontId="1" numFmtId="170" xfId="0" applyAlignment="1" applyBorder="1" applyFont="1" applyNumberFormat="1">
      <alignment vertical="center"/>
    </xf>
    <xf borderId="65" fillId="0" fontId="1" numFmtId="170" xfId="0" applyAlignment="1" applyBorder="1" applyFont="1" applyNumberFormat="1">
      <alignment vertical="center"/>
    </xf>
    <xf borderId="34" fillId="4" fontId="14" numFmtId="170" xfId="0" applyAlignment="1" applyBorder="1" applyFont="1" applyNumberFormat="1">
      <alignment vertical="center"/>
    </xf>
    <xf borderId="0" fillId="0" fontId="15" numFmtId="0" xfId="0" applyAlignment="1" applyFont="1">
      <alignment horizontal="right" vertical="bottom"/>
    </xf>
    <xf borderId="45" fillId="4" fontId="6" numFmtId="0" xfId="0" applyAlignment="1" applyBorder="1" applyFont="1">
      <alignment horizontal="center" readingOrder="0" vertical="center"/>
    </xf>
    <xf borderId="57" fillId="0" fontId="7" numFmtId="0" xfId="0" applyAlignment="1" applyBorder="1" applyFont="1">
      <alignment readingOrder="0" vertical="center"/>
    </xf>
    <xf borderId="69" fillId="7" fontId="16" numFmtId="0" xfId="0" applyAlignment="1" applyBorder="1" applyFill="1" applyFont="1">
      <alignment horizontal="center" readingOrder="0" shrinkToFit="0" vertical="center" wrapText="1"/>
    </xf>
    <xf borderId="6" fillId="0" fontId="1" numFmtId="49" xfId="0" applyAlignment="1" applyBorder="1" applyFont="1" applyNumberFormat="1">
      <alignment horizontal="left" readingOrder="0" vertical="center"/>
    </xf>
    <xf borderId="70" fillId="7" fontId="16" numFmtId="0" xfId="0" applyAlignment="1" applyBorder="1" applyFont="1">
      <alignment horizontal="center" readingOrder="0" shrinkToFit="0" vertical="center" wrapText="1"/>
    </xf>
    <xf borderId="6" fillId="0" fontId="1" numFmtId="49" xfId="0" applyAlignment="1" applyBorder="1" applyFont="1" applyNumberFormat="1">
      <alignment horizontal="left" readingOrder="0" vertical="center"/>
    </xf>
    <xf borderId="47" fillId="4" fontId="6" numFmtId="0" xfId="0" applyAlignment="1" applyBorder="1" applyFont="1">
      <alignment horizontal="center" readingOrder="0" vertical="center"/>
    </xf>
    <xf borderId="41" fillId="0" fontId="7" numFmtId="0" xfId="0" applyAlignment="1" applyBorder="1" applyFont="1">
      <alignment vertical="center"/>
    </xf>
    <xf borderId="8" fillId="0" fontId="6" numFmtId="164" xfId="0" applyAlignment="1" applyBorder="1" applyFont="1" applyNumberFormat="1">
      <alignment horizontal="right" vertical="center"/>
    </xf>
    <xf borderId="4" fillId="4" fontId="8" numFmtId="0" xfId="0" applyAlignment="1" applyBorder="1" applyFont="1">
      <alignment horizontal="center" vertical="center"/>
    </xf>
    <xf borderId="14" fillId="4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3" width="7.25"/>
    <col customWidth="1" min="4" max="4" width="14.5"/>
    <col customWidth="1" min="5" max="5" width="3.5"/>
    <col customWidth="1" min="6" max="6" width="11.38"/>
    <col customWidth="1" min="7" max="7" width="5.0"/>
    <col customWidth="1" min="8" max="8" width="10.88"/>
    <col customWidth="1" min="9" max="9" width="10.63"/>
    <col customWidth="1" min="10" max="25" width="5.0"/>
    <col customWidth="1" min="26" max="26" width="5.5"/>
    <col customWidth="1" min="27" max="27" width="8.63"/>
    <col customWidth="1" min="28" max="30" width="6.38"/>
    <col customWidth="1" min="31" max="32" width="5.63"/>
    <col customWidth="1" min="33" max="33" width="2.75"/>
  </cols>
  <sheetData>
    <row r="1" ht="21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/>
    </row>
    <row r="2" ht="21.0" customHeight="1">
      <c r="A2" s="1"/>
      <c r="B2" s="2" t="s">
        <v>0</v>
      </c>
      <c r="AG2" s="1"/>
    </row>
    <row r="3" ht="21.0" customHeight="1">
      <c r="A3" s="1"/>
      <c r="B3" s="1"/>
      <c r="C3" s="1"/>
      <c r="D3" s="1"/>
      <c r="E3" s="1"/>
      <c r="F3" s="1"/>
      <c r="G3" s="1"/>
      <c r="H3" s="1"/>
      <c r="I3" s="1"/>
      <c r="AA3" s="1"/>
      <c r="AB3" s="1"/>
      <c r="AC3" s="3"/>
      <c r="AD3" s="1"/>
      <c r="AE3" s="1"/>
      <c r="AF3" s="1"/>
      <c r="AG3" s="1"/>
    </row>
    <row r="4" ht="21.0" customHeight="1">
      <c r="A4" s="1"/>
      <c r="B4" s="4" t="s">
        <v>1</v>
      </c>
      <c r="C4" s="5"/>
      <c r="D4" s="6" t="s">
        <v>2</v>
      </c>
      <c r="E4" s="7"/>
      <c r="F4" s="7"/>
      <c r="G4" s="5"/>
      <c r="H4" s="8" t="s">
        <v>3</v>
      </c>
      <c r="I4" s="8" t="s">
        <v>4</v>
      </c>
      <c r="J4" s="9" t="s">
        <v>5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5"/>
      <c r="AA4" s="10" t="s">
        <v>6</v>
      </c>
      <c r="AB4" s="11"/>
      <c r="AC4" s="11"/>
      <c r="AD4" s="11"/>
      <c r="AE4" s="11"/>
      <c r="AF4" s="12"/>
      <c r="AG4" s="1"/>
    </row>
    <row r="5" ht="21.0" customHeight="1">
      <c r="A5" s="1"/>
      <c r="B5" s="13">
        <v>46034.0</v>
      </c>
      <c r="C5" s="14" t="str">
        <f>if(B5="0/0","",choose(weekday(B5),"(일)","(월)","(화)","(수)","(목)","(금)","(토)"))</f>
        <v>(월)</v>
      </c>
      <c r="D5" s="15" t="s">
        <v>7</v>
      </c>
      <c r="E5" s="16" t="s">
        <v>8</v>
      </c>
      <c r="F5" s="17"/>
      <c r="G5" s="18" t="s">
        <v>9</v>
      </c>
      <c r="H5" s="19" t="s">
        <v>10</v>
      </c>
      <c r="I5" s="20" t="s">
        <v>11</v>
      </c>
      <c r="J5" s="21" t="s">
        <v>12</v>
      </c>
      <c r="K5" s="22"/>
      <c r="L5" s="21" t="s">
        <v>13</v>
      </c>
      <c r="M5" s="22"/>
      <c r="N5" s="21" t="s">
        <v>14</v>
      </c>
      <c r="O5" s="22"/>
      <c r="P5" s="21" t="s">
        <v>15</v>
      </c>
      <c r="Q5" s="22"/>
      <c r="R5" s="23" t="s">
        <v>16</v>
      </c>
      <c r="S5" s="22"/>
      <c r="T5" s="23" t="s">
        <v>17</v>
      </c>
      <c r="U5" s="22"/>
      <c r="V5" s="23" t="s">
        <v>18</v>
      </c>
      <c r="W5" s="22"/>
      <c r="X5" s="23" t="s">
        <v>19</v>
      </c>
      <c r="Y5" s="22"/>
      <c r="Z5" s="24" t="s">
        <v>20</v>
      </c>
      <c r="AA5" s="25" t="s">
        <v>21</v>
      </c>
      <c r="AB5" s="26" t="s">
        <v>22</v>
      </c>
      <c r="AC5" s="7"/>
      <c r="AD5" s="22"/>
      <c r="AE5" s="23" t="s">
        <v>23</v>
      </c>
      <c r="AF5" s="22"/>
      <c r="AG5" s="1"/>
    </row>
    <row r="6" ht="21.0" customHeight="1">
      <c r="A6" s="1"/>
      <c r="B6" s="27">
        <f>iferror(B5-'현황'!$C$4+1,0)</f>
        <v>0</v>
      </c>
      <c r="C6" s="28"/>
      <c r="D6" s="29">
        <v>0.0</v>
      </c>
      <c r="E6" s="30">
        <v>0.0</v>
      </c>
      <c r="F6" s="31"/>
      <c r="G6" s="32">
        <v>0.0</v>
      </c>
      <c r="H6" s="33">
        <v>0.0</v>
      </c>
      <c r="I6" s="34"/>
      <c r="J6" s="35"/>
      <c r="K6" s="36"/>
      <c r="L6" s="35"/>
      <c r="M6" s="36"/>
      <c r="N6" s="35"/>
      <c r="O6" s="36"/>
      <c r="P6" s="35"/>
      <c r="Q6" s="36"/>
      <c r="R6" s="35"/>
      <c r="S6" s="36"/>
      <c r="T6" s="35"/>
      <c r="U6" s="36"/>
      <c r="V6" s="35"/>
      <c r="W6" s="36"/>
      <c r="X6" s="35"/>
      <c r="Y6" s="36"/>
      <c r="Z6" s="37"/>
      <c r="AA6" s="37"/>
      <c r="AB6" s="35"/>
      <c r="AC6" s="38"/>
      <c r="AD6" s="36"/>
      <c r="AE6" s="35"/>
      <c r="AF6" s="36"/>
      <c r="AG6" s="1"/>
    </row>
    <row r="7" ht="21.0" customHeight="1">
      <c r="A7" s="1"/>
      <c r="B7" s="39" t="s">
        <v>24</v>
      </c>
      <c r="C7" s="40"/>
      <c r="D7" s="41"/>
      <c r="E7" s="42" t="s">
        <v>25</v>
      </c>
      <c r="F7" s="40"/>
      <c r="G7" s="41"/>
      <c r="H7" s="43" t="s">
        <v>26</v>
      </c>
      <c r="J7" s="44" t="s">
        <v>27</v>
      </c>
      <c r="K7" s="45" t="s">
        <v>28</v>
      </c>
      <c r="L7" s="44" t="s">
        <v>27</v>
      </c>
      <c r="M7" s="45" t="s">
        <v>28</v>
      </c>
      <c r="N7" s="44" t="s">
        <v>27</v>
      </c>
      <c r="O7" s="45" t="s">
        <v>28</v>
      </c>
      <c r="P7" s="44" t="s">
        <v>27</v>
      </c>
      <c r="Q7" s="45" t="s">
        <v>28</v>
      </c>
      <c r="R7" s="44" t="s">
        <v>27</v>
      </c>
      <c r="S7" s="45" t="s">
        <v>28</v>
      </c>
      <c r="T7" s="44" t="s">
        <v>27</v>
      </c>
      <c r="U7" s="45" t="s">
        <v>28</v>
      </c>
      <c r="V7" s="44" t="s">
        <v>27</v>
      </c>
      <c r="W7" s="45" t="s">
        <v>28</v>
      </c>
      <c r="X7" s="44" t="s">
        <v>27</v>
      </c>
      <c r="Y7" s="45" t="s">
        <v>28</v>
      </c>
      <c r="Z7" s="46"/>
      <c r="AA7" s="46"/>
      <c r="AB7" s="44" t="s">
        <v>29</v>
      </c>
      <c r="AC7" s="47" t="s">
        <v>30</v>
      </c>
      <c r="AD7" s="45" t="s">
        <v>31</v>
      </c>
      <c r="AE7" s="44" t="s">
        <v>27</v>
      </c>
      <c r="AF7" s="45" t="s">
        <v>28</v>
      </c>
      <c r="AG7" s="1"/>
    </row>
    <row r="8" ht="21.0" customHeight="1">
      <c r="A8" s="1"/>
      <c r="B8" s="48" t="s">
        <v>32</v>
      </c>
      <c r="C8" s="49"/>
      <c r="D8" s="50"/>
      <c r="E8" s="51" t="s">
        <v>33</v>
      </c>
      <c r="F8" s="52" t="s">
        <v>34</v>
      </c>
      <c r="G8" s="53"/>
      <c r="H8" s="54" t="s">
        <v>35</v>
      </c>
      <c r="I8" s="55"/>
      <c r="J8" s="56">
        <v>10.0</v>
      </c>
      <c r="K8" s="57">
        <v>12.0</v>
      </c>
      <c r="L8" s="56">
        <v>10.0</v>
      </c>
      <c r="M8" s="57">
        <v>10.0</v>
      </c>
      <c r="N8" s="56">
        <v>10.0</v>
      </c>
      <c r="O8" s="57">
        <v>12.0</v>
      </c>
      <c r="P8" s="56">
        <v>10.0</v>
      </c>
      <c r="Q8" s="57">
        <v>15.0</v>
      </c>
      <c r="R8" s="56">
        <v>10.0</v>
      </c>
      <c r="S8" s="57">
        <v>15.0</v>
      </c>
      <c r="T8" s="58"/>
      <c r="U8" s="59"/>
      <c r="V8" s="58"/>
      <c r="W8" s="59"/>
      <c r="X8" s="58"/>
      <c r="Y8" s="59"/>
      <c r="Z8" s="60" t="b">
        <v>0</v>
      </c>
      <c r="AA8" s="61">
        <f t="shared" ref="AA8:AA16" si="1">(J8*K8+L8*M8+N8*O8+P8*Q8+R8*S8+T8*U8+V8*W8+X8*Y8)*if(Z8=true,0.453592,1)</f>
        <v>640</v>
      </c>
      <c r="AB8" s="62">
        <f t="shared" ref="AB8:AB16" si="2">SUM(AE8*AF8*0.025,AE8)</f>
        <v>13.75</v>
      </c>
      <c r="AC8" s="63">
        <f t="shared" ref="AC8:AC16" si="3">AB8*87%</f>
        <v>11.9625</v>
      </c>
      <c r="AD8" s="64">
        <f t="shared" ref="AD8:AD16" si="4">AB8*67%</f>
        <v>9.2125</v>
      </c>
      <c r="AE8" s="62">
        <f t="shared" ref="AE8:AE16" si="5">MAX(J8,L8,N8,P8,R8,T8,V8,X8)*if(Z8=true,0.453592,1)</f>
        <v>10</v>
      </c>
      <c r="AF8" s="64">
        <f t="shared" ref="AF8:AF16" si="6">MAX(IF(J8*if(Z8=true,0.453592,1)=$AE8,K8,0),IF(L8*if(Z8=true,0.453592,1)=$AE8,M8,0),IF(N8*if(Z8=true,0.453592,1)=$AE8,O8,0),IF(P8*if(Z8=true,0.453592,1)=$AE8,Q8,0),IF(R8*if(Z8=true,0.453592,1)=$AE8,S8,0),IF(T8*if(Z8=true,0.453592,1)=$AE8,U8,0),IF(V8*if(Z8=true,0.453592,1)=$AE8,W8,0),IF(X8*if(Z8=true,0.453592,1)=$AE8,Y8,0))</f>
        <v>15</v>
      </c>
      <c r="AG8" s="1"/>
    </row>
    <row r="9" ht="21.0" customHeight="1">
      <c r="A9" s="1"/>
      <c r="B9" s="48" t="s">
        <v>36</v>
      </c>
      <c r="C9" s="49"/>
      <c r="D9" s="65"/>
      <c r="E9" s="66"/>
      <c r="F9" s="52" t="s">
        <v>37</v>
      </c>
      <c r="G9" s="67"/>
      <c r="H9" s="68" t="s">
        <v>38</v>
      </c>
      <c r="I9" s="69"/>
      <c r="J9" s="70">
        <v>10.0</v>
      </c>
      <c r="K9" s="71">
        <v>5.0</v>
      </c>
      <c r="L9" s="70">
        <v>10.0</v>
      </c>
      <c r="M9" s="71">
        <v>5.0</v>
      </c>
      <c r="N9" s="70">
        <v>10.0</v>
      </c>
      <c r="O9" s="71">
        <v>5.0</v>
      </c>
      <c r="P9" s="72"/>
      <c r="Q9" s="73"/>
      <c r="R9" s="72"/>
      <c r="S9" s="73"/>
      <c r="T9" s="72"/>
      <c r="U9" s="73"/>
      <c r="V9" s="72"/>
      <c r="W9" s="73"/>
      <c r="X9" s="72"/>
      <c r="Y9" s="73"/>
      <c r="Z9" s="74" t="b">
        <v>0</v>
      </c>
      <c r="AA9" s="75">
        <f t="shared" si="1"/>
        <v>150</v>
      </c>
      <c r="AB9" s="76">
        <f t="shared" si="2"/>
        <v>11.25</v>
      </c>
      <c r="AC9" s="77">
        <f t="shared" si="3"/>
        <v>9.7875</v>
      </c>
      <c r="AD9" s="78">
        <f t="shared" si="4"/>
        <v>7.5375</v>
      </c>
      <c r="AE9" s="76">
        <f t="shared" si="5"/>
        <v>10</v>
      </c>
      <c r="AF9" s="78">
        <f t="shared" si="6"/>
        <v>5</v>
      </c>
      <c r="AG9" s="1"/>
    </row>
    <row r="10" ht="21.0" customHeight="1">
      <c r="A10" s="1"/>
      <c r="B10" s="48" t="s">
        <v>39</v>
      </c>
      <c r="C10" s="49"/>
      <c r="D10" s="65"/>
      <c r="E10" s="41"/>
      <c r="F10" s="52" t="s">
        <v>40</v>
      </c>
      <c r="G10" s="79"/>
      <c r="H10" s="80"/>
      <c r="I10" s="69"/>
      <c r="J10" s="72"/>
      <c r="K10" s="73"/>
      <c r="L10" s="72"/>
      <c r="M10" s="73"/>
      <c r="N10" s="72"/>
      <c r="O10" s="73"/>
      <c r="P10" s="72"/>
      <c r="Q10" s="73"/>
      <c r="R10" s="72"/>
      <c r="S10" s="73"/>
      <c r="T10" s="72"/>
      <c r="U10" s="73"/>
      <c r="V10" s="72"/>
      <c r="W10" s="73"/>
      <c r="X10" s="72"/>
      <c r="Y10" s="73"/>
      <c r="Z10" s="74" t="b">
        <v>0</v>
      </c>
      <c r="AA10" s="75">
        <f t="shared" si="1"/>
        <v>0</v>
      </c>
      <c r="AB10" s="76">
        <f t="shared" si="2"/>
        <v>0</v>
      </c>
      <c r="AC10" s="77">
        <f t="shared" si="3"/>
        <v>0</v>
      </c>
      <c r="AD10" s="78">
        <f t="shared" si="4"/>
        <v>0</v>
      </c>
      <c r="AE10" s="76">
        <f t="shared" si="5"/>
        <v>0</v>
      </c>
      <c r="AF10" s="78">
        <f t="shared" si="6"/>
        <v>0</v>
      </c>
      <c r="AG10" s="1"/>
    </row>
    <row r="11" ht="21.0" customHeight="1">
      <c r="A11" s="1"/>
      <c r="B11" s="48" t="s">
        <v>41</v>
      </c>
      <c r="C11" s="81"/>
      <c r="D11" s="82" t="b">
        <v>0</v>
      </c>
      <c r="E11" s="51" t="s">
        <v>42</v>
      </c>
      <c r="F11" s="52" t="s">
        <v>34</v>
      </c>
      <c r="G11" s="83"/>
      <c r="H11" s="84"/>
      <c r="I11" s="85"/>
      <c r="J11" s="72"/>
      <c r="K11" s="73"/>
      <c r="L11" s="72"/>
      <c r="M11" s="73"/>
      <c r="N11" s="72"/>
      <c r="O11" s="73"/>
      <c r="P11" s="72"/>
      <c r="Q11" s="73"/>
      <c r="R11" s="72"/>
      <c r="S11" s="73"/>
      <c r="T11" s="72"/>
      <c r="U11" s="73"/>
      <c r="V11" s="72"/>
      <c r="W11" s="73"/>
      <c r="X11" s="72"/>
      <c r="Y11" s="73"/>
      <c r="Z11" s="74" t="b">
        <v>0</v>
      </c>
      <c r="AA11" s="75">
        <f t="shared" si="1"/>
        <v>0</v>
      </c>
      <c r="AB11" s="76">
        <f t="shared" si="2"/>
        <v>0</v>
      </c>
      <c r="AC11" s="77">
        <f t="shared" si="3"/>
        <v>0</v>
      </c>
      <c r="AD11" s="78">
        <f t="shared" si="4"/>
        <v>0</v>
      </c>
      <c r="AE11" s="76">
        <f t="shared" si="5"/>
        <v>0</v>
      </c>
      <c r="AF11" s="78">
        <f t="shared" si="6"/>
        <v>0</v>
      </c>
      <c r="AG11" s="1"/>
    </row>
    <row r="12" ht="21.0" customHeight="1">
      <c r="A12" s="1"/>
      <c r="B12" s="48" t="s">
        <v>43</v>
      </c>
      <c r="C12" s="49"/>
      <c r="D12" s="86" t="b">
        <v>0</v>
      </c>
      <c r="E12" s="66"/>
      <c r="F12" s="52" t="s">
        <v>37</v>
      </c>
      <c r="G12" s="67"/>
      <c r="H12" s="80"/>
      <c r="I12" s="69"/>
      <c r="J12" s="72"/>
      <c r="K12" s="73"/>
      <c r="L12" s="72"/>
      <c r="M12" s="73"/>
      <c r="N12" s="72"/>
      <c r="O12" s="73"/>
      <c r="P12" s="72"/>
      <c r="Q12" s="73"/>
      <c r="R12" s="72"/>
      <c r="S12" s="73"/>
      <c r="T12" s="72"/>
      <c r="U12" s="73"/>
      <c r="V12" s="72"/>
      <c r="W12" s="73"/>
      <c r="X12" s="72"/>
      <c r="Y12" s="73"/>
      <c r="Z12" s="74" t="b">
        <v>0</v>
      </c>
      <c r="AA12" s="75">
        <f t="shared" si="1"/>
        <v>0</v>
      </c>
      <c r="AB12" s="76">
        <f t="shared" si="2"/>
        <v>0</v>
      </c>
      <c r="AC12" s="77">
        <f t="shared" si="3"/>
        <v>0</v>
      </c>
      <c r="AD12" s="78">
        <f t="shared" si="4"/>
        <v>0</v>
      </c>
      <c r="AE12" s="76">
        <f t="shared" si="5"/>
        <v>0</v>
      </c>
      <c r="AF12" s="78">
        <f t="shared" si="6"/>
        <v>0</v>
      </c>
      <c r="AG12" s="1"/>
    </row>
    <row r="13" ht="21.0" customHeight="1">
      <c r="A13" s="1"/>
      <c r="B13" s="87" t="str">
        <f t="array" ref="B13">"📌최근 인바디 결과 : "&amp;text(xlookup(B5,'현황'!O:O,'현황'!O:O,,-1,-1),"m/d(ddd)")</f>
        <v>#REF!</v>
      </c>
      <c r="C13" s="88"/>
      <c r="D13" s="49"/>
      <c r="E13" s="41"/>
      <c r="F13" s="52" t="s">
        <v>40</v>
      </c>
      <c r="G13" s="79"/>
      <c r="H13" s="80"/>
      <c r="I13" s="69"/>
      <c r="J13" s="72"/>
      <c r="K13" s="73"/>
      <c r="L13" s="72"/>
      <c r="M13" s="73"/>
      <c r="N13" s="72"/>
      <c r="O13" s="73"/>
      <c r="P13" s="72"/>
      <c r="Q13" s="73"/>
      <c r="R13" s="72"/>
      <c r="S13" s="73"/>
      <c r="T13" s="72"/>
      <c r="U13" s="73"/>
      <c r="V13" s="72"/>
      <c r="W13" s="73"/>
      <c r="X13" s="72"/>
      <c r="Y13" s="73"/>
      <c r="Z13" s="74" t="b">
        <v>0</v>
      </c>
      <c r="AA13" s="75">
        <f t="shared" si="1"/>
        <v>0</v>
      </c>
      <c r="AB13" s="76">
        <f t="shared" si="2"/>
        <v>0</v>
      </c>
      <c r="AC13" s="77">
        <f t="shared" si="3"/>
        <v>0</v>
      </c>
      <c r="AD13" s="78">
        <f t="shared" si="4"/>
        <v>0</v>
      </c>
      <c r="AE13" s="76">
        <f t="shared" si="5"/>
        <v>0</v>
      </c>
      <c r="AF13" s="78">
        <f t="shared" si="6"/>
        <v>0</v>
      </c>
      <c r="AG13" s="1"/>
    </row>
    <row r="14" ht="21.0" customHeight="1">
      <c r="A14" s="1"/>
      <c r="B14" s="89" t="s">
        <v>44</v>
      </c>
      <c r="C14" s="49"/>
      <c r="D14" s="90">
        <f t="array" ref="D14">iferror(vlookup(xlookup(B5,'현황'!O:O,'현황'!O:O,,-1,-1),'현황'!O:S,2,false),0)</f>
        <v>0</v>
      </c>
      <c r="E14" s="51" t="s">
        <v>45</v>
      </c>
      <c r="F14" s="52" t="s">
        <v>34</v>
      </c>
      <c r="G14" s="83"/>
      <c r="H14" s="84"/>
      <c r="I14" s="85"/>
      <c r="J14" s="72"/>
      <c r="K14" s="73"/>
      <c r="L14" s="72"/>
      <c r="M14" s="73"/>
      <c r="N14" s="72"/>
      <c r="O14" s="73"/>
      <c r="P14" s="72"/>
      <c r="Q14" s="73"/>
      <c r="R14" s="72"/>
      <c r="S14" s="73"/>
      <c r="T14" s="72"/>
      <c r="U14" s="73"/>
      <c r="V14" s="72"/>
      <c r="W14" s="73"/>
      <c r="X14" s="72"/>
      <c r="Y14" s="73"/>
      <c r="Z14" s="74" t="b">
        <v>0</v>
      </c>
      <c r="AA14" s="75">
        <f t="shared" si="1"/>
        <v>0</v>
      </c>
      <c r="AB14" s="76">
        <f t="shared" si="2"/>
        <v>0</v>
      </c>
      <c r="AC14" s="77">
        <f t="shared" si="3"/>
        <v>0</v>
      </c>
      <c r="AD14" s="78">
        <f t="shared" si="4"/>
        <v>0</v>
      </c>
      <c r="AE14" s="76">
        <f t="shared" si="5"/>
        <v>0</v>
      </c>
      <c r="AF14" s="78">
        <f t="shared" si="6"/>
        <v>0</v>
      </c>
      <c r="AG14" s="1"/>
    </row>
    <row r="15" ht="21.0" customHeight="1">
      <c r="A15" s="1"/>
      <c r="B15" s="48" t="s">
        <v>46</v>
      </c>
      <c r="C15" s="49"/>
      <c r="D15" s="91">
        <f t="array" ref="D15">iferror(vlookup(xlookup(B5,'현황'!O:O,'현황'!O:O,,-1,-1),'현황'!O:S,3,false),0)</f>
        <v>0</v>
      </c>
      <c r="E15" s="66"/>
      <c r="F15" s="52" t="s">
        <v>37</v>
      </c>
      <c r="G15" s="67"/>
      <c r="H15" s="80"/>
      <c r="I15" s="69"/>
      <c r="J15" s="72"/>
      <c r="K15" s="73"/>
      <c r="L15" s="72"/>
      <c r="M15" s="73"/>
      <c r="N15" s="72"/>
      <c r="O15" s="73"/>
      <c r="P15" s="72"/>
      <c r="Q15" s="73"/>
      <c r="R15" s="72"/>
      <c r="S15" s="73"/>
      <c r="T15" s="72"/>
      <c r="U15" s="73"/>
      <c r="V15" s="72"/>
      <c r="W15" s="73"/>
      <c r="X15" s="72"/>
      <c r="Y15" s="73"/>
      <c r="Z15" s="74" t="b">
        <v>0</v>
      </c>
      <c r="AA15" s="75">
        <f t="shared" si="1"/>
        <v>0</v>
      </c>
      <c r="AB15" s="76">
        <f t="shared" si="2"/>
        <v>0</v>
      </c>
      <c r="AC15" s="77">
        <f t="shared" si="3"/>
        <v>0</v>
      </c>
      <c r="AD15" s="78">
        <f t="shared" si="4"/>
        <v>0</v>
      </c>
      <c r="AE15" s="76">
        <f t="shared" si="5"/>
        <v>0</v>
      </c>
      <c r="AF15" s="78">
        <f t="shared" si="6"/>
        <v>0</v>
      </c>
      <c r="AG15" s="1"/>
    </row>
    <row r="16" ht="21.0" customHeight="1">
      <c r="A16" s="1"/>
      <c r="B16" s="48" t="s">
        <v>47</v>
      </c>
      <c r="C16" s="49"/>
      <c r="D16" s="91">
        <f t="array" ref="D16">iferror(vlookup(xlookup(B5,'현황'!O:O,'현황'!O:O,,-1,-1),'현황'!O:S,4,false),0)</f>
        <v>0</v>
      </c>
      <c r="E16" s="41"/>
      <c r="F16" s="92" t="s">
        <v>40</v>
      </c>
      <c r="G16" s="79"/>
      <c r="H16" s="93"/>
      <c r="I16" s="94"/>
      <c r="J16" s="95"/>
      <c r="K16" s="96"/>
      <c r="L16" s="95"/>
      <c r="M16" s="96"/>
      <c r="N16" s="95"/>
      <c r="O16" s="96"/>
      <c r="P16" s="95"/>
      <c r="Q16" s="96"/>
      <c r="R16" s="95"/>
      <c r="S16" s="96"/>
      <c r="T16" s="95"/>
      <c r="U16" s="96"/>
      <c r="V16" s="95"/>
      <c r="W16" s="96"/>
      <c r="X16" s="95"/>
      <c r="Y16" s="96"/>
      <c r="Z16" s="97" t="b">
        <v>0</v>
      </c>
      <c r="AA16" s="98">
        <f t="shared" si="1"/>
        <v>0</v>
      </c>
      <c r="AB16" s="99">
        <f t="shared" si="2"/>
        <v>0</v>
      </c>
      <c r="AC16" s="100">
        <f t="shared" si="3"/>
        <v>0</v>
      </c>
      <c r="AD16" s="101">
        <f t="shared" si="4"/>
        <v>0</v>
      </c>
      <c r="AE16" s="99">
        <f t="shared" si="5"/>
        <v>0</v>
      </c>
      <c r="AF16" s="101">
        <f t="shared" si="6"/>
        <v>0</v>
      </c>
      <c r="AG16" s="1"/>
    </row>
    <row r="17" ht="21.0" customHeight="1">
      <c r="A17" s="1"/>
      <c r="B17" s="102" t="s">
        <v>48</v>
      </c>
      <c r="C17" s="103"/>
      <c r="D17" s="104">
        <f>iferror(D16/D14,0)</f>
        <v>0</v>
      </c>
      <c r="E17" s="102" t="s">
        <v>49</v>
      </c>
      <c r="F17" s="103"/>
      <c r="G17" s="105"/>
      <c r="H17" s="106" t="s">
        <v>50</v>
      </c>
      <c r="I17" s="107"/>
      <c r="J17" s="11"/>
      <c r="K17" s="11"/>
      <c r="L17" s="11"/>
      <c r="M17" s="11"/>
      <c r="N17" s="11"/>
      <c r="O17" s="11"/>
      <c r="P17" s="108" t="s">
        <v>51</v>
      </c>
      <c r="Q17" s="12"/>
      <c r="R17" s="109"/>
      <c r="S17" s="11"/>
      <c r="T17" s="11"/>
      <c r="U17" s="11"/>
      <c r="V17" s="11"/>
      <c r="W17" s="11"/>
      <c r="X17" s="11"/>
      <c r="Y17" s="11"/>
      <c r="Z17" s="12"/>
      <c r="AA17" s="110">
        <f>SUM(AA8:AA16)</f>
        <v>790</v>
      </c>
      <c r="AB17" s="111" t="s">
        <v>52</v>
      </c>
      <c r="AG17" s="1"/>
    </row>
    <row r="18" ht="21.0" customHeight="1">
      <c r="A18" s="1"/>
      <c r="B18" s="1"/>
      <c r="C18" s="1"/>
      <c r="D18" s="1"/>
      <c r="E18" s="1"/>
      <c r="F18" s="1"/>
      <c r="G18" s="1"/>
      <c r="H18" s="1"/>
      <c r="I18" s="1"/>
      <c r="AA18" s="1"/>
      <c r="AB18" s="1"/>
      <c r="AC18" s="3"/>
      <c r="AD18" s="1"/>
      <c r="AE18" s="1"/>
      <c r="AF18" s="1"/>
      <c r="AG18" s="1"/>
    </row>
    <row r="19" ht="21.0" customHeight="1">
      <c r="A19" s="1"/>
      <c r="B19" s="4" t="s">
        <v>1</v>
      </c>
      <c r="C19" s="5"/>
      <c r="D19" s="6" t="s">
        <v>2</v>
      </c>
      <c r="E19" s="7"/>
      <c r="F19" s="7"/>
      <c r="G19" s="5"/>
      <c r="H19" s="8" t="s">
        <v>3</v>
      </c>
      <c r="I19" s="8" t="s">
        <v>4</v>
      </c>
      <c r="J19" s="9" t="s">
        <v>5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5"/>
      <c r="AA19" s="10" t="s">
        <v>6</v>
      </c>
      <c r="AB19" s="11"/>
      <c r="AC19" s="11"/>
      <c r="AD19" s="11"/>
      <c r="AE19" s="11"/>
      <c r="AF19" s="12"/>
      <c r="AG19" s="1"/>
    </row>
    <row r="20" ht="21.0" customHeight="1">
      <c r="A20" s="1"/>
      <c r="B20" s="13">
        <v>46038.0</v>
      </c>
      <c r="C20" s="14" t="str">
        <f>if(B20="0/0","",choose(weekday(B20),"(일)","(월)","(화)","(수)","(목)","(금)","(토)"))</f>
        <v>(금)</v>
      </c>
      <c r="D20" s="15" t="s">
        <v>7</v>
      </c>
      <c r="E20" s="16" t="s">
        <v>8</v>
      </c>
      <c r="F20" s="17"/>
      <c r="G20" s="18" t="s">
        <v>9</v>
      </c>
      <c r="H20" s="19" t="s">
        <v>10</v>
      </c>
      <c r="I20" s="20" t="s">
        <v>53</v>
      </c>
      <c r="J20" s="21" t="s">
        <v>12</v>
      </c>
      <c r="K20" s="22"/>
      <c r="L20" s="21" t="s">
        <v>13</v>
      </c>
      <c r="M20" s="22"/>
      <c r="N20" s="21" t="s">
        <v>14</v>
      </c>
      <c r="O20" s="22"/>
      <c r="P20" s="21" t="s">
        <v>15</v>
      </c>
      <c r="Q20" s="22"/>
      <c r="R20" s="23" t="s">
        <v>16</v>
      </c>
      <c r="S20" s="22"/>
      <c r="T20" s="23" t="s">
        <v>17</v>
      </c>
      <c r="U20" s="22"/>
      <c r="V20" s="23" t="s">
        <v>18</v>
      </c>
      <c r="W20" s="22"/>
      <c r="X20" s="23" t="s">
        <v>19</v>
      </c>
      <c r="Y20" s="22"/>
      <c r="Z20" s="24" t="s">
        <v>54</v>
      </c>
      <c r="AA20" s="25" t="s">
        <v>21</v>
      </c>
      <c r="AB20" s="26" t="s">
        <v>22</v>
      </c>
      <c r="AC20" s="7"/>
      <c r="AD20" s="22"/>
      <c r="AE20" s="23" t="s">
        <v>23</v>
      </c>
      <c r="AF20" s="22"/>
      <c r="AG20" s="1"/>
    </row>
    <row r="21" ht="21.0" customHeight="1">
      <c r="A21" s="1"/>
      <c r="B21" s="27">
        <f>iferror(B20-'현황'!$C$4+1,0)</f>
        <v>0</v>
      </c>
      <c r="C21" s="28"/>
      <c r="D21" s="29">
        <v>0.0</v>
      </c>
      <c r="E21" s="30">
        <v>0.0</v>
      </c>
      <c r="F21" s="31"/>
      <c r="G21" s="32">
        <v>0.0</v>
      </c>
      <c r="H21" s="33">
        <v>0.0</v>
      </c>
      <c r="I21" s="34"/>
      <c r="J21" s="35"/>
      <c r="K21" s="36"/>
      <c r="L21" s="35"/>
      <c r="M21" s="36"/>
      <c r="N21" s="35"/>
      <c r="O21" s="36"/>
      <c r="P21" s="35"/>
      <c r="Q21" s="36"/>
      <c r="R21" s="35"/>
      <c r="S21" s="36"/>
      <c r="T21" s="35"/>
      <c r="U21" s="36"/>
      <c r="V21" s="35"/>
      <c r="W21" s="36"/>
      <c r="X21" s="35"/>
      <c r="Y21" s="36"/>
      <c r="Z21" s="37"/>
      <c r="AA21" s="37"/>
      <c r="AB21" s="35"/>
      <c r="AC21" s="38"/>
      <c r="AD21" s="36"/>
      <c r="AE21" s="35"/>
      <c r="AF21" s="36"/>
      <c r="AG21" s="1"/>
    </row>
    <row r="22" ht="21.0" customHeight="1">
      <c r="A22" s="1"/>
      <c r="B22" s="39" t="s">
        <v>24</v>
      </c>
      <c r="C22" s="40"/>
      <c r="D22" s="41"/>
      <c r="E22" s="42" t="s">
        <v>25</v>
      </c>
      <c r="F22" s="40"/>
      <c r="G22" s="41"/>
      <c r="H22" s="43" t="s">
        <v>26</v>
      </c>
      <c r="J22" s="44" t="s">
        <v>27</v>
      </c>
      <c r="K22" s="45" t="s">
        <v>28</v>
      </c>
      <c r="L22" s="44" t="s">
        <v>27</v>
      </c>
      <c r="M22" s="45" t="s">
        <v>28</v>
      </c>
      <c r="N22" s="44" t="s">
        <v>27</v>
      </c>
      <c r="O22" s="45" t="s">
        <v>28</v>
      </c>
      <c r="P22" s="44" t="s">
        <v>27</v>
      </c>
      <c r="Q22" s="45" t="s">
        <v>28</v>
      </c>
      <c r="R22" s="44" t="s">
        <v>27</v>
      </c>
      <c r="S22" s="45" t="s">
        <v>28</v>
      </c>
      <c r="T22" s="44" t="s">
        <v>27</v>
      </c>
      <c r="U22" s="45" t="s">
        <v>28</v>
      </c>
      <c r="V22" s="44" t="s">
        <v>27</v>
      </c>
      <c r="W22" s="45" t="s">
        <v>28</v>
      </c>
      <c r="X22" s="44" t="s">
        <v>27</v>
      </c>
      <c r="Y22" s="45" t="s">
        <v>28</v>
      </c>
      <c r="Z22" s="46"/>
      <c r="AA22" s="46"/>
      <c r="AB22" s="44" t="s">
        <v>29</v>
      </c>
      <c r="AC22" s="47" t="s">
        <v>30</v>
      </c>
      <c r="AD22" s="45" t="s">
        <v>31</v>
      </c>
      <c r="AE22" s="44" t="s">
        <v>27</v>
      </c>
      <c r="AF22" s="45" t="s">
        <v>28</v>
      </c>
      <c r="AG22" s="1"/>
    </row>
    <row r="23" ht="21.0" customHeight="1">
      <c r="A23" s="1"/>
      <c r="B23" s="48" t="s">
        <v>32</v>
      </c>
      <c r="C23" s="49"/>
      <c r="D23" s="50"/>
      <c r="E23" s="51" t="s">
        <v>33</v>
      </c>
      <c r="F23" s="52" t="s">
        <v>34</v>
      </c>
      <c r="G23" s="53"/>
      <c r="H23" s="112" t="s">
        <v>55</v>
      </c>
      <c r="I23" s="55"/>
      <c r="J23" s="56">
        <v>5.0</v>
      </c>
      <c r="K23" s="57">
        <v>8.0</v>
      </c>
      <c r="L23" s="56">
        <v>5.0</v>
      </c>
      <c r="M23" s="57">
        <v>10.0</v>
      </c>
      <c r="N23" s="56">
        <v>5.0</v>
      </c>
      <c r="O23" s="57">
        <v>12.0</v>
      </c>
      <c r="P23" s="56">
        <v>5.0</v>
      </c>
      <c r="Q23" s="57">
        <v>12.0</v>
      </c>
      <c r="R23" s="56">
        <v>5.0</v>
      </c>
      <c r="S23" s="57">
        <v>12.0</v>
      </c>
      <c r="T23" s="58"/>
      <c r="U23" s="59"/>
      <c r="V23" s="58"/>
      <c r="W23" s="59"/>
      <c r="X23" s="58"/>
      <c r="Y23" s="59"/>
      <c r="Z23" s="60" t="b">
        <v>0</v>
      </c>
      <c r="AA23" s="61">
        <f t="shared" ref="AA23:AA31" si="7">(J23*K23+L23*M23+N23*O23+P23*Q23+R23*S23+T23*U23+V23*W23+X23*Y23)*if(Z23=true,0.453592,1)</f>
        <v>270</v>
      </c>
      <c r="AB23" s="62">
        <f t="shared" ref="AB23:AB31" si="8">SUM(AE23*AF23*0.025,AE23)</f>
        <v>6.5</v>
      </c>
      <c r="AC23" s="63">
        <f t="shared" ref="AC23:AC31" si="9">AB23*87%</f>
        <v>5.655</v>
      </c>
      <c r="AD23" s="64">
        <f t="shared" ref="AD23:AD31" si="10">AB23*67%</f>
        <v>4.355</v>
      </c>
      <c r="AE23" s="62">
        <f t="shared" ref="AE23:AE31" si="11">MAX(J23,L23,N23,P23,R23,T23,V23,X23)*if(Z23=true,0.453592,1)</f>
        <v>5</v>
      </c>
      <c r="AF23" s="64">
        <f t="shared" ref="AF23:AF31" si="12">MAX(IF(J23*if(Z23=true,0.453592,1)=$AE23,K23,0),IF(L23*if(Z23=true,0.453592,1)=$AE23,M23,0),IF(N23*if(Z23=true,0.453592,1)=$AE23,O23,0),IF(P23*if(Z23=true,0.453592,1)=$AE23,Q23,0),IF(R23*if(Z23=true,0.453592,1)=$AE23,S23,0),IF(T23*if(Z23=true,0.453592,1)=$AE23,U23,0),IF(V23*if(Z23=true,0.453592,1)=$AE23,W23,0),IF(X23*if(Z23=true,0.453592,1)=$AE23,Y23,0))</f>
        <v>12</v>
      </c>
      <c r="AG23" s="1"/>
    </row>
    <row r="24" ht="21.0" customHeight="1">
      <c r="A24" s="1"/>
      <c r="B24" s="48" t="s">
        <v>36</v>
      </c>
      <c r="C24" s="49"/>
      <c r="D24" s="65"/>
      <c r="E24" s="66"/>
      <c r="F24" s="52" t="s">
        <v>37</v>
      </c>
      <c r="G24" s="67"/>
      <c r="H24" s="68" t="s">
        <v>56</v>
      </c>
      <c r="I24" s="69"/>
      <c r="J24" s="70">
        <v>5.0</v>
      </c>
      <c r="K24" s="71">
        <v>12.0</v>
      </c>
      <c r="L24" s="70">
        <v>5.0</v>
      </c>
      <c r="M24" s="71">
        <v>15.0</v>
      </c>
      <c r="N24" s="70">
        <v>5.0</v>
      </c>
      <c r="O24" s="71">
        <v>15.0</v>
      </c>
      <c r="P24" s="70">
        <v>5.0</v>
      </c>
      <c r="Q24" s="71">
        <v>12.0</v>
      </c>
      <c r="R24" s="72"/>
      <c r="S24" s="73"/>
      <c r="T24" s="72"/>
      <c r="U24" s="73"/>
      <c r="V24" s="72"/>
      <c r="W24" s="73"/>
      <c r="X24" s="72"/>
      <c r="Y24" s="73"/>
      <c r="Z24" s="74" t="b">
        <v>0</v>
      </c>
      <c r="AA24" s="75">
        <f t="shared" si="7"/>
        <v>270</v>
      </c>
      <c r="AB24" s="76">
        <f t="shared" si="8"/>
        <v>6.875</v>
      </c>
      <c r="AC24" s="77">
        <f t="shared" si="9"/>
        <v>5.98125</v>
      </c>
      <c r="AD24" s="78">
        <f t="shared" si="10"/>
        <v>4.60625</v>
      </c>
      <c r="AE24" s="76">
        <f t="shared" si="11"/>
        <v>5</v>
      </c>
      <c r="AF24" s="78">
        <f t="shared" si="12"/>
        <v>15</v>
      </c>
      <c r="AG24" s="1"/>
    </row>
    <row r="25" ht="21.0" customHeight="1">
      <c r="A25" s="1"/>
      <c r="B25" s="48" t="s">
        <v>39</v>
      </c>
      <c r="C25" s="49"/>
      <c r="D25" s="65"/>
      <c r="E25" s="41"/>
      <c r="F25" s="52" t="s">
        <v>40</v>
      </c>
      <c r="G25" s="79"/>
      <c r="H25" s="113" t="s">
        <v>57</v>
      </c>
      <c r="I25" s="69"/>
      <c r="J25" s="72"/>
      <c r="K25" s="73"/>
      <c r="L25" s="72"/>
      <c r="M25" s="73"/>
      <c r="N25" s="72"/>
      <c r="O25" s="73"/>
      <c r="P25" s="72"/>
      <c r="Q25" s="73"/>
      <c r="R25" s="72"/>
      <c r="S25" s="73"/>
      <c r="T25" s="72"/>
      <c r="U25" s="73"/>
      <c r="V25" s="72"/>
      <c r="W25" s="73"/>
      <c r="X25" s="72"/>
      <c r="Y25" s="73"/>
      <c r="Z25" s="74" t="b">
        <v>0</v>
      </c>
      <c r="AA25" s="75">
        <f t="shared" si="7"/>
        <v>0</v>
      </c>
      <c r="AB25" s="76">
        <f t="shared" si="8"/>
        <v>0</v>
      </c>
      <c r="AC25" s="77">
        <f t="shared" si="9"/>
        <v>0</v>
      </c>
      <c r="AD25" s="78">
        <f t="shared" si="10"/>
        <v>0</v>
      </c>
      <c r="AE25" s="76">
        <f t="shared" si="11"/>
        <v>0</v>
      </c>
      <c r="AF25" s="78">
        <f t="shared" si="12"/>
        <v>0</v>
      </c>
      <c r="AG25" s="1"/>
    </row>
    <row r="26" ht="21.0" customHeight="1">
      <c r="A26" s="1"/>
      <c r="B26" s="48" t="s">
        <v>41</v>
      </c>
      <c r="C26" s="81"/>
      <c r="D26" s="82" t="b">
        <v>0</v>
      </c>
      <c r="E26" s="51" t="s">
        <v>42</v>
      </c>
      <c r="F26" s="52" t="s">
        <v>34</v>
      </c>
      <c r="G26" s="83"/>
      <c r="H26" s="84"/>
      <c r="I26" s="85"/>
      <c r="J26" s="72"/>
      <c r="K26" s="73"/>
      <c r="L26" s="72"/>
      <c r="M26" s="73"/>
      <c r="N26" s="72"/>
      <c r="O26" s="73"/>
      <c r="P26" s="72"/>
      <c r="Q26" s="73"/>
      <c r="R26" s="72"/>
      <c r="S26" s="73"/>
      <c r="T26" s="72"/>
      <c r="U26" s="73"/>
      <c r="V26" s="72"/>
      <c r="W26" s="73"/>
      <c r="X26" s="72"/>
      <c r="Y26" s="73"/>
      <c r="Z26" s="74" t="b">
        <v>0</v>
      </c>
      <c r="AA26" s="75">
        <f t="shared" si="7"/>
        <v>0</v>
      </c>
      <c r="AB26" s="76">
        <f t="shared" si="8"/>
        <v>0</v>
      </c>
      <c r="AC26" s="77">
        <f t="shared" si="9"/>
        <v>0</v>
      </c>
      <c r="AD26" s="78">
        <f t="shared" si="10"/>
        <v>0</v>
      </c>
      <c r="AE26" s="76">
        <f t="shared" si="11"/>
        <v>0</v>
      </c>
      <c r="AF26" s="78">
        <f t="shared" si="12"/>
        <v>0</v>
      </c>
      <c r="AG26" s="1"/>
    </row>
    <row r="27" ht="21.0" customHeight="1">
      <c r="A27" s="1"/>
      <c r="B27" s="48" t="s">
        <v>43</v>
      </c>
      <c r="C27" s="49"/>
      <c r="D27" s="86" t="b">
        <v>0</v>
      </c>
      <c r="E27" s="66"/>
      <c r="F27" s="52" t="s">
        <v>37</v>
      </c>
      <c r="G27" s="67"/>
      <c r="H27" s="80"/>
      <c r="I27" s="69"/>
      <c r="J27" s="72"/>
      <c r="K27" s="73"/>
      <c r="L27" s="72"/>
      <c r="M27" s="73"/>
      <c r="N27" s="72"/>
      <c r="O27" s="73"/>
      <c r="P27" s="72"/>
      <c r="Q27" s="73"/>
      <c r="R27" s="72"/>
      <c r="S27" s="73"/>
      <c r="T27" s="72"/>
      <c r="U27" s="73"/>
      <c r="V27" s="72"/>
      <c r="W27" s="73"/>
      <c r="X27" s="72"/>
      <c r="Y27" s="73"/>
      <c r="Z27" s="74" t="b">
        <v>0</v>
      </c>
      <c r="AA27" s="75">
        <f t="shared" si="7"/>
        <v>0</v>
      </c>
      <c r="AB27" s="76">
        <f t="shared" si="8"/>
        <v>0</v>
      </c>
      <c r="AC27" s="77">
        <f t="shared" si="9"/>
        <v>0</v>
      </c>
      <c r="AD27" s="78">
        <f t="shared" si="10"/>
        <v>0</v>
      </c>
      <c r="AE27" s="76">
        <f t="shared" si="11"/>
        <v>0</v>
      </c>
      <c r="AF27" s="78">
        <f t="shared" si="12"/>
        <v>0</v>
      </c>
      <c r="AG27" s="1"/>
    </row>
    <row r="28" ht="21.0" customHeight="1">
      <c r="A28" s="1"/>
      <c r="B28" s="87" t="str">
        <f t="array" ref="B28">"📌최근 인바디 결과 : "&amp;text(xlookup(B20,'현황'!O:O,'현황'!O:O,,-1,-1),"m/d(ddd)")</f>
        <v>#REF!</v>
      </c>
      <c r="C28" s="88"/>
      <c r="D28" s="49"/>
      <c r="E28" s="41"/>
      <c r="F28" s="52" t="s">
        <v>40</v>
      </c>
      <c r="G28" s="79"/>
      <c r="H28" s="80"/>
      <c r="I28" s="69"/>
      <c r="J28" s="72"/>
      <c r="K28" s="73"/>
      <c r="L28" s="72"/>
      <c r="M28" s="73"/>
      <c r="N28" s="72"/>
      <c r="O28" s="73"/>
      <c r="P28" s="72"/>
      <c r="Q28" s="73"/>
      <c r="R28" s="72"/>
      <c r="S28" s="73"/>
      <c r="T28" s="72"/>
      <c r="U28" s="73"/>
      <c r="V28" s="72"/>
      <c r="W28" s="73"/>
      <c r="X28" s="72"/>
      <c r="Y28" s="73"/>
      <c r="Z28" s="74" t="b">
        <v>0</v>
      </c>
      <c r="AA28" s="75">
        <f t="shared" si="7"/>
        <v>0</v>
      </c>
      <c r="AB28" s="76">
        <f t="shared" si="8"/>
        <v>0</v>
      </c>
      <c r="AC28" s="77">
        <f t="shared" si="9"/>
        <v>0</v>
      </c>
      <c r="AD28" s="78">
        <f t="shared" si="10"/>
        <v>0</v>
      </c>
      <c r="AE28" s="76">
        <f t="shared" si="11"/>
        <v>0</v>
      </c>
      <c r="AF28" s="78">
        <f t="shared" si="12"/>
        <v>0</v>
      </c>
      <c r="AG28" s="1"/>
    </row>
    <row r="29" ht="21.0" customHeight="1">
      <c r="A29" s="1"/>
      <c r="B29" s="89" t="s">
        <v>44</v>
      </c>
      <c r="C29" s="49"/>
      <c r="D29" s="90">
        <f t="array" ref="D29">iferror(vlookup(xlookup(B20,'현황'!O:O,'현황'!O:O,,-1,-1),'현황'!O:S,2,false),0)</f>
        <v>0</v>
      </c>
      <c r="E29" s="51" t="s">
        <v>45</v>
      </c>
      <c r="F29" s="52" t="s">
        <v>34</v>
      </c>
      <c r="G29" s="83"/>
      <c r="H29" s="84"/>
      <c r="I29" s="85"/>
      <c r="J29" s="72"/>
      <c r="K29" s="73"/>
      <c r="L29" s="72"/>
      <c r="M29" s="73"/>
      <c r="N29" s="72"/>
      <c r="O29" s="73"/>
      <c r="P29" s="72"/>
      <c r="Q29" s="73"/>
      <c r="R29" s="72"/>
      <c r="S29" s="73"/>
      <c r="T29" s="72"/>
      <c r="U29" s="73"/>
      <c r="V29" s="72"/>
      <c r="W29" s="73"/>
      <c r="X29" s="72"/>
      <c r="Y29" s="73"/>
      <c r="Z29" s="74" t="b">
        <v>0</v>
      </c>
      <c r="AA29" s="75">
        <f t="shared" si="7"/>
        <v>0</v>
      </c>
      <c r="AB29" s="76">
        <f t="shared" si="8"/>
        <v>0</v>
      </c>
      <c r="AC29" s="77">
        <f t="shared" si="9"/>
        <v>0</v>
      </c>
      <c r="AD29" s="78">
        <f t="shared" si="10"/>
        <v>0</v>
      </c>
      <c r="AE29" s="76">
        <f t="shared" si="11"/>
        <v>0</v>
      </c>
      <c r="AF29" s="78">
        <f t="shared" si="12"/>
        <v>0</v>
      </c>
      <c r="AG29" s="1"/>
    </row>
    <row r="30" ht="21.0" customHeight="1">
      <c r="A30" s="1"/>
      <c r="B30" s="48" t="s">
        <v>46</v>
      </c>
      <c r="C30" s="49"/>
      <c r="D30" s="91">
        <f t="array" ref="D30">iferror(vlookup(xlookup(B20,'현황'!O:O,'현황'!O:O,,-1,-1),'현황'!O:S,3,false),0)</f>
        <v>0</v>
      </c>
      <c r="E30" s="66"/>
      <c r="F30" s="52" t="s">
        <v>37</v>
      </c>
      <c r="G30" s="67"/>
      <c r="H30" s="80"/>
      <c r="I30" s="69"/>
      <c r="J30" s="72"/>
      <c r="K30" s="73"/>
      <c r="L30" s="72"/>
      <c r="M30" s="73"/>
      <c r="N30" s="72"/>
      <c r="O30" s="73"/>
      <c r="P30" s="72"/>
      <c r="Q30" s="73"/>
      <c r="R30" s="72"/>
      <c r="S30" s="73"/>
      <c r="T30" s="72"/>
      <c r="U30" s="73"/>
      <c r="V30" s="72"/>
      <c r="W30" s="73"/>
      <c r="X30" s="72"/>
      <c r="Y30" s="73"/>
      <c r="Z30" s="74" t="b">
        <v>0</v>
      </c>
      <c r="AA30" s="75">
        <f t="shared" si="7"/>
        <v>0</v>
      </c>
      <c r="AB30" s="76">
        <f t="shared" si="8"/>
        <v>0</v>
      </c>
      <c r="AC30" s="77">
        <f t="shared" si="9"/>
        <v>0</v>
      </c>
      <c r="AD30" s="78">
        <f t="shared" si="10"/>
        <v>0</v>
      </c>
      <c r="AE30" s="76">
        <f t="shared" si="11"/>
        <v>0</v>
      </c>
      <c r="AF30" s="78">
        <f t="shared" si="12"/>
        <v>0</v>
      </c>
      <c r="AG30" s="1"/>
    </row>
    <row r="31" ht="21.0" customHeight="1">
      <c r="A31" s="1"/>
      <c r="B31" s="48" t="s">
        <v>47</v>
      </c>
      <c r="C31" s="49"/>
      <c r="D31" s="91">
        <f t="array" ref="D31">iferror(vlookup(xlookup(B20,'현황'!O:O,'현황'!O:O,,-1,-1),'현황'!O:S,4,false),0)</f>
        <v>0</v>
      </c>
      <c r="E31" s="41"/>
      <c r="F31" s="92" t="s">
        <v>40</v>
      </c>
      <c r="G31" s="79"/>
      <c r="H31" s="93"/>
      <c r="I31" s="94"/>
      <c r="J31" s="95"/>
      <c r="K31" s="96"/>
      <c r="L31" s="95"/>
      <c r="M31" s="96"/>
      <c r="N31" s="95"/>
      <c r="O31" s="96"/>
      <c r="P31" s="95"/>
      <c r="Q31" s="96"/>
      <c r="R31" s="95"/>
      <c r="S31" s="96"/>
      <c r="T31" s="95"/>
      <c r="U31" s="96"/>
      <c r="V31" s="95"/>
      <c r="W31" s="96"/>
      <c r="X31" s="95"/>
      <c r="Y31" s="96"/>
      <c r="Z31" s="97" t="b">
        <v>0</v>
      </c>
      <c r="AA31" s="98">
        <f t="shared" si="7"/>
        <v>0</v>
      </c>
      <c r="AB31" s="99">
        <f t="shared" si="8"/>
        <v>0</v>
      </c>
      <c r="AC31" s="100">
        <f t="shared" si="9"/>
        <v>0</v>
      </c>
      <c r="AD31" s="101">
        <f t="shared" si="10"/>
        <v>0</v>
      </c>
      <c r="AE31" s="99">
        <f t="shared" si="11"/>
        <v>0</v>
      </c>
      <c r="AF31" s="101">
        <f t="shared" si="12"/>
        <v>0</v>
      </c>
      <c r="AG31" s="1"/>
    </row>
    <row r="32" ht="21.0" customHeight="1">
      <c r="A32" s="1"/>
      <c r="B32" s="102" t="s">
        <v>48</v>
      </c>
      <c r="C32" s="103"/>
      <c r="D32" s="104">
        <f>iferror(D31/D29,0)</f>
        <v>0</v>
      </c>
      <c r="E32" s="102" t="s">
        <v>49</v>
      </c>
      <c r="F32" s="103"/>
      <c r="G32" s="105"/>
      <c r="H32" s="106" t="s">
        <v>50</v>
      </c>
      <c r="I32" s="107"/>
      <c r="J32" s="11"/>
      <c r="K32" s="11"/>
      <c r="L32" s="11"/>
      <c r="M32" s="11"/>
      <c r="N32" s="11"/>
      <c r="O32" s="11"/>
      <c r="P32" s="108" t="s">
        <v>51</v>
      </c>
      <c r="Q32" s="12"/>
      <c r="R32" s="109"/>
      <c r="S32" s="11"/>
      <c r="T32" s="11"/>
      <c r="U32" s="11"/>
      <c r="V32" s="11"/>
      <c r="W32" s="11"/>
      <c r="X32" s="11"/>
      <c r="Y32" s="11"/>
      <c r="Z32" s="12"/>
      <c r="AA32" s="110">
        <f>SUM(AA23:AA31)</f>
        <v>540</v>
      </c>
      <c r="AB32" s="111" t="s">
        <v>58</v>
      </c>
      <c r="AG32" s="1"/>
    </row>
    <row r="33" ht="21.0" customHeight="1">
      <c r="A33" s="1"/>
      <c r="B33" s="1"/>
      <c r="C33" s="1"/>
      <c r="D33" s="1"/>
      <c r="E33" s="1"/>
      <c r="F33" s="1"/>
      <c r="G33" s="1"/>
      <c r="H33" s="1"/>
      <c r="I33" s="1"/>
      <c r="AA33" s="1"/>
      <c r="AB33" s="1"/>
      <c r="AC33" s="3"/>
      <c r="AD33" s="1"/>
      <c r="AE33" s="1"/>
      <c r="AF33" s="1"/>
      <c r="AG33" s="1"/>
    </row>
    <row r="34" ht="21.0" customHeight="1">
      <c r="A34" s="1"/>
      <c r="B34" s="4" t="s">
        <v>1</v>
      </c>
      <c r="C34" s="5"/>
      <c r="D34" s="6" t="s">
        <v>2</v>
      </c>
      <c r="E34" s="7"/>
      <c r="F34" s="7"/>
      <c r="G34" s="5"/>
      <c r="H34" s="8" t="s">
        <v>3</v>
      </c>
      <c r="I34" s="8" t="s">
        <v>4</v>
      </c>
      <c r="J34" s="9" t="s">
        <v>5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5"/>
      <c r="AA34" s="10" t="s">
        <v>6</v>
      </c>
      <c r="AB34" s="11"/>
      <c r="AC34" s="11"/>
      <c r="AD34" s="11"/>
      <c r="AE34" s="11"/>
      <c r="AF34" s="12"/>
      <c r="AG34" s="1"/>
    </row>
    <row r="35" ht="21.0" customHeight="1">
      <c r="A35" s="1"/>
      <c r="B35" s="13">
        <v>46042.0</v>
      </c>
      <c r="C35" s="14" t="str">
        <f>if(B35="0/0","",choose(weekday(B35),"(일)","(월)","(화)","(수)","(목)","(금)","(토)"))</f>
        <v>(화)</v>
      </c>
      <c r="D35" s="15" t="s">
        <v>7</v>
      </c>
      <c r="E35" s="16" t="s">
        <v>8</v>
      </c>
      <c r="F35" s="17"/>
      <c r="G35" s="18" t="s">
        <v>9</v>
      </c>
      <c r="H35" s="19" t="s">
        <v>10</v>
      </c>
      <c r="I35" s="20" t="s">
        <v>59</v>
      </c>
      <c r="J35" s="21" t="s">
        <v>12</v>
      </c>
      <c r="K35" s="22"/>
      <c r="L35" s="21" t="s">
        <v>13</v>
      </c>
      <c r="M35" s="22"/>
      <c r="N35" s="21" t="s">
        <v>14</v>
      </c>
      <c r="O35" s="22"/>
      <c r="P35" s="21" t="s">
        <v>15</v>
      </c>
      <c r="Q35" s="22"/>
      <c r="R35" s="23" t="s">
        <v>16</v>
      </c>
      <c r="S35" s="22"/>
      <c r="T35" s="23" t="s">
        <v>17</v>
      </c>
      <c r="U35" s="22"/>
      <c r="V35" s="23" t="s">
        <v>18</v>
      </c>
      <c r="W35" s="22"/>
      <c r="X35" s="23" t="s">
        <v>19</v>
      </c>
      <c r="Y35" s="22"/>
      <c r="Z35" s="24" t="s">
        <v>60</v>
      </c>
      <c r="AA35" s="25" t="s">
        <v>21</v>
      </c>
      <c r="AB35" s="26" t="s">
        <v>22</v>
      </c>
      <c r="AC35" s="7"/>
      <c r="AD35" s="22"/>
      <c r="AE35" s="23" t="s">
        <v>23</v>
      </c>
      <c r="AF35" s="22"/>
      <c r="AG35" s="1"/>
    </row>
    <row r="36" ht="21.0" customHeight="1">
      <c r="A36" s="1"/>
      <c r="B36" s="27">
        <f>iferror(B35-'현황'!$C$4+1,0)</f>
        <v>0</v>
      </c>
      <c r="C36" s="28"/>
      <c r="D36" s="29">
        <v>0.0</v>
      </c>
      <c r="E36" s="30">
        <v>0.0</v>
      </c>
      <c r="F36" s="31"/>
      <c r="G36" s="32">
        <v>0.0</v>
      </c>
      <c r="H36" s="33">
        <v>0.0</v>
      </c>
      <c r="I36" s="34"/>
      <c r="J36" s="35"/>
      <c r="K36" s="36"/>
      <c r="L36" s="35"/>
      <c r="M36" s="36"/>
      <c r="N36" s="35"/>
      <c r="O36" s="36"/>
      <c r="P36" s="35"/>
      <c r="Q36" s="36"/>
      <c r="R36" s="35"/>
      <c r="S36" s="36"/>
      <c r="T36" s="35"/>
      <c r="U36" s="36"/>
      <c r="V36" s="35"/>
      <c r="W36" s="36"/>
      <c r="X36" s="35"/>
      <c r="Y36" s="36"/>
      <c r="Z36" s="37"/>
      <c r="AA36" s="37"/>
      <c r="AB36" s="35"/>
      <c r="AC36" s="38"/>
      <c r="AD36" s="36"/>
      <c r="AE36" s="35"/>
      <c r="AF36" s="36"/>
      <c r="AG36" s="1"/>
    </row>
    <row r="37" ht="21.0" customHeight="1">
      <c r="A37" s="1"/>
      <c r="B37" s="39" t="s">
        <v>24</v>
      </c>
      <c r="C37" s="40"/>
      <c r="D37" s="41"/>
      <c r="E37" s="42" t="s">
        <v>25</v>
      </c>
      <c r="F37" s="40"/>
      <c r="G37" s="41"/>
      <c r="H37" s="43" t="s">
        <v>26</v>
      </c>
      <c r="J37" s="44" t="s">
        <v>27</v>
      </c>
      <c r="K37" s="45" t="s">
        <v>28</v>
      </c>
      <c r="L37" s="44" t="s">
        <v>27</v>
      </c>
      <c r="M37" s="45" t="s">
        <v>28</v>
      </c>
      <c r="N37" s="44" t="s">
        <v>27</v>
      </c>
      <c r="O37" s="45" t="s">
        <v>28</v>
      </c>
      <c r="P37" s="44" t="s">
        <v>27</v>
      </c>
      <c r="Q37" s="45" t="s">
        <v>28</v>
      </c>
      <c r="R37" s="44" t="s">
        <v>27</v>
      </c>
      <c r="S37" s="45" t="s">
        <v>28</v>
      </c>
      <c r="T37" s="44" t="s">
        <v>27</v>
      </c>
      <c r="U37" s="45" t="s">
        <v>28</v>
      </c>
      <c r="V37" s="44" t="s">
        <v>27</v>
      </c>
      <c r="W37" s="45" t="s">
        <v>28</v>
      </c>
      <c r="X37" s="44" t="s">
        <v>27</v>
      </c>
      <c r="Y37" s="45" t="s">
        <v>28</v>
      </c>
      <c r="Z37" s="46"/>
      <c r="AA37" s="46"/>
      <c r="AB37" s="44" t="s">
        <v>29</v>
      </c>
      <c r="AC37" s="47" t="s">
        <v>30</v>
      </c>
      <c r="AD37" s="45" t="s">
        <v>31</v>
      </c>
      <c r="AE37" s="44" t="s">
        <v>27</v>
      </c>
      <c r="AF37" s="45" t="s">
        <v>28</v>
      </c>
      <c r="AG37" s="1"/>
    </row>
    <row r="38" ht="21.0" customHeight="1">
      <c r="A38" s="1"/>
      <c r="B38" s="48" t="s">
        <v>32</v>
      </c>
      <c r="C38" s="49"/>
      <c r="D38" s="50"/>
      <c r="E38" s="51" t="s">
        <v>33</v>
      </c>
      <c r="F38" s="52" t="s">
        <v>34</v>
      </c>
      <c r="G38" s="53"/>
      <c r="H38" s="112" t="s">
        <v>61</v>
      </c>
      <c r="I38" s="55"/>
      <c r="J38" s="56">
        <v>12.0</v>
      </c>
      <c r="K38" s="57">
        <v>15.0</v>
      </c>
      <c r="L38" s="56">
        <v>12.0</v>
      </c>
      <c r="M38" s="57">
        <v>15.0</v>
      </c>
      <c r="N38" s="56">
        <v>12.0</v>
      </c>
      <c r="O38" s="57">
        <v>15.0</v>
      </c>
      <c r="P38" s="56">
        <v>12.0</v>
      </c>
      <c r="Q38" s="57">
        <v>15.0</v>
      </c>
      <c r="R38" s="58"/>
      <c r="S38" s="59"/>
      <c r="T38" s="58"/>
      <c r="U38" s="59"/>
      <c r="V38" s="58"/>
      <c r="W38" s="59"/>
      <c r="X38" s="58"/>
      <c r="Y38" s="59"/>
      <c r="Z38" s="60" t="b">
        <v>0</v>
      </c>
      <c r="AA38" s="61">
        <f t="shared" ref="AA38:AA46" si="13">(J38*K38+L38*M38+N38*O38+P38*Q38+R38*S38+T38*U38+V38*W38+X38*Y38)*if(Z38=true,0.453592,1)</f>
        <v>720</v>
      </c>
      <c r="AB38" s="62">
        <f t="shared" ref="AB38:AB46" si="14">SUM(AE38*AF38*0.025,AE38)</f>
        <v>16.5</v>
      </c>
      <c r="AC38" s="63">
        <f t="shared" ref="AC38:AC46" si="15">AB38*87%</f>
        <v>14.355</v>
      </c>
      <c r="AD38" s="64">
        <f t="shared" ref="AD38:AD46" si="16">AB38*67%</f>
        <v>11.055</v>
      </c>
      <c r="AE38" s="62">
        <f t="shared" ref="AE38:AE46" si="17">MAX(J38,L38,N38,P38,R38,T38,V38,X38)*if(Z38=true,0.453592,1)</f>
        <v>12</v>
      </c>
      <c r="AF38" s="64">
        <f t="shared" ref="AF38:AF46" si="18">MAX(IF(J38*if(Z38=true,0.453592,1)=$AE38,K38,0),IF(L38*if(Z38=true,0.453592,1)=$AE38,M38,0),IF(N38*if(Z38=true,0.453592,1)=$AE38,O38,0),IF(P38*if(Z38=true,0.453592,1)=$AE38,Q38,0),IF(R38*if(Z38=true,0.453592,1)=$AE38,S38,0),IF(T38*if(Z38=true,0.453592,1)=$AE38,U38,0),IF(V38*if(Z38=true,0.453592,1)=$AE38,W38,0),IF(X38*if(Z38=true,0.453592,1)=$AE38,Y38,0))</f>
        <v>15</v>
      </c>
      <c r="AG38" s="1"/>
    </row>
    <row r="39" ht="21.0" customHeight="1">
      <c r="A39" s="1"/>
      <c r="B39" s="48" t="s">
        <v>36</v>
      </c>
      <c r="C39" s="49"/>
      <c r="D39" s="65"/>
      <c r="E39" s="66"/>
      <c r="F39" s="52" t="s">
        <v>37</v>
      </c>
      <c r="G39" s="67"/>
      <c r="H39" s="114" t="s">
        <v>62</v>
      </c>
      <c r="I39" s="69"/>
      <c r="J39" s="70">
        <v>10.0</v>
      </c>
      <c r="K39" s="71">
        <v>15.0</v>
      </c>
      <c r="L39" s="70">
        <v>10.0</v>
      </c>
      <c r="M39" s="71">
        <v>15.0</v>
      </c>
      <c r="N39" s="70">
        <v>10.0</v>
      </c>
      <c r="O39" s="71">
        <v>15.0</v>
      </c>
      <c r="P39" s="70">
        <v>13.0</v>
      </c>
      <c r="Q39" s="71">
        <v>15.0</v>
      </c>
      <c r="R39" s="72"/>
      <c r="S39" s="73"/>
      <c r="T39" s="72"/>
      <c r="U39" s="73"/>
      <c r="V39" s="72"/>
      <c r="W39" s="73"/>
      <c r="X39" s="72"/>
      <c r="Y39" s="73"/>
      <c r="Z39" s="74" t="b">
        <v>0</v>
      </c>
      <c r="AA39" s="75">
        <f t="shared" si="13"/>
        <v>645</v>
      </c>
      <c r="AB39" s="76">
        <f t="shared" si="14"/>
        <v>17.875</v>
      </c>
      <c r="AC39" s="77">
        <f t="shared" si="15"/>
        <v>15.55125</v>
      </c>
      <c r="AD39" s="78">
        <f t="shared" si="16"/>
        <v>11.97625</v>
      </c>
      <c r="AE39" s="76">
        <f t="shared" si="17"/>
        <v>13</v>
      </c>
      <c r="AF39" s="78">
        <f t="shared" si="18"/>
        <v>15</v>
      </c>
      <c r="AG39" s="1"/>
    </row>
    <row r="40" ht="21.0" customHeight="1">
      <c r="A40" s="1"/>
      <c r="B40" s="48" t="s">
        <v>39</v>
      </c>
      <c r="C40" s="49"/>
      <c r="D40" s="65"/>
      <c r="E40" s="41"/>
      <c r="F40" s="52" t="s">
        <v>40</v>
      </c>
      <c r="G40" s="79"/>
      <c r="H40" s="115" t="s">
        <v>63</v>
      </c>
      <c r="I40" s="69"/>
      <c r="J40" s="70">
        <v>33.0</v>
      </c>
      <c r="K40" s="71">
        <v>15.0</v>
      </c>
      <c r="L40" s="70">
        <v>33.0</v>
      </c>
      <c r="M40" s="71">
        <v>15.0</v>
      </c>
      <c r="N40" s="70">
        <v>26.0</v>
      </c>
      <c r="O40" s="71">
        <v>15.0</v>
      </c>
      <c r="P40" s="70">
        <v>33.0</v>
      </c>
      <c r="Q40" s="71">
        <v>15.0</v>
      </c>
      <c r="R40" s="72"/>
      <c r="S40" s="73"/>
      <c r="T40" s="72"/>
      <c r="U40" s="73"/>
      <c r="V40" s="72"/>
      <c r="W40" s="73"/>
      <c r="X40" s="72"/>
      <c r="Y40" s="73"/>
      <c r="Z40" s="74" t="b">
        <v>0</v>
      </c>
      <c r="AA40" s="75">
        <f t="shared" si="13"/>
        <v>1875</v>
      </c>
      <c r="AB40" s="76">
        <f t="shared" si="14"/>
        <v>45.375</v>
      </c>
      <c r="AC40" s="77">
        <f t="shared" si="15"/>
        <v>39.47625</v>
      </c>
      <c r="AD40" s="78">
        <f t="shared" si="16"/>
        <v>30.40125</v>
      </c>
      <c r="AE40" s="76">
        <f t="shared" si="17"/>
        <v>33</v>
      </c>
      <c r="AF40" s="78">
        <f t="shared" si="18"/>
        <v>15</v>
      </c>
      <c r="AG40" s="1"/>
    </row>
    <row r="41" ht="21.0" customHeight="1">
      <c r="A41" s="1"/>
      <c r="B41" s="48" t="s">
        <v>41</v>
      </c>
      <c r="C41" s="81"/>
      <c r="D41" s="82" t="b">
        <v>0</v>
      </c>
      <c r="E41" s="51" t="s">
        <v>42</v>
      </c>
      <c r="F41" s="52" t="s">
        <v>34</v>
      </c>
      <c r="G41" s="83"/>
      <c r="H41" s="84"/>
      <c r="I41" s="85"/>
      <c r="J41" s="72"/>
      <c r="K41" s="73"/>
      <c r="L41" s="72"/>
      <c r="M41" s="73"/>
      <c r="N41" s="72"/>
      <c r="O41" s="73"/>
      <c r="P41" s="72"/>
      <c r="Q41" s="73"/>
      <c r="R41" s="72"/>
      <c r="S41" s="73"/>
      <c r="T41" s="72"/>
      <c r="U41" s="73"/>
      <c r="V41" s="72"/>
      <c r="W41" s="73"/>
      <c r="X41" s="72"/>
      <c r="Y41" s="73"/>
      <c r="Z41" s="74" t="b">
        <v>0</v>
      </c>
      <c r="AA41" s="75">
        <f t="shared" si="13"/>
        <v>0</v>
      </c>
      <c r="AB41" s="76">
        <f t="shared" si="14"/>
        <v>0</v>
      </c>
      <c r="AC41" s="77">
        <f t="shared" si="15"/>
        <v>0</v>
      </c>
      <c r="AD41" s="78">
        <f t="shared" si="16"/>
        <v>0</v>
      </c>
      <c r="AE41" s="76">
        <f t="shared" si="17"/>
        <v>0</v>
      </c>
      <c r="AF41" s="78">
        <f t="shared" si="18"/>
        <v>0</v>
      </c>
      <c r="AG41" s="1"/>
    </row>
    <row r="42" ht="21.0" customHeight="1">
      <c r="A42" s="1"/>
      <c r="B42" s="48" t="s">
        <v>43</v>
      </c>
      <c r="C42" s="49"/>
      <c r="D42" s="86" t="b">
        <v>0</v>
      </c>
      <c r="E42" s="66"/>
      <c r="F42" s="52" t="s">
        <v>37</v>
      </c>
      <c r="G42" s="67"/>
      <c r="H42" s="80"/>
      <c r="I42" s="69"/>
      <c r="J42" s="72"/>
      <c r="K42" s="73"/>
      <c r="L42" s="72"/>
      <c r="M42" s="73"/>
      <c r="N42" s="72"/>
      <c r="O42" s="73"/>
      <c r="P42" s="72"/>
      <c r="Q42" s="73"/>
      <c r="R42" s="72"/>
      <c r="S42" s="73"/>
      <c r="T42" s="72"/>
      <c r="U42" s="73"/>
      <c r="V42" s="72"/>
      <c r="W42" s="73"/>
      <c r="X42" s="72"/>
      <c r="Y42" s="73"/>
      <c r="Z42" s="74" t="b">
        <v>0</v>
      </c>
      <c r="AA42" s="75">
        <f t="shared" si="13"/>
        <v>0</v>
      </c>
      <c r="AB42" s="76">
        <f t="shared" si="14"/>
        <v>0</v>
      </c>
      <c r="AC42" s="77">
        <f t="shared" si="15"/>
        <v>0</v>
      </c>
      <c r="AD42" s="78">
        <f t="shared" si="16"/>
        <v>0</v>
      </c>
      <c r="AE42" s="76">
        <f t="shared" si="17"/>
        <v>0</v>
      </c>
      <c r="AF42" s="78">
        <f t="shared" si="18"/>
        <v>0</v>
      </c>
      <c r="AG42" s="1"/>
    </row>
    <row r="43" ht="21.0" customHeight="1">
      <c r="A43" s="1"/>
      <c r="B43" s="87" t="str">
        <f t="array" ref="B43">"📌최근 인바디 결과 : "&amp;text(xlookup(B35,'현황'!O:O,'현황'!O:O,,-1,-1),"m/d(ddd)")</f>
        <v>#REF!</v>
      </c>
      <c r="C43" s="88"/>
      <c r="D43" s="49"/>
      <c r="E43" s="41"/>
      <c r="F43" s="52" t="s">
        <v>40</v>
      </c>
      <c r="G43" s="79"/>
      <c r="H43" s="80"/>
      <c r="I43" s="69"/>
      <c r="J43" s="72"/>
      <c r="K43" s="73"/>
      <c r="L43" s="72"/>
      <c r="M43" s="73"/>
      <c r="N43" s="72"/>
      <c r="O43" s="73"/>
      <c r="P43" s="72"/>
      <c r="Q43" s="73"/>
      <c r="R43" s="72"/>
      <c r="S43" s="73"/>
      <c r="T43" s="72"/>
      <c r="U43" s="73"/>
      <c r="V43" s="72"/>
      <c r="W43" s="73"/>
      <c r="X43" s="72"/>
      <c r="Y43" s="73"/>
      <c r="Z43" s="74" t="b">
        <v>0</v>
      </c>
      <c r="AA43" s="75">
        <f t="shared" si="13"/>
        <v>0</v>
      </c>
      <c r="AB43" s="76">
        <f t="shared" si="14"/>
        <v>0</v>
      </c>
      <c r="AC43" s="77">
        <f t="shared" si="15"/>
        <v>0</v>
      </c>
      <c r="AD43" s="78">
        <f t="shared" si="16"/>
        <v>0</v>
      </c>
      <c r="AE43" s="76">
        <f t="shared" si="17"/>
        <v>0</v>
      </c>
      <c r="AF43" s="78">
        <f t="shared" si="18"/>
        <v>0</v>
      </c>
      <c r="AG43" s="1"/>
    </row>
    <row r="44" ht="21.0" customHeight="1">
      <c r="A44" s="1"/>
      <c r="B44" s="89" t="s">
        <v>44</v>
      </c>
      <c r="C44" s="49"/>
      <c r="D44" s="90">
        <f t="array" ref="D44">iferror(vlookup(xlookup(B35,'현황'!O:O,'현황'!O:O,,-1,-1),'현황'!O:S,2,false),0)</f>
        <v>0</v>
      </c>
      <c r="E44" s="51" t="s">
        <v>45</v>
      </c>
      <c r="F44" s="52" t="s">
        <v>34</v>
      </c>
      <c r="G44" s="83"/>
      <c r="H44" s="84"/>
      <c r="I44" s="85"/>
      <c r="J44" s="72"/>
      <c r="K44" s="73"/>
      <c r="L44" s="72"/>
      <c r="M44" s="73"/>
      <c r="N44" s="72"/>
      <c r="O44" s="73"/>
      <c r="P44" s="72"/>
      <c r="Q44" s="73"/>
      <c r="R44" s="72"/>
      <c r="S44" s="73"/>
      <c r="T44" s="72"/>
      <c r="U44" s="73"/>
      <c r="V44" s="72"/>
      <c r="W44" s="73"/>
      <c r="X44" s="72"/>
      <c r="Y44" s="73"/>
      <c r="Z44" s="74" t="b">
        <v>0</v>
      </c>
      <c r="AA44" s="75">
        <f t="shared" si="13"/>
        <v>0</v>
      </c>
      <c r="AB44" s="76">
        <f t="shared" si="14"/>
        <v>0</v>
      </c>
      <c r="AC44" s="77">
        <f t="shared" si="15"/>
        <v>0</v>
      </c>
      <c r="AD44" s="78">
        <f t="shared" si="16"/>
        <v>0</v>
      </c>
      <c r="AE44" s="76">
        <f t="shared" si="17"/>
        <v>0</v>
      </c>
      <c r="AF44" s="78">
        <f t="shared" si="18"/>
        <v>0</v>
      </c>
      <c r="AG44" s="1"/>
    </row>
    <row r="45" ht="21.0" customHeight="1">
      <c r="A45" s="1"/>
      <c r="B45" s="48" t="s">
        <v>46</v>
      </c>
      <c r="C45" s="49"/>
      <c r="D45" s="91">
        <f t="array" ref="D45">iferror(vlookup(xlookup(B35,'현황'!O:O,'현황'!O:O,,-1,-1),'현황'!O:S,3,false),0)</f>
        <v>0</v>
      </c>
      <c r="E45" s="66"/>
      <c r="F45" s="52" t="s">
        <v>37</v>
      </c>
      <c r="G45" s="67"/>
      <c r="H45" s="80"/>
      <c r="I45" s="69"/>
      <c r="J45" s="72"/>
      <c r="K45" s="73"/>
      <c r="L45" s="72"/>
      <c r="M45" s="73"/>
      <c r="N45" s="72"/>
      <c r="O45" s="73"/>
      <c r="P45" s="72"/>
      <c r="Q45" s="73"/>
      <c r="R45" s="72"/>
      <c r="S45" s="73"/>
      <c r="T45" s="72"/>
      <c r="U45" s="73"/>
      <c r="V45" s="72"/>
      <c r="W45" s="73"/>
      <c r="X45" s="72"/>
      <c r="Y45" s="73"/>
      <c r="Z45" s="74" t="b">
        <v>0</v>
      </c>
      <c r="AA45" s="75">
        <f t="shared" si="13"/>
        <v>0</v>
      </c>
      <c r="AB45" s="76">
        <f t="shared" si="14"/>
        <v>0</v>
      </c>
      <c r="AC45" s="77">
        <f t="shared" si="15"/>
        <v>0</v>
      </c>
      <c r="AD45" s="78">
        <f t="shared" si="16"/>
        <v>0</v>
      </c>
      <c r="AE45" s="76">
        <f t="shared" si="17"/>
        <v>0</v>
      </c>
      <c r="AF45" s="78">
        <f t="shared" si="18"/>
        <v>0</v>
      </c>
      <c r="AG45" s="1"/>
    </row>
    <row r="46" ht="21.0" customHeight="1">
      <c r="A46" s="1"/>
      <c r="B46" s="48" t="s">
        <v>47</v>
      </c>
      <c r="C46" s="49"/>
      <c r="D46" s="91">
        <f t="array" ref="D46">iferror(vlookup(xlookup(B35,'현황'!O:O,'현황'!O:O,,-1,-1),'현황'!O:S,4,false),0)</f>
        <v>0</v>
      </c>
      <c r="E46" s="41"/>
      <c r="F46" s="92" t="s">
        <v>40</v>
      </c>
      <c r="G46" s="79"/>
      <c r="H46" s="93"/>
      <c r="I46" s="94"/>
      <c r="J46" s="95"/>
      <c r="K46" s="96"/>
      <c r="L46" s="95"/>
      <c r="M46" s="96"/>
      <c r="N46" s="95"/>
      <c r="O46" s="96"/>
      <c r="P46" s="95"/>
      <c r="Q46" s="96"/>
      <c r="R46" s="95"/>
      <c r="S46" s="96"/>
      <c r="T46" s="95"/>
      <c r="U46" s="96"/>
      <c r="V46" s="95"/>
      <c r="W46" s="96"/>
      <c r="X46" s="95"/>
      <c r="Y46" s="96"/>
      <c r="Z46" s="97" t="b">
        <v>0</v>
      </c>
      <c r="AA46" s="98">
        <f t="shared" si="13"/>
        <v>0</v>
      </c>
      <c r="AB46" s="99">
        <f t="shared" si="14"/>
        <v>0</v>
      </c>
      <c r="AC46" s="100">
        <f t="shared" si="15"/>
        <v>0</v>
      </c>
      <c r="AD46" s="101">
        <f t="shared" si="16"/>
        <v>0</v>
      </c>
      <c r="AE46" s="99">
        <f t="shared" si="17"/>
        <v>0</v>
      </c>
      <c r="AF46" s="101">
        <f t="shared" si="18"/>
        <v>0</v>
      </c>
      <c r="AG46" s="1"/>
    </row>
    <row r="47" ht="21.0" customHeight="1">
      <c r="A47" s="1"/>
      <c r="B47" s="102" t="s">
        <v>48</v>
      </c>
      <c r="C47" s="103"/>
      <c r="D47" s="104">
        <f>iferror(D46/D44,0)</f>
        <v>0</v>
      </c>
      <c r="E47" s="102" t="s">
        <v>49</v>
      </c>
      <c r="F47" s="103"/>
      <c r="G47" s="105"/>
      <c r="H47" s="106" t="s">
        <v>50</v>
      </c>
      <c r="I47" s="107"/>
      <c r="J47" s="11"/>
      <c r="K47" s="11"/>
      <c r="L47" s="11"/>
      <c r="M47" s="11"/>
      <c r="N47" s="11"/>
      <c r="O47" s="11"/>
      <c r="P47" s="108" t="s">
        <v>51</v>
      </c>
      <c r="Q47" s="12"/>
      <c r="R47" s="109"/>
      <c r="S47" s="11"/>
      <c r="T47" s="11"/>
      <c r="U47" s="11"/>
      <c r="V47" s="11"/>
      <c r="W47" s="11"/>
      <c r="X47" s="11"/>
      <c r="Y47" s="11"/>
      <c r="Z47" s="12"/>
      <c r="AA47" s="110">
        <f>SUM(AA38:AA46)</f>
        <v>3240</v>
      </c>
      <c r="AB47" s="111" t="s">
        <v>64</v>
      </c>
      <c r="AG47" s="1"/>
    </row>
    <row r="48" ht="21.0" customHeight="1">
      <c r="A48" s="1"/>
      <c r="B48" s="1"/>
      <c r="C48" s="1"/>
      <c r="D48" s="1"/>
      <c r="E48" s="1"/>
      <c r="F48" s="1"/>
      <c r="G48" s="1"/>
      <c r="H48" s="1"/>
      <c r="I48" s="1"/>
      <c r="AA48" s="1"/>
      <c r="AB48" s="1"/>
      <c r="AC48" s="3"/>
      <c r="AD48" s="1"/>
      <c r="AE48" s="1"/>
      <c r="AF48" s="1"/>
      <c r="AG48" s="1"/>
    </row>
    <row r="49" ht="21.0" customHeight="1">
      <c r="A49" s="1"/>
      <c r="B49" s="4" t="s">
        <v>1</v>
      </c>
      <c r="C49" s="5"/>
      <c r="D49" s="6" t="s">
        <v>2</v>
      </c>
      <c r="E49" s="7"/>
      <c r="F49" s="7"/>
      <c r="G49" s="5"/>
      <c r="H49" s="8" t="s">
        <v>3</v>
      </c>
      <c r="I49" s="8" t="s">
        <v>4</v>
      </c>
      <c r="J49" s="9" t="s">
        <v>5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5"/>
      <c r="AA49" s="10" t="s">
        <v>6</v>
      </c>
      <c r="AB49" s="11"/>
      <c r="AC49" s="11"/>
      <c r="AD49" s="11"/>
      <c r="AE49" s="11"/>
      <c r="AF49" s="12"/>
      <c r="AG49" s="1"/>
    </row>
    <row r="50" ht="21.0" customHeight="1">
      <c r="A50" s="1"/>
      <c r="B50" s="13">
        <v>46044.0</v>
      </c>
      <c r="C50" s="14" t="str">
        <f>if(B50="0/0","",choose(weekday(B50),"(일)","(월)","(화)","(수)","(목)","(금)","(토)"))</f>
        <v>(목)</v>
      </c>
      <c r="D50" s="15" t="s">
        <v>7</v>
      </c>
      <c r="E50" s="16" t="s">
        <v>8</v>
      </c>
      <c r="F50" s="17"/>
      <c r="G50" s="18" t="s">
        <v>9</v>
      </c>
      <c r="H50" s="19" t="s">
        <v>10</v>
      </c>
      <c r="I50" s="20" t="s">
        <v>65</v>
      </c>
      <c r="J50" s="21" t="s">
        <v>12</v>
      </c>
      <c r="K50" s="22"/>
      <c r="L50" s="21" t="s">
        <v>13</v>
      </c>
      <c r="M50" s="22"/>
      <c r="N50" s="21" t="s">
        <v>14</v>
      </c>
      <c r="O50" s="22"/>
      <c r="P50" s="21" t="s">
        <v>15</v>
      </c>
      <c r="Q50" s="22"/>
      <c r="R50" s="23" t="s">
        <v>16</v>
      </c>
      <c r="S50" s="22"/>
      <c r="T50" s="23" t="s">
        <v>17</v>
      </c>
      <c r="U50" s="22"/>
      <c r="V50" s="23" t="s">
        <v>18</v>
      </c>
      <c r="W50" s="22"/>
      <c r="X50" s="23" t="s">
        <v>19</v>
      </c>
      <c r="Y50" s="22"/>
      <c r="Z50" s="24" t="s">
        <v>66</v>
      </c>
      <c r="AA50" s="25" t="s">
        <v>21</v>
      </c>
      <c r="AB50" s="26" t="s">
        <v>22</v>
      </c>
      <c r="AC50" s="7"/>
      <c r="AD50" s="22"/>
      <c r="AE50" s="23" t="s">
        <v>23</v>
      </c>
      <c r="AF50" s="22"/>
      <c r="AG50" s="1"/>
    </row>
    <row r="51" ht="21.0" customHeight="1">
      <c r="A51" s="1"/>
      <c r="B51" s="27">
        <f>iferror(B50-'현황'!$C$4+1,0)</f>
        <v>0</v>
      </c>
      <c r="C51" s="28"/>
      <c r="D51" s="29">
        <v>0.0</v>
      </c>
      <c r="E51" s="30">
        <v>0.0</v>
      </c>
      <c r="F51" s="31"/>
      <c r="G51" s="32">
        <v>0.0</v>
      </c>
      <c r="H51" s="33">
        <v>0.0</v>
      </c>
      <c r="I51" s="34"/>
      <c r="J51" s="35"/>
      <c r="K51" s="36"/>
      <c r="L51" s="35"/>
      <c r="M51" s="36"/>
      <c r="N51" s="35"/>
      <c r="O51" s="36"/>
      <c r="P51" s="35"/>
      <c r="Q51" s="36"/>
      <c r="R51" s="35"/>
      <c r="S51" s="36"/>
      <c r="T51" s="35"/>
      <c r="U51" s="36"/>
      <c r="V51" s="35"/>
      <c r="W51" s="36"/>
      <c r="X51" s="35"/>
      <c r="Y51" s="36"/>
      <c r="Z51" s="37"/>
      <c r="AA51" s="37"/>
      <c r="AB51" s="35"/>
      <c r="AC51" s="38"/>
      <c r="AD51" s="36"/>
      <c r="AE51" s="35"/>
      <c r="AF51" s="36"/>
      <c r="AG51" s="1"/>
    </row>
    <row r="52" ht="21.0" customHeight="1">
      <c r="A52" s="1"/>
      <c r="B52" s="39" t="s">
        <v>24</v>
      </c>
      <c r="C52" s="40"/>
      <c r="D52" s="41"/>
      <c r="E52" s="42" t="s">
        <v>25</v>
      </c>
      <c r="F52" s="40"/>
      <c r="G52" s="41"/>
      <c r="H52" s="43" t="s">
        <v>26</v>
      </c>
      <c r="J52" s="44" t="s">
        <v>27</v>
      </c>
      <c r="K52" s="45" t="s">
        <v>28</v>
      </c>
      <c r="L52" s="44" t="s">
        <v>27</v>
      </c>
      <c r="M52" s="45" t="s">
        <v>28</v>
      </c>
      <c r="N52" s="44" t="s">
        <v>27</v>
      </c>
      <c r="O52" s="45" t="s">
        <v>28</v>
      </c>
      <c r="P52" s="44" t="s">
        <v>27</v>
      </c>
      <c r="Q52" s="45" t="s">
        <v>28</v>
      </c>
      <c r="R52" s="44" t="s">
        <v>27</v>
      </c>
      <c r="S52" s="45" t="s">
        <v>28</v>
      </c>
      <c r="T52" s="44" t="s">
        <v>27</v>
      </c>
      <c r="U52" s="45" t="s">
        <v>28</v>
      </c>
      <c r="V52" s="44" t="s">
        <v>27</v>
      </c>
      <c r="W52" s="45" t="s">
        <v>28</v>
      </c>
      <c r="X52" s="44" t="s">
        <v>27</v>
      </c>
      <c r="Y52" s="45" t="s">
        <v>28</v>
      </c>
      <c r="Z52" s="46"/>
      <c r="AA52" s="46"/>
      <c r="AB52" s="44" t="s">
        <v>29</v>
      </c>
      <c r="AC52" s="47" t="s">
        <v>30</v>
      </c>
      <c r="AD52" s="45" t="s">
        <v>31</v>
      </c>
      <c r="AE52" s="44" t="s">
        <v>27</v>
      </c>
      <c r="AF52" s="45" t="s">
        <v>28</v>
      </c>
      <c r="AG52" s="1"/>
    </row>
    <row r="53" ht="21.0" customHeight="1">
      <c r="A53" s="1"/>
      <c r="B53" s="48" t="s">
        <v>32</v>
      </c>
      <c r="C53" s="49"/>
      <c r="D53" s="50"/>
      <c r="E53" s="51" t="s">
        <v>33</v>
      </c>
      <c r="F53" s="52" t="s">
        <v>34</v>
      </c>
      <c r="G53" s="53"/>
      <c r="H53" s="54" t="s">
        <v>67</v>
      </c>
      <c r="I53" s="55"/>
      <c r="J53" s="58"/>
      <c r="K53" s="57">
        <v>15.0</v>
      </c>
      <c r="L53" s="58"/>
      <c r="M53" s="57">
        <v>15.0</v>
      </c>
      <c r="N53" s="58"/>
      <c r="O53" s="57">
        <v>15.0</v>
      </c>
      <c r="P53" s="58"/>
      <c r="Q53" s="57">
        <v>15.0</v>
      </c>
      <c r="R53" s="58"/>
      <c r="S53" s="59"/>
      <c r="T53" s="58"/>
      <c r="U53" s="59"/>
      <c r="V53" s="58"/>
      <c r="W53" s="59"/>
      <c r="X53" s="58"/>
      <c r="Y53" s="59"/>
      <c r="Z53" s="60" t="b">
        <v>0</v>
      </c>
      <c r="AA53" s="61">
        <f t="shared" ref="AA53:AA61" si="19">(J53*K53+L53*M53+N53*O53+P53*Q53+R53*S53+T53*U53+V53*W53+X53*Y53)*if(Z53=true,0.453592,1)</f>
        <v>0</v>
      </c>
      <c r="AB53" s="62">
        <f t="shared" ref="AB53:AB61" si="20">SUM(AE53*AF53*0.025,AE53)</f>
        <v>0</v>
      </c>
      <c r="AC53" s="63">
        <f t="shared" ref="AC53:AC61" si="21">AB53*87%</f>
        <v>0</v>
      </c>
      <c r="AD53" s="64">
        <f t="shared" ref="AD53:AD61" si="22">AB53*67%</f>
        <v>0</v>
      </c>
      <c r="AE53" s="62">
        <f t="shared" ref="AE53:AE61" si="23">MAX(J53,L53,N53,P53,R53,T53,V53,X53)*if(Z53=true,0.453592,1)</f>
        <v>0</v>
      </c>
      <c r="AF53" s="64">
        <f t="shared" ref="AF53:AF61" si="24">MAX(IF(J53*if(Z53=true,0.453592,1)=$AE53,K53,0),IF(L53*if(Z53=true,0.453592,1)=$AE53,M53,0),IF(N53*if(Z53=true,0.453592,1)=$AE53,O53,0),IF(P53*if(Z53=true,0.453592,1)=$AE53,Q53,0),IF(R53*if(Z53=true,0.453592,1)=$AE53,S53,0),IF(T53*if(Z53=true,0.453592,1)=$AE53,U53,0),IF(V53*if(Z53=true,0.453592,1)=$AE53,W53,0),IF(X53*if(Z53=true,0.453592,1)=$AE53,Y53,0))</f>
        <v>15</v>
      </c>
      <c r="AG53" s="1"/>
    </row>
    <row r="54" ht="21.0" customHeight="1">
      <c r="A54" s="1"/>
      <c r="B54" s="48" t="s">
        <v>36</v>
      </c>
      <c r="C54" s="49"/>
      <c r="D54" s="65"/>
      <c r="E54" s="66"/>
      <c r="F54" s="52" t="s">
        <v>37</v>
      </c>
      <c r="G54" s="67"/>
      <c r="H54" s="68" t="s">
        <v>68</v>
      </c>
      <c r="I54" s="69"/>
      <c r="J54" s="116">
        <v>2.5</v>
      </c>
      <c r="K54" s="71">
        <v>12.0</v>
      </c>
      <c r="L54" s="116">
        <v>2.5</v>
      </c>
      <c r="M54" s="71">
        <v>12.0</v>
      </c>
      <c r="N54" s="116">
        <v>2.5</v>
      </c>
      <c r="O54" s="71">
        <v>12.0</v>
      </c>
      <c r="P54" s="116">
        <v>2.5</v>
      </c>
      <c r="Q54" s="71">
        <v>12.0</v>
      </c>
      <c r="R54" s="72"/>
      <c r="S54" s="73"/>
      <c r="T54" s="72"/>
      <c r="U54" s="73"/>
      <c r="V54" s="72"/>
      <c r="W54" s="73"/>
      <c r="X54" s="72"/>
      <c r="Y54" s="73"/>
      <c r="Z54" s="74" t="b">
        <v>0</v>
      </c>
      <c r="AA54" s="75">
        <f t="shared" si="19"/>
        <v>120</v>
      </c>
      <c r="AB54" s="76">
        <f t="shared" si="20"/>
        <v>3.25</v>
      </c>
      <c r="AC54" s="77">
        <f t="shared" si="21"/>
        <v>2.8275</v>
      </c>
      <c r="AD54" s="78">
        <f t="shared" si="22"/>
        <v>2.1775</v>
      </c>
      <c r="AE54" s="76">
        <f t="shared" si="23"/>
        <v>2.5</v>
      </c>
      <c r="AF54" s="78">
        <f t="shared" si="24"/>
        <v>12</v>
      </c>
      <c r="AG54" s="1"/>
    </row>
    <row r="55" ht="21.0" customHeight="1">
      <c r="A55" s="1"/>
      <c r="B55" s="48" t="s">
        <v>39</v>
      </c>
      <c r="C55" s="49"/>
      <c r="D55" s="65"/>
      <c r="E55" s="41"/>
      <c r="F55" s="52" t="s">
        <v>40</v>
      </c>
      <c r="G55" s="79"/>
      <c r="H55" s="115" t="s">
        <v>69</v>
      </c>
      <c r="I55" s="69"/>
      <c r="J55" s="70">
        <v>1.0</v>
      </c>
      <c r="K55" s="71">
        <v>12.0</v>
      </c>
      <c r="L55" s="70">
        <v>1.0</v>
      </c>
      <c r="M55" s="71">
        <v>15.0</v>
      </c>
      <c r="N55" s="70">
        <v>1.0</v>
      </c>
      <c r="O55" s="71">
        <v>12.0</v>
      </c>
      <c r="P55" s="70">
        <v>1.0</v>
      </c>
      <c r="Q55" s="71">
        <v>12.0</v>
      </c>
      <c r="R55" s="72"/>
      <c r="S55" s="73"/>
      <c r="T55" s="72"/>
      <c r="U55" s="73"/>
      <c r="V55" s="72"/>
      <c r="W55" s="73"/>
      <c r="X55" s="72"/>
      <c r="Y55" s="73"/>
      <c r="Z55" s="74" t="b">
        <v>0</v>
      </c>
      <c r="AA55" s="75">
        <f t="shared" si="19"/>
        <v>51</v>
      </c>
      <c r="AB55" s="76">
        <f t="shared" si="20"/>
        <v>1.375</v>
      </c>
      <c r="AC55" s="77">
        <f t="shared" si="21"/>
        <v>1.19625</v>
      </c>
      <c r="AD55" s="78">
        <f t="shared" si="22"/>
        <v>0.92125</v>
      </c>
      <c r="AE55" s="76">
        <f t="shared" si="23"/>
        <v>1</v>
      </c>
      <c r="AF55" s="78">
        <f t="shared" si="24"/>
        <v>15</v>
      </c>
      <c r="AG55" s="1"/>
    </row>
    <row r="56" ht="21.0" customHeight="1">
      <c r="A56" s="1"/>
      <c r="B56" s="48" t="s">
        <v>41</v>
      </c>
      <c r="C56" s="81"/>
      <c r="D56" s="82" t="b">
        <v>0</v>
      </c>
      <c r="E56" s="51" t="s">
        <v>42</v>
      </c>
      <c r="F56" s="52" t="s">
        <v>34</v>
      </c>
      <c r="G56" s="83"/>
      <c r="H56" s="84"/>
      <c r="I56" s="85"/>
      <c r="J56" s="72"/>
      <c r="K56" s="73"/>
      <c r="L56" s="72"/>
      <c r="M56" s="73"/>
      <c r="N56" s="72"/>
      <c r="O56" s="73"/>
      <c r="P56" s="72"/>
      <c r="Q56" s="73"/>
      <c r="R56" s="72"/>
      <c r="S56" s="73"/>
      <c r="T56" s="72"/>
      <c r="U56" s="73"/>
      <c r="V56" s="72"/>
      <c r="W56" s="73"/>
      <c r="X56" s="72"/>
      <c r="Y56" s="73"/>
      <c r="Z56" s="74" t="b">
        <v>0</v>
      </c>
      <c r="AA56" s="75">
        <f t="shared" si="19"/>
        <v>0</v>
      </c>
      <c r="AB56" s="76">
        <f t="shared" si="20"/>
        <v>0</v>
      </c>
      <c r="AC56" s="77">
        <f t="shared" si="21"/>
        <v>0</v>
      </c>
      <c r="AD56" s="78">
        <f t="shared" si="22"/>
        <v>0</v>
      </c>
      <c r="AE56" s="76">
        <f t="shared" si="23"/>
        <v>0</v>
      </c>
      <c r="AF56" s="78">
        <f t="shared" si="24"/>
        <v>0</v>
      </c>
      <c r="AG56" s="1"/>
    </row>
    <row r="57" ht="21.0" customHeight="1">
      <c r="A57" s="1"/>
      <c r="B57" s="48" t="s">
        <v>43</v>
      </c>
      <c r="C57" s="49"/>
      <c r="D57" s="86" t="b">
        <v>0</v>
      </c>
      <c r="E57" s="66"/>
      <c r="F57" s="52" t="s">
        <v>37</v>
      </c>
      <c r="G57" s="67"/>
      <c r="H57" s="115" t="s">
        <v>70</v>
      </c>
      <c r="I57" s="69"/>
      <c r="J57" s="72"/>
      <c r="K57" s="71">
        <v>10.0</v>
      </c>
      <c r="L57" s="72"/>
      <c r="M57" s="71">
        <v>14.0</v>
      </c>
      <c r="N57" s="72"/>
      <c r="O57" s="71">
        <v>15.0</v>
      </c>
      <c r="P57" s="72"/>
      <c r="Q57" s="71">
        <v>15.0</v>
      </c>
      <c r="R57" s="72"/>
      <c r="S57" s="71">
        <v>15.0</v>
      </c>
      <c r="T57" s="72"/>
      <c r="U57" s="73"/>
      <c r="V57" s="72"/>
      <c r="W57" s="73"/>
      <c r="X57" s="72"/>
      <c r="Y57" s="73"/>
      <c r="Z57" s="74" t="b">
        <v>0</v>
      </c>
      <c r="AA57" s="75">
        <f t="shared" si="19"/>
        <v>0</v>
      </c>
      <c r="AB57" s="76">
        <f t="shared" si="20"/>
        <v>0</v>
      </c>
      <c r="AC57" s="77">
        <f t="shared" si="21"/>
        <v>0</v>
      </c>
      <c r="AD57" s="78">
        <f t="shared" si="22"/>
        <v>0</v>
      </c>
      <c r="AE57" s="76">
        <f t="shared" si="23"/>
        <v>0</v>
      </c>
      <c r="AF57" s="78">
        <f t="shared" si="24"/>
        <v>15</v>
      </c>
      <c r="AG57" s="1"/>
    </row>
    <row r="58" ht="21.0" customHeight="1">
      <c r="A58" s="1"/>
      <c r="B58" s="87" t="str">
        <f t="array" ref="B58">"📌최근 인바디 결과 : "&amp;text(xlookup(B50,'현황'!O:O,'현황'!O:O,,-1,-1),"m/d(ddd)")</f>
        <v>#REF!</v>
      </c>
      <c r="C58" s="88"/>
      <c r="D58" s="49"/>
      <c r="E58" s="41"/>
      <c r="F58" s="52" t="s">
        <v>40</v>
      </c>
      <c r="G58" s="79"/>
      <c r="H58" s="80"/>
      <c r="I58" s="69"/>
      <c r="J58" s="72"/>
      <c r="K58" s="73"/>
      <c r="L58" s="72"/>
      <c r="M58" s="73"/>
      <c r="N58" s="72"/>
      <c r="O58" s="73"/>
      <c r="P58" s="72"/>
      <c r="Q58" s="73"/>
      <c r="R58" s="72"/>
      <c r="S58" s="73"/>
      <c r="T58" s="72"/>
      <c r="U58" s="73"/>
      <c r="V58" s="72"/>
      <c r="W58" s="73"/>
      <c r="X58" s="72"/>
      <c r="Y58" s="73"/>
      <c r="Z58" s="74" t="b">
        <v>0</v>
      </c>
      <c r="AA58" s="75">
        <f t="shared" si="19"/>
        <v>0</v>
      </c>
      <c r="AB58" s="76">
        <f t="shared" si="20"/>
        <v>0</v>
      </c>
      <c r="AC58" s="77">
        <f t="shared" si="21"/>
        <v>0</v>
      </c>
      <c r="AD58" s="78">
        <f t="shared" si="22"/>
        <v>0</v>
      </c>
      <c r="AE58" s="76">
        <f t="shared" si="23"/>
        <v>0</v>
      </c>
      <c r="AF58" s="78">
        <f t="shared" si="24"/>
        <v>0</v>
      </c>
      <c r="AG58" s="1"/>
    </row>
    <row r="59" ht="21.0" customHeight="1">
      <c r="A59" s="1"/>
      <c r="B59" s="89" t="s">
        <v>44</v>
      </c>
      <c r="C59" s="49"/>
      <c r="D59" s="90">
        <f t="array" ref="D59">iferror(vlookup(xlookup(B50,'현황'!O:O,'현황'!O:O,,-1,-1),'현황'!O:S,2,false),0)</f>
        <v>0</v>
      </c>
      <c r="E59" s="51" t="s">
        <v>45</v>
      </c>
      <c r="F59" s="52" t="s">
        <v>34</v>
      </c>
      <c r="G59" s="83"/>
      <c r="H59" s="84"/>
      <c r="I59" s="85"/>
      <c r="J59" s="72"/>
      <c r="K59" s="73"/>
      <c r="L59" s="72"/>
      <c r="M59" s="73"/>
      <c r="N59" s="72"/>
      <c r="O59" s="73"/>
      <c r="P59" s="72"/>
      <c r="Q59" s="73"/>
      <c r="R59" s="72"/>
      <c r="S59" s="73"/>
      <c r="T59" s="72"/>
      <c r="U59" s="73"/>
      <c r="V59" s="72"/>
      <c r="W59" s="73"/>
      <c r="X59" s="72"/>
      <c r="Y59" s="73"/>
      <c r="Z59" s="74" t="b">
        <v>0</v>
      </c>
      <c r="AA59" s="75">
        <f t="shared" si="19"/>
        <v>0</v>
      </c>
      <c r="AB59" s="76">
        <f t="shared" si="20"/>
        <v>0</v>
      </c>
      <c r="AC59" s="77">
        <f t="shared" si="21"/>
        <v>0</v>
      </c>
      <c r="AD59" s="78">
        <f t="shared" si="22"/>
        <v>0</v>
      </c>
      <c r="AE59" s="76">
        <f t="shared" si="23"/>
        <v>0</v>
      </c>
      <c r="AF59" s="78">
        <f t="shared" si="24"/>
        <v>0</v>
      </c>
      <c r="AG59" s="1"/>
    </row>
    <row r="60" ht="21.0" customHeight="1">
      <c r="A60" s="1"/>
      <c r="B60" s="48" t="s">
        <v>46</v>
      </c>
      <c r="C60" s="49"/>
      <c r="D60" s="91">
        <f t="array" ref="D60">iferror(vlookup(xlookup(B50,'현황'!O:O,'현황'!O:O,,-1,-1),'현황'!O:S,3,false),0)</f>
        <v>0</v>
      </c>
      <c r="E60" s="66"/>
      <c r="F60" s="52" t="s">
        <v>37</v>
      </c>
      <c r="G60" s="67"/>
      <c r="H60" s="80"/>
      <c r="I60" s="69"/>
      <c r="J60" s="72"/>
      <c r="K60" s="73"/>
      <c r="L60" s="72"/>
      <c r="M60" s="73"/>
      <c r="N60" s="72"/>
      <c r="O60" s="73"/>
      <c r="P60" s="72"/>
      <c r="Q60" s="73"/>
      <c r="R60" s="72"/>
      <c r="S60" s="73"/>
      <c r="T60" s="72"/>
      <c r="U60" s="73"/>
      <c r="V60" s="72"/>
      <c r="W60" s="73"/>
      <c r="X60" s="72"/>
      <c r="Y60" s="73"/>
      <c r="Z60" s="74" t="b">
        <v>0</v>
      </c>
      <c r="AA60" s="75">
        <f t="shared" si="19"/>
        <v>0</v>
      </c>
      <c r="AB60" s="76">
        <f t="shared" si="20"/>
        <v>0</v>
      </c>
      <c r="AC60" s="77">
        <f t="shared" si="21"/>
        <v>0</v>
      </c>
      <c r="AD60" s="78">
        <f t="shared" si="22"/>
        <v>0</v>
      </c>
      <c r="AE60" s="76">
        <f t="shared" si="23"/>
        <v>0</v>
      </c>
      <c r="AF60" s="78">
        <f t="shared" si="24"/>
        <v>0</v>
      </c>
      <c r="AG60" s="1"/>
    </row>
    <row r="61" ht="21.0" customHeight="1">
      <c r="A61" s="1"/>
      <c r="B61" s="48" t="s">
        <v>47</v>
      </c>
      <c r="C61" s="49"/>
      <c r="D61" s="91">
        <f t="array" ref="D61">iferror(vlookup(xlookup(B50,'현황'!O:O,'현황'!O:O,,-1,-1),'현황'!O:S,4,false),0)</f>
        <v>0</v>
      </c>
      <c r="E61" s="41"/>
      <c r="F61" s="92" t="s">
        <v>40</v>
      </c>
      <c r="G61" s="79"/>
      <c r="H61" s="93"/>
      <c r="I61" s="94"/>
      <c r="J61" s="95"/>
      <c r="K61" s="96"/>
      <c r="L61" s="95"/>
      <c r="M61" s="96"/>
      <c r="N61" s="95"/>
      <c r="O61" s="96"/>
      <c r="P61" s="95"/>
      <c r="Q61" s="96"/>
      <c r="R61" s="95"/>
      <c r="S61" s="96"/>
      <c r="T61" s="95"/>
      <c r="U61" s="96"/>
      <c r="V61" s="95"/>
      <c r="W61" s="96"/>
      <c r="X61" s="95"/>
      <c r="Y61" s="96"/>
      <c r="Z61" s="97" t="b">
        <v>0</v>
      </c>
      <c r="AA61" s="98">
        <f t="shared" si="19"/>
        <v>0</v>
      </c>
      <c r="AB61" s="99">
        <f t="shared" si="20"/>
        <v>0</v>
      </c>
      <c r="AC61" s="100">
        <f t="shared" si="21"/>
        <v>0</v>
      </c>
      <c r="AD61" s="101">
        <f t="shared" si="22"/>
        <v>0</v>
      </c>
      <c r="AE61" s="99">
        <f t="shared" si="23"/>
        <v>0</v>
      </c>
      <c r="AF61" s="101">
        <f t="shared" si="24"/>
        <v>0</v>
      </c>
      <c r="AG61" s="1"/>
    </row>
    <row r="62" ht="21.0" customHeight="1">
      <c r="A62" s="1"/>
      <c r="B62" s="102" t="s">
        <v>48</v>
      </c>
      <c r="C62" s="103"/>
      <c r="D62" s="104">
        <f>iferror(D61/D59,0)</f>
        <v>0</v>
      </c>
      <c r="E62" s="102" t="s">
        <v>49</v>
      </c>
      <c r="F62" s="103"/>
      <c r="G62" s="105"/>
      <c r="H62" s="106" t="s">
        <v>50</v>
      </c>
      <c r="I62" s="107"/>
      <c r="J62" s="11"/>
      <c r="K62" s="11"/>
      <c r="L62" s="11"/>
      <c r="M62" s="11"/>
      <c r="N62" s="11"/>
      <c r="O62" s="11"/>
      <c r="P62" s="108" t="s">
        <v>51</v>
      </c>
      <c r="Q62" s="12"/>
      <c r="R62" s="109"/>
      <c r="S62" s="11"/>
      <c r="T62" s="11"/>
      <c r="U62" s="11"/>
      <c r="V62" s="11"/>
      <c r="W62" s="11"/>
      <c r="X62" s="11"/>
      <c r="Y62" s="11"/>
      <c r="Z62" s="12"/>
      <c r="AA62" s="110">
        <f>SUM(AA53:AA61)</f>
        <v>171</v>
      </c>
      <c r="AB62" s="111" t="s">
        <v>71</v>
      </c>
      <c r="AG62" s="1"/>
    </row>
    <row r="63" ht="21.0" customHeight="1">
      <c r="A63" s="1"/>
      <c r="B63" s="1"/>
      <c r="C63" s="1"/>
      <c r="D63" s="1"/>
      <c r="E63" s="1"/>
      <c r="F63" s="1"/>
      <c r="G63" s="1"/>
      <c r="H63" s="1"/>
      <c r="I63" s="1"/>
      <c r="AA63" s="1"/>
      <c r="AB63" s="1"/>
      <c r="AC63" s="3"/>
      <c r="AD63" s="1"/>
      <c r="AE63" s="1"/>
      <c r="AF63" s="1"/>
      <c r="AG63" s="1"/>
    </row>
    <row r="64" ht="21.0" customHeight="1">
      <c r="A64" s="1"/>
      <c r="B64" s="4" t="s">
        <v>1</v>
      </c>
      <c r="C64" s="5"/>
      <c r="D64" s="6" t="s">
        <v>2</v>
      </c>
      <c r="E64" s="7"/>
      <c r="F64" s="7"/>
      <c r="G64" s="5"/>
      <c r="H64" s="8" t="s">
        <v>3</v>
      </c>
      <c r="I64" s="8" t="s">
        <v>4</v>
      </c>
      <c r="J64" s="9" t="s">
        <v>5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5"/>
      <c r="AA64" s="117" t="s">
        <v>6</v>
      </c>
      <c r="AB64" s="11"/>
      <c r="AC64" s="11"/>
      <c r="AD64" s="11"/>
      <c r="AE64" s="11"/>
      <c r="AF64" s="12"/>
      <c r="AG64" s="1"/>
    </row>
    <row r="65" ht="21.0" customHeight="1">
      <c r="A65" s="1"/>
      <c r="B65" s="13">
        <v>46045.0</v>
      </c>
      <c r="C65" s="14" t="str">
        <f>if(B65="0/0","",choose(weekday(B65),"(일)","(월)","(화)","(수)","(목)","(금)","(토)"))</f>
        <v>(금)</v>
      </c>
      <c r="D65" s="15" t="s">
        <v>7</v>
      </c>
      <c r="E65" s="16" t="s">
        <v>8</v>
      </c>
      <c r="F65" s="17"/>
      <c r="G65" s="18" t="s">
        <v>9</v>
      </c>
      <c r="H65" s="19" t="s">
        <v>10</v>
      </c>
      <c r="I65" s="20" t="s">
        <v>72</v>
      </c>
      <c r="J65" s="21" t="s">
        <v>12</v>
      </c>
      <c r="K65" s="22"/>
      <c r="L65" s="21" t="s">
        <v>13</v>
      </c>
      <c r="M65" s="22"/>
      <c r="N65" s="21" t="s">
        <v>14</v>
      </c>
      <c r="O65" s="22"/>
      <c r="P65" s="21" t="s">
        <v>15</v>
      </c>
      <c r="Q65" s="22"/>
      <c r="R65" s="23" t="s">
        <v>16</v>
      </c>
      <c r="S65" s="22"/>
      <c r="T65" s="23" t="s">
        <v>17</v>
      </c>
      <c r="U65" s="22"/>
      <c r="V65" s="23" t="s">
        <v>18</v>
      </c>
      <c r="W65" s="22"/>
      <c r="X65" s="23" t="s">
        <v>19</v>
      </c>
      <c r="Y65" s="22"/>
      <c r="Z65" s="24" t="s">
        <v>73</v>
      </c>
      <c r="AA65" s="118" t="s">
        <v>21</v>
      </c>
      <c r="AB65" s="119" t="s">
        <v>22</v>
      </c>
      <c r="AC65" s="7"/>
      <c r="AD65" s="22"/>
      <c r="AE65" s="120" t="s">
        <v>23</v>
      </c>
      <c r="AF65" s="22"/>
      <c r="AG65" s="1"/>
    </row>
    <row r="66" ht="21.0" customHeight="1">
      <c r="A66" s="1"/>
      <c r="B66" s="27">
        <f>iferror(B65-'현황'!$C$4+1,0)</f>
        <v>0</v>
      </c>
      <c r="C66" s="28"/>
      <c r="D66" s="29">
        <v>0.0</v>
      </c>
      <c r="E66" s="30">
        <v>0.0</v>
      </c>
      <c r="F66" s="31"/>
      <c r="G66" s="32">
        <v>0.0</v>
      </c>
      <c r="H66" s="33">
        <v>0.0</v>
      </c>
      <c r="I66" s="34"/>
      <c r="J66" s="35"/>
      <c r="K66" s="36"/>
      <c r="L66" s="35"/>
      <c r="M66" s="36"/>
      <c r="N66" s="35"/>
      <c r="O66" s="36"/>
      <c r="P66" s="35"/>
      <c r="Q66" s="36"/>
      <c r="R66" s="35"/>
      <c r="S66" s="36"/>
      <c r="T66" s="35"/>
      <c r="U66" s="36"/>
      <c r="V66" s="35"/>
      <c r="W66" s="36"/>
      <c r="X66" s="35"/>
      <c r="Y66" s="36"/>
      <c r="Z66" s="37"/>
      <c r="AA66" s="37"/>
      <c r="AB66" s="35"/>
      <c r="AC66" s="38"/>
      <c r="AD66" s="36"/>
      <c r="AE66" s="35"/>
      <c r="AF66" s="36"/>
      <c r="AG66" s="1"/>
    </row>
    <row r="67" ht="21.0" customHeight="1">
      <c r="A67" s="1"/>
      <c r="B67" s="39" t="s">
        <v>24</v>
      </c>
      <c r="C67" s="40"/>
      <c r="D67" s="41"/>
      <c r="E67" s="42" t="s">
        <v>25</v>
      </c>
      <c r="F67" s="40"/>
      <c r="G67" s="41"/>
      <c r="H67" s="43" t="s">
        <v>26</v>
      </c>
      <c r="J67" s="44" t="s">
        <v>27</v>
      </c>
      <c r="K67" s="45" t="s">
        <v>28</v>
      </c>
      <c r="L67" s="44" t="s">
        <v>27</v>
      </c>
      <c r="M67" s="45" t="s">
        <v>28</v>
      </c>
      <c r="N67" s="44" t="s">
        <v>27</v>
      </c>
      <c r="O67" s="45" t="s">
        <v>28</v>
      </c>
      <c r="P67" s="44" t="s">
        <v>27</v>
      </c>
      <c r="Q67" s="45" t="s">
        <v>28</v>
      </c>
      <c r="R67" s="44" t="s">
        <v>27</v>
      </c>
      <c r="S67" s="45" t="s">
        <v>28</v>
      </c>
      <c r="T67" s="44" t="s">
        <v>27</v>
      </c>
      <c r="U67" s="45" t="s">
        <v>28</v>
      </c>
      <c r="V67" s="44" t="s">
        <v>27</v>
      </c>
      <c r="W67" s="45" t="s">
        <v>28</v>
      </c>
      <c r="X67" s="44" t="s">
        <v>27</v>
      </c>
      <c r="Y67" s="45" t="s">
        <v>28</v>
      </c>
      <c r="Z67" s="46"/>
      <c r="AA67" s="46"/>
      <c r="AB67" s="121" t="s">
        <v>29</v>
      </c>
      <c r="AC67" s="122" t="s">
        <v>30</v>
      </c>
      <c r="AD67" s="123" t="s">
        <v>31</v>
      </c>
      <c r="AE67" s="121" t="s">
        <v>27</v>
      </c>
      <c r="AF67" s="123" t="s">
        <v>28</v>
      </c>
      <c r="AG67" s="1"/>
    </row>
    <row r="68" ht="21.0" customHeight="1">
      <c r="A68" s="1"/>
      <c r="B68" s="48" t="s">
        <v>32</v>
      </c>
      <c r="C68" s="49"/>
      <c r="D68" s="50"/>
      <c r="E68" s="51" t="s">
        <v>33</v>
      </c>
      <c r="F68" s="52" t="s">
        <v>34</v>
      </c>
      <c r="G68" s="53"/>
      <c r="H68" s="112" t="s">
        <v>74</v>
      </c>
      <c r="I68" s="55"/>
      <c r="J68" s="124">
        <v>5.0</v>
      </c>
      <c r="K68" s="57">
        <v>15.0</v>
      </c>
      <c r="L68" s="124">
        <v>7.5</v>
      </c>
      <c r="M68" s="57">
        <v>15.0</v>
      </c>
      <c r="N68" s="56">
        <v>5.0</v>
      </c>
      <c r="O68" s="57">
        <v>15.0</v>
      </c>
      <c r="P68" s="56">
        <v>5.0</v>
      </c>
      <c r="Q68" s="57">
        <v>15.0</v>
      </c>
      <c r="R68" s="58"/>
      <c r="S68" s="59"/>
      <c r="T68" s="58"/>
      <c r="U68" s="59"/>
      <c r="V68" s="58"/>
      <c r="W68" s="59"/>
      <c r="X68" s="58"/>
      <c r="Y68" s="59"/>
      <c r="Z68" s="60" t="b">
        <v>0</v>
      </c>
      <c r="AA68" s="125">
        <f t="shared" ref="AA68:AA76" si="25">(J68*K68+L68*M68+N68*O68+P68*Q68+R68*S68+T68*U68+V68*W68+X68*Y68)*if(Z68=true,0.453592,1)</f>
        <v>337.5</v>
      </c>
      <c r="AB68" s="126">
        <f t="shared" ref="AB68:AB76" si="26">SUM(AE68*AF68*0.025,AE68)</f>
        <v>10.3125</v>
      </c>
      <c r="AC68" s="127">
        <f t="shared" ref="AC68:AC76" si="27">AB68*87%</f>
        <v>8.971875</v>
      </c>
      <c r="AD68" s="128">
        <f t="shared" ref="AD68:AD76" si="28">AB68*67%</f>
        <v>6.909375</v>
      </c>
      <c r="AE68" s="126">
        <f t="shared" ref="AE68:AE76" si="29">MAX(J68,L68,N68,P68,R68,T68,V68,X68)*if(Z68=true,0.453592,1)</f>
        <v>7.5</v>
      </c>
      <c r="AF68" s="128">
        <f t="shared" ref="AF68:AF76" si="30">MAX(IF(J68*if(Z68=true,0.453592,1)=$AE68,K68,0),IF(L68*if(Z68=true,0.453592,1)=$AE68,M68,0),IF(N68*if(Z68=true,0.453592,1)=$AE68,O68,0),IF(P68*if(Z68=true,0.453592,1)=$AE68,Q68,0),IF(R68*if(Z68=true,0.453592,1)=$AE68,S68,0),IF(T68*if(Z68=true,0.453592,1)=$AE68,U68,0),IF(V68*if(Z68=true,0.453592,1)=$AE68,W68,0),IF(X68*if(Z68=true,0.453592,1)=$AE68,Y68,0))</f>
        <v>15</v>
      </c>
      <c r="AG68" s="1"/>
    </row>
    <row r="69" ht="21.0" customHeight="1">
      <c r="A69" s="1"/>
      <c r="B69" s="48" t="s">
        <v>36</v>
      </c>
      <c r="C69" s="49"/>
      <c r="D69" s="65"/>
      <c r="E69" s="66"/>
      <c r="F69" s="52" t="s">
        <v>37</v>
      </c>
      <c r="G69" s="67"/>
      <c r="H69" s="129"/>
      <c r="I69" s="69"/>
      <c r="J69" s="72"/>
      <c r="K69" s="73"/>
      <c r="L69" s="72"/>
      <c r="M69" s="73"/>
      <c r="N69" s="72"/>
      <c r="O69" s="73"/>
      <c r="P69" s="72"/>
      <c r="Q69" s="73"/>
      <c r="R69" s="72"/>
      <c r="S69" s="73"/>
      <c r="T69" s="72"/>
      <c r="U69" s="73"/>
      <c r="V69" s="72"/>
      <c r="W69" s="73"/>
      <c r="X69" s="72"/>
      <c r="Y69" s="73"/>
      <c r="Z69" s="74" t="b">
        <v>0</v>
      </c>
      <c r="AA69" s="130">
        <f t="shared" si="25"/>
        <v>0</v>
      </c>
      <c r="AB69" s="131">
        <f t="shared" si="26"/>
        <v>0</v>
      </c>
      <c r="AC69" s="132">
        <f t="shared" si="27"/>
        <v>0</v>
      </c>
      <c r="AD69" s="133">
        <f t="shared" si="28"/>
        <v>0</v>
      </c>
      <c r="AE69" s="131">
        <f t="shared" si="29"/>
        <v>0</v>
      </c>
      <c r="AF69" s="133">
        <f t="shared" si="30"/>
        <v>0</v>
      </c>
      <c r="AG69" s="1"/>
    </row>
    <row r="70" ht="21.0" customHeight="1">
      <c r="A70" s="1"/>
      <c r="B70" s="48" t="s">
        <v>39</v>
      </c>
      <c r="C70" s="49"/>
      <c r="D70" s="65"/>
      <c r="E70" s="41"/>
      <c r="F70" s="52" t="s">
        <v>40</v>
      </c>
      <c r="G70" s="79"/>
      <c r="H70" s="115" t="s">
        <v>75</v>
      </c>
      <c r="I70" s="69"/>
      <c r="J70" s="70">
        <v>5.0</v>
      </c>
      <c r="K70" s="71">
        <v>15.0</v>
      </c>
      <c r="L70" s="70">
        <v>5.0</v>
      </c>
      <c r="M70" s="71">
        <v>20.0</v>
      </c>
      <c r="N70" s="124">
        <v>7.5</v>
      </c>
      <c r="O70" s="57">
        <v>12.0</v>
      </c>
      <c r="P70" s="124">
        <v>7.5</v>
      </c>
      <c r="Q70" s="57">
        <v>12.0</v>
      </c>
      <c r="R70" s="72"/>
      <c r="S70" s="73"/>
      <c r="T70" s="72"/>
      <c r="U70" s="73"/>
      <c r="V70" s="72"/>
      <c r="W70" s="73"/>
      <c r="X70" s="72"/>
      <c r="Y70" s="73"/>
      <c r="Z70" s="74" t="b">
        <v>0</v>
      </c>
      <c r="AA70" s="130">
        <f t="shared" si="25"/>
        <v>355</v>
      </c>
      <c r="AB70" s="131">
        <f t="shared" si="26"/>
        <v>9.75</v>
      </c>
      <c r="AC70" s="132">
        <f t="shared" si="27"/>
        <v>8.4825</v>
      </c>
      <c r="AD70" s="133">
        <f t="shared" si="28"/>
        <v>6.5325</v>
      </c>
      <c r="AE70" s="131">
        <f t="shared" si="29"/>
        <v>7.5</v>
      </c>
      <c r="AF70" s="133">
        <f t="shared" si="30"/>
        <v>12</v>
      </c>
      <c r="AG70" s="1"/>
    </row>
    <row r="71" ht="21.0" customHeight="1">
      <c r="A71" s="1"/>
      <c r="B71" s="48" t="s">
        <v>41</v>
      </c>
      <c r="C71" s="81"/>
      <c r="D71" s="82" t="b">
        <v>0</v>
      </c>
      <c r="E71" s="51" t="s">
        <v>42</v>
      </c>
      <c r="F71" s="52" t="s">
        <v>34</v>
      </c>
      <c r="G71" s="83"/>
      <c r="H71" s="134" t="s">
        <v>76</v>
      </c>
      <c r="I71" s="85"/>
      <c r="J71" s="70">
        <v>5.0</v>
      </c>
      <c r="K71" s="71">
        <v>10.0</v>
      </c>
      <c r="L71" s="70">
        <v>5.0</v>
      </c>
      <c r="M71" s="71">
        <v>10.0</v>
      </c>
      <c r="N71" s="70">
        <v>5.0</v>
      </c>
      <c r="O71" s="71">
        <v>12.0</v>
      </c>
      <c r="P71" s="70">
        <v>5.0</v>
      </c>
      <c r="Q71" s="71">
        <v>10.0</v>
      </c>
      <c r="R71" s="72"/>
      <c r="S71" s="73"/>
      <c r="T71" s="72"/>
      <c r="U71" s="73"/>
      <c r="V71" s="72"/>
      <c r="W71" s="73"/>
      <c r="X71" s="72"/>
      <c r="Y71" s="73"/>
      <c r="Z71" s="74" t="b">
        <v>0</v>
      </c>
      <c r="AA71" s="130">
        <f t="shared" si="25"/>
        <v>210</v>
      </c>
      <c r="AB71" s="131">
        <f t="shared" si="26"/>
        <v>6.5</v>
      </c>
      <c r="AC71" s="132">
        <f t="shared" si="27"/>
        <v>5.655</v>
      </c>
      <c r="AD71" s="133">
        <f t="shared" si="28"/>
        <v>4.355</v>
      </c>
      <c r="AE71" s="131">
        <f t="shared" si="29"/>
        <v>5</v>
      </c>
      <c r="AF71" s="133">
        <f t="shared" si="30"/>
        <v>12</v>
      </c>
      <c r="AG71" s="1"/>
    </row>
    <row r="72" ht="21.0" customHeight="1">
      <c r="A72" s="1"/>
      <c r="B72" s="48" t="s">
        <v>43</v>
      </c>
      <c r="C72" s="49"/>
      <c r="D72" s="86" t="b">
        <v>0</v>
      </c>
      <c r="E72" s="66"/>
      <c r="F72" s="52" t="s">
        <v>37</v>
      </c>
      <c r="G72" s="67"/>
      <c r="H72" s="80"/>
      <c r="I72" s="69"/>
      <c r="J72" s="72"/>
      <c r="K72" s="73"/>
      <c r="L72" s="72"/>
      <c r="M72" s="73"/>
      <c r="N72" s="72"/>
      <c r="O72" s="73"/>
      <c r="P72" s="72"/>
      <c r="Q72" s="73"/>
      <c r="R72" s="72"/>
      <c r="S72" s="73"/>
      <c r="T72" s="72"/>
      <c r="U72" s="73"/>
      <c r="V72" s="72"/>
      <c r="W72" s="73"/>
      <c r="X72" s="72"/>
      <c r="Y72" s="73"/>
      <c r="Z72" s="74" t="b">
        <v>0</v>
      </c>
      <c r="AA72" s="130">
        <f t="shared" si="25"/>
        <v>0</v>
      </c>
      <c r="AB72" s="131">
        <f t="shared" si="26"/>
        <v>0</v>
      </c>
      <c r="AC72" s="132">
        <f t="shared" si="27"/>
        <v>0</v>
      </c>
      <c r="AD72" s="133">
        <f t="shared" si="28"/>
        <v>0</v>
      </c>
      <c r="AE72" s="131">
        <f t="shared" si="29"/>
        <v>0</v>
      </c>
      <c r="AF72" s="133">
        <f t="shared" si="30"/>
        <v>0</v>
      </c>
      <c r="AG72" s="1"/>
    </row>
    <row r="73" ht="21.0" customHeight="1">
      <c r="A73" s="1"/>
      <c r="B73" s="87" t="str">
        <f t="array" ref="B73">"📌최근 인바디 결과 : "&amp;text(xlookup(B65,'현황'!O:O,'현황'!O:O,,-1,-1),"m/d(ddd)")</f>
        <v>#REF!</v>
      </c>
      <c r="C73" s="88"/>
      <c r="D73" s="49"/>
      <c r="E73" s="41"/>
      <c r="F73" s="52" t="s">
        <v>40</v>
      </c>
      <c r="G73" s="79"/>
      <c r="H73" s="115" t="s">
        <v>70</v>
      </c>
      <c r="I73" s="69"/>
      <c r="J73" s="72"/>
      <c r="K73" s="71">
        <v>15.0</v>
      </c>
      <c r="L73" s="72"/>
      <c r="M73" s="71">
        <v>15.0</v>
      </c>
      <c r="N73" s="72"/>
      <c r="O73" s="71">
        <v>15.0</v>
      </c>
      <c r="P73" s="72"/>
      <c r="Q73" s="71">
        <v>15.0</v>
      </c>
      <c r="R73" s="72"/>
      <c r="S73" s="73"/>
      <c r="T73" s="72"/>
      <c r="U73" s="73"/>
      <c r="V73" s="72"/>
      <c r="W73" s="73"/>
      <c r="X73" s="72"/>
      <c r="Y73" s="73"/>
      <c r="Z73" s="74" t="b">
        <v>0</v>
      </c>
      <c r="AA73" s="130">
        <f t="shared" si="25"/>
        <v>0</v>
      </c>
      <c r="AB73" s="131">
        <f t="shared" si="26"/>
        <v>0</v>
      </c>
      <c r="AC73" s="132">
        <f t="shared" si="27"/>
        <v>0</v>
      </c>
      <c r="AD73" s="133">
        <f t="shared" si="28"/>
        <v>0</v>
      </c>
      <c r="AE73" s="131">
        <f t="shared" si="29"/>
        <v>0</v>
      </c>
      <c r="AF73" s="133">
        <f t="shared" si="30"/>
        <v>15</v>
      </c>
      <c r="AG73" s="1"/>
    </row>
    <row r="74" ht="21.0" customHeight="1">
      <c r="A74" s="1"/>
      <c r="B74" s="89" t="s">
        <v>44</v>
      </c>
      <c r="C74" s="49"/>
      <c r="D74" s="90">
        <f t="array" ref="D74">iferror(vlookup(xlookup(B65,'현황'!O:O,'현황'!O:O,,-1,-1),'현황'!O:S,2,false),0)</f>
        <v>0</v>
      </c>
      <c r="E74" s="51" t="s">
        <v>45</v>
      </c>
      <c r="F74" s="52" t="s">
        <v>34</v>
      </c>
      <c r="G74" s="83"/>
      <c r="H74" s="84"/>
      <c r="I74" s="85"/>
      <c r="J74" s="72"/>
      <c r="K74" s="73"/>
      <c r="L74" s="72"/>
      <c r="M74" s="73"/>
      <c r="N74" s="72"/>
      <c r="O74" s="73"/>
      <c r="P74" s="72"/>
      <c r="Q74" s="73"/>
      <c r="R74" s="72"/>
      <c r="S74" s="73"/>
      <c r="T74" s="72"/>
      <c r="U74" s="73"/>
      <c r="V74" s="72"/>
      <c r="W74" s="73"/>
      <c r="X74" s="72"/>
      <c r="Y74" s="73"/>
      <c r="Z74" s="74" t="b">
        <v>0</v>
      </c>
      <c r="AA74" s="130">
        <f t="shared" si="25"/>
        <v>0</v>
      </c>
      <c r="AB74" s="131">
        <f t="shared" si="26"/>
        <v>0</v>
      </c>
      <c r="AC74" s="132">
        <f t="shared" si="27"/>
        <v>0</v>
      </c>
      <c r="AD74" s="133">
        <f t="shared" si="28"/>
        <v>0</v>
      </c>
      <c r="AE74" s="131">
        <f t="shared" si="29"/>
        <v>0</v>
      </c>
      <c r="AF74" s="133">
        <f t="shared" si="30"/>
        <v>0</v>
      </c>
      <c r="AG74" s="1"/>
    </row>
    <row r="75" ht="21.0" customHeight="1">
      <c r="A75" s="1"/>
      <c r="B75" s="48" t="s">
        <v>46</v>
      </c>
      <c r="C75" s="49"/>
      <c r="D75" s="91">
        <f t="array" ref="D75">iferror(vlookup(xlookup(B65,'현황'!O:O,'현황'!O:O,,-1,-1),'현황'!O:S,3,false),0)</f>
        <v>0</v>
      </c>
      <c r="E75" s="66"/>
      <c r="F75" s="52" t="s">
        <v>37</v>
      </c>
      <c r="G75" s="67"/>
      <c r="H75" s="80"/>
      <c r="I75" s="69"/>
      <c r="J75" s="72"/>
      <c r="K75" s="73"/>
      <c r="L75" s="72"/>
      <c r="M75" s="73"/>
      <c r="N75" s="72"/>
      <c r="O75" s="73"/>
      <c r="P75" s="72"/>
      <c r="Q75" s="73"/>
      <c r="R75" s="72"/>
      <c r="S75" s="73"/>
      <c r="T75" s="72"/>
      <c r="U75" s="73"/>
      <c r="V75" s="72"/>
      <c r="W75" s="73"/>
      <c r="X75" s="72"/>
      <c r="Y75" s="73"/>
      <c r="Z75" s="74" t="b">
        <v>0</v>
      </c>
      <c r="AA75" s="130">
        <f t="shared" si="25"/>
        <v>0</v>
      </c>
      <c r="AB75" s="131">
        <f t="shared" si="26"/>
        <v>0</v>
      </c>
      <c r="AC75" s="132">
        <f t="shared" si="27"/>
        <v>0</v>
      </c>
      <c r="AD75" s="133">
        <f t="shared" si="28"/>
        <v>0</v>
      </c>
      <c r="AE75" s="131">
        <f t="shared" si="29"/>
        <v>0</v>
      </c>
      <c r="AF75" s="133">
        <f t="shared" si="30"/>
        <v>0</v>
      </c>
      <c r="AG75" s="1"/>
    </row>
    <row r="76" ht="21.0" customHeight="1">
      <c r="A76" s="1"/>
      <c r="B76" s="48" t="s">
        <v>47</v>
      </c>
      <c r="C76" s="49"/>
      <c r="D76" s="91">
        <f t="array" ref="D76">iferror(vlookup(xlookup(B65,'현황'!O:O,'현황'!O:O,,-1,-1),'현황'!O:S,4,false),0)</f>
        <v>0</v>
      </c>
      <c r="E76" s="41"/>
      <c r="F76" s="92" t="s">
        <v>40</v>
      </c>
      <c r="G76" s="79"/>
      <c r="H76" s="93"/>
      <c r="I76" s="94"/>
      <c r="J76" s="95"/>
      <c r="K76" s="96"/>
      <c r="L76" s="95"/>
      <c r="M76" s="96"/>
      <c r="N76" s="95"/>
      <c r="O76" s="96"/>
      <c r="P76" s="95"/>
      <c r="Q76" s="96"/>
      <c r="R76" s="95"/>
      <c r="S76" s="96"/>
      <c r="T76" s="95"/>
      <c r="U76" s="96"/>
      <c r="V76" s="95"/>
      <c r="W76" s="96"/>
      <c r="X76" s="95"/>
      <c r="Y76" s="96"/>
      <c r="Z76" s="97" t="b">
        <v>0</v>
      </c>
      <c r="AA76" s="135">
        <f t="shared" si="25"/>
        <v>0</v>
      </c>
      <c r="AB76" s="136">
        <f t="shared" si="26"/>
        <v>0</v>
      </c>
      <c r="AC76" s="137">
        <f t="shared" si="27"/>
        <v>0</v>
      </c>
      <c r="AD76" s="138">
        <f t="shared" si="28"/>
        <v>0</v>
      </c>
      <c r="AE76" s="136">
        <f t="shared" si="29"/>
        <v>0</v>
      </c>
      <c r="AF76" s="138">
        <f t="shared" si="30"/>
        <v>0</v>
      </c>
      <c r="AG76" s="1"/>
    </row>
    <row r="77" ht="21.0" customHeight="1">
      <c r="A77" s="1"/>
      <c r="B77" s="102" t="s">
        <v>48</v>
      </c>
      <c r="C77" s="103"/>
      <c r="D77" s="104">
        <f>iferror(D76/D74,0)</f>
        <v>0</v>
      </c>
      <c r="E77" s="102" t="s">
        <v>49</v>
      </c>
      <c r="F77" s="103"/>
      <c r="G77" s="105"/>
      <c r="H77" s="106" t="s">
        <v>50</v>
      </c>
      <c r="I77" s="107"/>
      <c r="J77" s="11"/>
      <c r="K77" s="11"/>
      <c r="L77" s="11"/>
      <c r="M77" s="11"/>
      <c r="N77" s="11"/>
      <c r="O77" s="11"/>
      <c r="P77" s="108" t="s">
        <v>51</v>
      </c>
      <c r="Q77" s="12"/>
      <c r="R77" s="109"/>
      <c r="S77" s="11"/>
      <c r="T77" s="11"/>
      <c r="U77" s="11"/>
      <c r="V77" s="11"/>
      <c r="W77" s="11"/>
      <c r="X77" s="11"/>
      <c r="Y77" s="11"/>
      <c r="Z77" s="12"/>
      <c r="AA77" s="139">
        <f>SUM(AA68:AA76)</f>
        <v>902.5</v>
      </c>
      <c r="AB77" s="140" t="s">
        <v>77</v>
      </c>
      <c r="AG77" s="1"/>
    </row>
    <row r="78" ht="21.0" customHeight="1">
      <c r="A78" s="1"/>
      <c r="B78" s="1"/>
      <c r="C78" s="1"/>
      <c r="D78" s="1"/>
      <c r="E78" s="1"/>
      <c r="F78" s="1"/>
      <c r="G78" s="1"/>
      <c r="H78" s="1"/>
      <c r="I78" s="1"/>
      <c r="AA78" s="1"/>
      <c r="AB78" s="1"/>
      <c r="AC78" s="3"/>
      <c r="AD78" s="1"/>
      <c r="AE78" s="1"/>
      <c r="AF78" s="1"/>
      <c r="AG78" s="1"/>
    </row>
    <row r="79" ht="21.0" customHeight="1">
      <c r="A79" s="1"/>
      <c r="B79" s="4" t="s">
        <v>1</v>
      </c>
      <c r="C79" s="5"/>
      <c r="D79" s="6" t="s">
        <v>2</v>
      </c>
      <c r="E79" s="7"/>
      <c r="F79" s="7"/>
      <c r="G79" s="5"/>
      <c r="H79" s="8" t="s">
        <v>3</v>
      </c>
      <c r="I79" s="8" t="s">
        <v>4</v>
      </c>
      <c r="J79" s="9" t="s">
        <v>5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5"/>
      <c r="AA79" s="117" t="s">
        <v>6</v>
      </c>
      <c r="AB79" s="11"/>
      <c r="AC79" s="11"/>
      <c r="AD79" s="11"/>
      <c r="AE79" s="11"/>
      <c r="AF79" s="12"/>
      <c r="AG79" s="1"/>
    </row>
    <row r="80" ht="21.0" customHeight="1">
      <c r="A80" s="1"/>
      <c r="B80" s="13">
        <v>46050.0</v>
      </c>
      <c r="C80" s="14" t="str">
        <f>if(B80="0/0","",choose(weekday(B80),"(일)","(월)","(화)","(수)","(목)","(금)","(토)"))</f>
        <v>(수)</v>
      </c>
      <c r="D80" s="15" t="s">
        <v>7</v>
      </c>
      <c r="E80" s="16" t="s">
        <v>8</v>
      </c>
      <c r="F80" s="17"/>
      <c r="G80" s="18" t="s">
        <v>9</v>
      </c>
      <c r="H80" s="19" t="s">
        <v>10</v>
      </c>
      <c r="I80" s="20" t="s">
        <v>11</v>
      </c>
      <c r="J80" s="21" t="s">
        <v>12</v>
      </c>
      <c r="K80" s="22"/>
      <c r="L80" s="21" t="s">
        <v>13</v>
      </c>
      <c r="M80" s="22"/>
      <c r="N80" s="21" t="s">
        <v>14</v>
      </c>
      <c r="O80" s="22"/>
      <c r="P80" s="21" t="s">
        <v>15</v>
      </c>
      <c r="Q80" s="22"/>
      <c r="R80" s="23" t="s">
        <v>16</v>
      </c>
      <c r="S80" s="22"/>
      <c r="T80" s="23" t="s">
        <v>17</v>
      </c>
      <c r="U80" s="22"/>
      <c r="V80" s="23" t="s">
        <v>18</v>
      </c>
      <c r="W80" s="22"/>
      <c r="X80" s="23" t="s">
        <v>19</v>
      </c>
      <c r="Y80" s="22"/>
      <c r="Z80" s="24" t="s">
        <v>78</v>
      </c>
      <c r="AA80" s="118" t="s">
        <v>21</v>
      </c>
      <c r="AB80" s="119" t="s">
        <v>22</v>
      </c>
      <c r="AC80" s="7"/>
      <c r="AD80" s="22"/>
      <c r="AE80" s="120" t="s">
        <v>23</v>
      </c>
      <c r="AF80" s="22"/>
      <c r="AG80" s="1"/>
    </row>
    <row r="81" ht="21.0" customHeight="1">
      <c r="A81" s="1"/>
      <c r="B81" s="27">
        <f>iferror(B80-'현황'!$C$4+1,0)</f>
        <v>0</v>
      </c>
      <c r="C81" s="28"/>
      <c r="D81" s="29">
        <v>0.0</v>
      </c>
      <c r="E81" s="30">
        <v>0.0</v>
      </c>
      <c r="F81" s="31"/>
      <c r="G81" s="32">
        <v>0.0</v>
      </c>
      <c r="H81" s="33">
        <v>0.0</v>
      </c>
      <c r="I81" s="34"/>
      <c r="J81" s="35"/>
      <c r="K81" s="36"/>
      <c r="L81" s="35"/>
      <c r="M81" s="36"/>
      <c r="N81" s="35"/>
      <c r="O81" s="36"/>
      <c r="P81" s="35"/>
      <c r="Q81" s="36"/>
      <c r="R81" s="35"/>
      <c r="S81" s="36"/>
      <c r="T81" s="35"/>
      <c r="U81" s="36"/>
      <c r="V81" s="35"/>
      <c r="W81" s="36"/>
      <c r="X81" s="35"/>
      <c r="Y81" s="36"/>
      <c r="Z81" s="37"/>
      <c r="AA81" s="37"/>
      <c r="AB81" s="35"/>
      <c r="AC81" s="38"/>
      <c r="AD81" s="36"/>
      <c r="AE81" s="35"/>
      <c r="AF81" s="36"/>
      <c r="AG81" s="1"/>
    </row>
    <row r="82" ht="21.0" customHeight="1">
      <c r="A82" s="1"/>
      <c r="B82" s="39" t="s">
        <v>24</v>
      </c>
      <c r="C82" s="40"/>
      <c r="D82" s="41"/>
      <c r="E82" s="42" t="s">
        <v>25</v>
      </c>
      <c r="F82" s="40"/>
      <c r="G82" s="41"/>
      <c r="H82" s="43" t="s">
        <v>26</v>
      </c>
      <c r="J82" s="44" t="s">
        <v>27</v>
      </c>
      <c r="K82" s="45" t="s">
        <v>28</v>
      </c>
      <c r="L82" s="44" t="s">
        <v>27</v>
      </c>
      <c r="M82" s="45" t="s">
        <v>28</v>
      </c>
      <c r="N82" s="44" t="s">
        <v>27</v>
      </c>
      <c r="O82" s="45" t="s">
        <v>28</v>
      </c>
      <c r="P82" s="44" t="s">
        <v>27</v>
      </c>
      <c r="Q82" s="45" t="s">
        <v>28</v>
      </c>
      <c r="R82" s="44" t="s">
        <v>27</v>
      </c>
      <c r="S82" s="45" t="s">
        <v>28</v>
      </c>
      <c r="T82" s="44" t="s">
        <v>27</v>
      </c>
      <c r="U82" s="45" t="s">
        <v>28</v>
      </c>
      <c r="V82" s="44" t="s">
        <v>27</v>
      </c>
      <c r="W82" s="45" t="s">
        <v>28</v>
      </c>
      <c r="X82" s="44" t="s">
        <v>27</v>
      </c>
      <c r="Y82" s="45" t="s">
        <v>28</v>
      </c>
      <c r="Z82" s="46"/>
      <c r="AA82" s="46"/>
      <c r="AB82" s="121" t="s">
        <v>29</v>
      </c>
      <c r="AC82" s="122" t="s">
        <v>30</v>
      </c>
      <c r="AD82" s="123" t="s">
        <v>31</v>
      </c>
      <c r="AE82" s="121" t="s">
        <v>27</v>
      </c>
      <c r="AF82" s="123" t="s">
        <v>28</v>
      </c>
      <c r="AG82" s="1"/>
    </row>
    <row r="83" ht="21.0" customHeight="1">
      <c r="A83" s="1"/>
      <c r="B83" s="48" t="s">
        <v>32</v>
      </c>
      <c r="C83" s="49"/>
      <c r="D83" s="50"/>
      <c r="E83" s="51" t="s">
        <v>33</v>
      </c>
      <c r="F83" s="52" t="s">
        <v>34</v>
      </c>
      <c r="G83" s="53"/>
      <c r="H83" s="54" t="s">
        <v>35</v>
      </c>
      <c r="I83" s="55"/>
      <c r="J83" s="56">
        <v>12.0</v>
      </c>
      <c r="K83" s="57">
        <v>15.0</v>
      </c>
      <c r="L83" s="56">
        <v>12.0</v>
      </c>
      <c r="M83" s="57">
        <v>15.0</v>
      </c>
      <c r="N83" s="56">
        <v>15.0</v>
      </c>
      <c r="O83" s="57">
        <v>15.0</v>
      </c>
      <c r="P83" s="58"/>
      <c r="Q83" s="59"/>
      <c r="R83" s="58"/>
      <c r="S83" s="59"/>
      <c r="T83" s="58"/>
      <c r="U83" s="59"/>
      <c r="V83" s="58"/>
      <c r="W83" s="59"/>
      <c r="X83" s="58"/>
      <c r="Y83" s="59"/>
      <c r="Z83" s="60" t="b">
        <v>0</v>
      </c>
      <c r="AA83" s="125">
        <f t="shared" ref="AA83:AA91" si="31">(J83*K83+L83*M83+N83*O83+P83*Q83+R83*S83+T83*U83+V83*W83+X83*Y83)*if(Z83=true,0.453592,1)</f>
        <v>585</v>
      </c>
      <c r="AB83" s="126">
        <f t="shared" ref="AB83:AB91" si="32">SUM(AE83*AF83*0.025,AE83)</f>
        <v>20.625</v>
      </c>
      <c r="AC83" s="127">
        <f t="shared" ref="AC83:AC91" si="33">AB83*87%</f>
        <v>17.94375</v>
      </c>
      <c r="AD83" s="128">
        <f t="shared" ref="AD83:AD91" si="34">AB83*67%</f>
        <v>13.81875</v>
      </c>
      <c r="AE83" s="126">
        <f t="shared" ref="AE83:AE91" si="35">MAX(J83,L83,N83,P83,R83,T83,V83,X83)*if(Z83=true,0.453592,1)</f>
        <v>15</v>
      </c>
      <c r="AF83" s="128">
        <f t="shared" ref="AF83:AF91" si="36">MAX(IF(J83*if(Z83=true,0.453592,1)=$AE83,K83,0),IF(L83*if(Z83=true,0.453592,1)=$AE83,M83,0),IF(N83*if(Z83=true,0.453592,1)=$AE83,O83,0),IF(P83*if(Z83=true,0.453592,1)=$AE83,Q83,0),IF(R83*if(Z83=true,0.453592,1)=$AE83,S83,0),IF(T83*if(Z83=true,0.453592,1)=$AE83,U83,0),IF(V83*if(Z83=true,0.453592,1)=$AE83,W83,0),IF(X83*if(Z83=true,0.453592,1)=$AE83,Y83,0))</f>
        <v>15</v>
      </c>
      <c r="AG83" s="1"/>
    </row>
    <row r="84" ht="21.0" customHeight="1">
      <c r="A84" s="1"/>
      <c r="B84" s="48" t="s">
        <v>36</v>
      </c>
      <c r="C84" s="49"/>
      <c r="D84" s="65"/>
      <c r="E84" s="66"/>
      <c r="F84" s="52" t="s">
        <v>37</v>
      </c>
      <c r="G84" s="67"/>
      <c r="H84" s="68" t="s">
        <v>79</v>
      </c>
      <c r="I84" s="69"/>
      <c r="J84" s="70">
        <v>5.0</v>
      </c>
      <c r="K84" s="71">
        <v>15.0</v>
      </c>
      <c r="L84" s="70">
        <v>5.0</v>
      </c>
      <c r="M84" s="71">
        <v>15.0</v>
      </c>
      <c r="N84" s="70">
        <v>5.0</v>
      </c>
      <c r="O84" s="71">
        <v>15.0</v>
      </c>
      <c r="P84" s="116">
        <v>7.5</v>
      </c>
      <c r="Q84" s="71">
        <v>10.0</v>
      </c>
      <c r="R84" s="116">
        <v>7.5</v>
      </c>
      <c r="S84" s="71">
        <v>14.0</v>
      </c>
      <c r="T84" s="72"/>
      <c r="U84" s="73"/>
      <c r="V84" s="72"/>
      <c r="W84" s="73"/>
      <c r="X84" s="72"/>
      <c r="Y84" s="73"/>
      <c r="Z84" s="74" t="b">
        <v>0</v>
      </c>
      <c r="AA84" s="130">
        <f t="shared" si="31"/>
        <v>405</v>
      </c>
      <c r="AB84" s="131">
        <f t="shared" si="32"/>
        <v>10.125</v>
      </c>
      <c r="AC84" s="132">
        <f t="shared" si="33"/>
        <v>8.80875</v>
      </c>
      <c r="AD84" s="133">
        <f t="shared" si="34"/>
        <v>6.78375</v>
      </c>
      <c r="AE84" s="131">
        <f t="shared" si="35"/>
        <v>7.5</v>
      </c>
      <c r="AF84" s="133">
        <f t="shared" si="36"/>
        <v>14</v>
      </c>
      <c r="AG84" s="1"/>
    </row>
    <row r="85" ht="21.0" customHeight="1">
      <c r="A85" s="1"/>
      <c r="B85" s="48" t="s">
        <v>39</v>
      </c>
      <c r="C85" s="49"/>
      <c r="D85" s="65"/>
      <c r="E85" s="41"/>
      <c r="F85" s="52" t="s">
        <v>40</v>
      </c>
      <c r="G85" s="79"/>
      <c r="H85" s="115" t="s">
        <v>38</v>
      </c>
      <c r="I85" s="69"/>
      <c r="J85" s="70">
        <v>10.0</v>
      </c>
      <c r="K85" s="71">
        <v>15.0</v>
      </c>
      <c r="L85" s="116">
        <v>12.5</v>
      </c>
      <c r="M85" s="71">
        <v>12.0</v>
      </c>
      <c r="N85" s="116">
        <v>12.5</v>
      </c>
      <c r="O85" s="71">
        <v>13.0</v>
      </c>
      <c r="P85" s="116">
        <v>12.5</v>
      </c>
      <c r="Q85" s="71">
        <v>15.0</v>
      </c>
      <c r="R85" s="72"/>
      <c r="S85" s="73"/>
      <c r="T85" s="72"/>
      <c r="U85" s="73"/>
      <c r="V85" s="72"/>
      <c r="W85" s="73"/>
      <c r="X85" s="72"/>
      <c r="Y85" s="73"/>
      <c r="Z85" s="74" t="b">
        <v>0</v>
      </c>
      <c r="AA85" s="130">
        <f t="shared" si="31"/>
        <v>650</v>
      </c>
      <c r="AB85" s="131">
        <f t="shared" si="32"/>
        <v>17.1875</v>
      </c>
      <c r="AC85" s="132">
        <f t="shared" si="33"/>
        <v>14.953125</v>
      </c>
      <c r="AD85" s="133">
        <f t="shared" si="34"/>
        <v>11.515625</v>
      </c>
      <c r="AE85" s="131">
        <f t="shared" si="35"/>
        <v>12.5</v>
      </c>
      <c r="AF85" s="133">
        <f t="shared" si="36"/>
        <v>15</v>
      </c>
      <c r="AG85" s="1"/>
    </row>
    <row r="86" ht="21.0" customHeight="1">
      <c r="A86" s="1"/>
      <c r="B86" s="48" t="s">
        <v>41</v>
      </c>
      <c r="C86" s="81"/>
      <c r="D86" s="82" t="b">
        <v>0</v>
      </c>
      <c r="E86" s="51" t="s">
        <v>42</v>
      </c>
      <c r="F86" s="52" t="s">
        <v>34</v>
      </c>
      <c r="G86" s="83"/>
      <c r="H86" s="84"/>
      <c r="I86" s="85"/>
      <c r="J86" s="72"/>
      <c r="K86" s="73"/>
      <c r="L86" s="72"/>
      <c r="M86" s="73"/>
      <c r="N86" s="72"/>
      <c r="O86" s="73"/>
      <c r="P86" s="72"/>
      <c r="Q86" s="73"/>
      <c r="R86" s="72"/>
      <c r="S86" s="73"/>
      <c r="T86" s="72"/>
      <c r="U86" s="73"/>
      <c r="V86" s="72"/>
      <c r="W86" s="73"/>
      <c r="X86" s="72"/>
      <c r="Y86" s="73"/>
      <c r="Z86" s="74" t="b">
        <v>0</v>
      </c>
      <c r="AA86" s="130">
        <f t="shared" si="31"/>
        <v>0</v>
      </c>
      <c r="AB86" s="131">
        <f t="shared" si="32"/>
        <v>0</v>
      </c>
      <c r="AC86" s="132">
        <f t="shared" si="33"/>
        <v>0</v>
      </c>
      <c r="AD86" s="133">
        <f t="shared" si="34"/>
        <v>0</v>
      </c>
      <c r="AE86" s="131">
        <f t="shared" si="35"/>
        <v>0</v>
      </c>
      <c r="AF86" s="133">
        <f t="shared" si="36"/>
        <v>0</v>
      </c>
      <c r="AG86" s="1"/>
    </row>
    <row r="87" ht="21.0" customHeight="1">
      <c r="A87" s="1"/>
      <c r="B87" s="48" t="s">
        <v>43</v>
      </c>
      <c r="C87" s="49"/>
      <c r="D87" s="86" t="b">
        <v>0</v>
      </c>
      <c r="E87" s="66"/>
      <c r="F87" s="52" t="s">
        <v>37</v>
      </c>
      <c r="G87" s="67"/>
      <c r="H87" s="115" t="s">
        <v>70</v>
      </c>
      <c r="I87" s="69"/>
      <c r="J87" s="72"/>
      <c r="K87" s="71">
        <v>15.0</v>
      </c>
      <c r="L87" s="72"/>
      <c r="M87" s="71">
        <v>20.0</v>
      </c>
      <c r="N87" s="72"/>
      <c r="O87" s="71">
        <v>20.0</v>
      </c>
      <c r="P87" s="72"/>
      <c r="Q87" s="73"/>
      <c r="R87" s="72"/>
      <c r="S87" s="73"/>
      <c r="T87" s="72"/>
      <c r="U87" s="73"/>
      <c r="V87" s="72"/>
      <c r="W87" s="73"/>
      <c r="X87" s="72"/>
      <c r="Y87" s="73"/>
      <c r="Z87" s="74" t="b">
        <v>0</v>
      </c>
      <c r="AA87" s="130">
        <f t="shared" si="31"/>
        <v>0</v>
      </c>
      <c r="AB87" s="131">
        <f t="shared" si="32"/>
        <v>0</v>
      </c>
      <c r="AC87" s="132">
        <f t="shared" si="33"/>
        <v>0</v>
      </c>
      <c r="AD87" s="133">
        <f t="shared" si="34"/>
        <v>0</v>
      </c>
      <c r="AE87" s="131">
        <f t="shared" si="35"/>
        <v>0</v>
      </c>
      <c r="AF87" s="133">
        <f t="shared" si="36"/>
        <v>20</v>
      </c>
      <c r="AG87" s="1"/>
    </row>
    <row r="88" ht="21.0" customHeight="1">
      <c r="A88" s="1"/>
      <c r="B88" s="87" t="str">
        <f t="array" ref="B88">"📌최근 인바디 결과 : "&amp;text(xlookup(B80,'현황'!O:O,'현황'!O:O,,-1,-1),"m/d(ddd)")</f>
        <v>#REF!</v>
      </c>
      <c r="C88" s="88"/>
      <c r="D88" s="49"/>
      <c r="E88" s="41"/>
      <c r="F88" s="52" t="s">
        <v>40</v>
      </c>
      <c r="G88" s="79"/>
      <c r="H88" s="80"/>
      <c r="I88" s="69"/>
      <c r="J88" s="72"/>
      <c r="K88" s="73"/>
      <c r="L88" s="72"/>
      <c r="M88" s="73"/>
      <c r="N88" s="72"/>
      <c r="O88" s="73"/>
      <c r="P88" s="72"/>
      <c r="Q88" s="73"/>
      <c r="R88" s="72"/>
      <c r="S88" s="73"/>
      <c r="T88" s="72"/>
      <c r="U88" s="73"/>
      <c r="V88" s="72"/>
      <c r="W88" s="73"/>
      <c r="X88" s="72"/>
      <c r="Y88" s="73"/>
      <c r="Z88" s="74" t="b">
        <v>0</v>
      </c>
      <c r="AA88" s="130">
        <f t="shared" si="31"/>
        <v>0</v>
      </c>
      <c r="AB88" s="131">
        <f t="shared" si="32"/>
        <v>0</v>
      </c>
      <c r="AC88" s="132">
        <f t="shared" si="33"/>
        <v>0</v>
      </c>
      <c r="AD88" s="133">
        <f t="shared" si="34"/>
        <v>0</v>
      </c>
      <c r="AE88" s="131">
        <f t="shared" si="35"/>
        <v>0</v>
      </c>
      <c r="AF88" s="133">
        <f t="shared" si="36"/>
        <v>0</v>
      </c>
      <c r="AG88" s="1"/>
    </row>
    <row r="89" ht="21.0" customHeight="1">
      <c r="A89" s="1"/>
      <c r="B89" s="89" t="s">
        <v>44</v>
      </c>
      <c r="C89" s="49"/>
      <c r="D89" s="90">
        <f t="array" ref="D89">iferror(vlookup(xlookup(B80,'현황'!O:O,'현황'!O:O,,-1,-1),'현황'!O:S,2,false),0)</f>
        <v>0</v>
      </c>
      <c r="E89" s="51" t="s">
        <v>45</v>
      </c>
      <c r="F89" s="52" t="s">
        <v>34</v>
      </c>
      <c r="G89" s="83"/>
      <c r="H89" s="84"/>
      <c r="I89" s="85"/>
      <c r="J89" s="72"/>
      <c r="K89" s="73"/>
      <c r="L89" s="72"/>
      <c r="M89" s="73"/>
      <c r="N89" s="72"/>
      <c r="O89" s="73"/>
      <c r="P89" s="72"/>
      <c r="Q89" s="73"/>
      <c r="R89" s="72"/>
      <c r="S89" s="73"/>
      <c r="T89" s="72"/>
      <c r="U89" s="73"/>
      <c r="V89" s="72"/>
      <c r="W89" s="73"/>
      <c r="X89" s="72"/>
      <c r="Y89" s="73"/>
      <c r="Z89" s="74" t="b">
        <v>0</v>
      </c>
      <c r="AA89" s="130">
        <f t="shared" si="31"/>
        <v>0</v>
      </c>
      <c r="AB89" s="131">
        <f t="shared" si="32"/>
        <v>0</v>
      </c>
      <c r="AC89" s="132">
        <f t="shared" si="33"/>
        <v>0</v>
      </c>
      <c r="AD89" s="133">
        <f t="shared" si="34"/>
        <v>0</v>
      </c>
      <c r="AE89" s="131">
        <f t="shared" si="35"/>
        <v>0</v>
      </c>
      <c r="AF89" s="133">
        <f t="shared" si="36"/>
        <v>0</v>
      </c>
      <c r="AG89" s="1"/>
    </row>
    <row r="90" ht="21.0" customHeight="1">
      <c r="A90" s="1"/>
      <c r="B90" s="48" t="s">
        <v>46</v>
      </c>
      <c r="C90" s="49"/>
      <c r="D90" s="91">
        <f t="array" ref="D90">iferror(vlookup(xlookup(B80,'현황'!O:O,'현황'!O:O,,-1,-1),'현황'!O:S,3,false),0)</f>
        <v>0</v>
      </c>
      <c r="E90" s="66"/>
      <c r="F90" s="52" t="s">
        <v>37</v>
      </c>
      <c r="G90" s="67"/>
      <c r="H90" s="80"/>
      <c r="I90" s="69"/>
      <c r="J90" s="72"/>
      <c r="K90" s="73"/>
      <c r="L90" s="72"/>
      <c r="M90" s="73"/>
      <c r="N90" s="72"/>
      <c r="O90" s="73"/>
      <c r="P90" s="72"/>
      <c r="Q90" s="73"/>
      <c r="R90" s="72"/>
      <c r="S90" s="73"/>
      <c r="T90" s="72"/>
      <c r="U90" s="73"/>
      <c r="V90" s="72"/>
      <c r="W90" s="73"/>
      <c r="X90" s="72"/>
      <c r="Y90" s="73"/>
      <c r="Z90" s="74" t="b">
        <v>0</v>
      </c>
      <c r="AA90" s="130">
        <f t="shared" si="31"/>
        <v>0</v>
      </c>
      <c r="AB90" s="131">
        <f t="shared" si="32"/>
        <v>0</v>
      </c>
      <c r="AC90" s="132">
        <f t="shared" si="33"/>
        <v>0</v>
      </c>
      <c r="AD90" s="133">
        <f t="shared" si="34"/>
        <v>0</v>
      </c>
      <c r="AE90" s="131">
        <f t="shared" si="35"/>
        <v>0</v>
      </c>
      <c r="AF90" s="133">
        <f t="shared" si="36"/>
        <v>0</v>
      </c>
      <c r="AG90" s="1"/>
    </row>
    <row r="91" ht="21.0" customHeight="1">
      <c r="A91" s="1"/>
      <c r="B91" s="48" t="s">
        <v>47</v>
      </c>
      <c r="C91" s="49"/>
      <c r="D91" s="91">
        <f t="array" ref="D91">iferror(vlookup(xlookup(B80,'현황'!O:O,'현황'!O:O,,-1,-1),'현황'!O:S,4,false),0)</f>
        <v>0</v>
      </c>
      <c r="E91" s="41"/>
      <c r="F91" s="92" t="s">
        <v>40</v>
      </c>
      <c r="G91" s="79"/>
      <c r="H91" s="93"/>
      <c r="I91" s="94"/>
      <c r="J91" s="95"/>
      <c r="K91" s="96"/>
      <c r="L91" s="95"/>
      <c r="M91" s="96"/>
      <c r="N91" s="95"/>
      <c r="O91" s="96"/>
      <c r="P91" s="95"/>
      <c r="Q91" s="96"/>
      <c r="R91" s="95"/>
      <c r="S91" s="96"/>
      <c r="T91" s="95"/>
      <c r="U91" s="96"/>
      <c r="V91" s="95"/>
      <c r="W91" s="96"/>
      <c r="X91" s="95"/>
      <c r="Y91" s="96"/>
      <c r="Z91" s="97" t="b">
        <v>0</v>
      </c>
      <c r="AA91" s="135">
        <f t="shared" si="31"/>
        <v>0</v>
      </c>
      <c r="AB91" s="136">
        <f t="shared" si="32"/>
        <v>0</v>
      </c>
      <c r="AC91" s="137">
        <f t="shared" si="33"/>
        <v>0</v>
      </c>
      <c r="AD91" s="138">
        <f t="shared" si="34"/>
        <v>0</v>
      </c>
      <c r="AE91" s="136">
        <f t="shared" si="35"/>
        <v>0</v>
      </c>
      <c r="AF91" s="138">
        <f t="shared" si="36"/>
        <v>0</v>
      </c>
      <c r="AG91" s="1"/>
    </row>
    <row r="92" ht="21.0" customHeight="1">
      <c r="A92" s="1"/>
      <c r="B92" s="102" t="s">
        <v>48</v>
      </c>
      <c r="C92" s="103"/>
      <c r="D92" s="104">
        <f>iferror(D91/D89,0)</f>
        <v>0</v>
      </c>
      <c r="E92" s="102" t="s">
        <v>49</v>
      </c>
      <c r="F92" s="103"/>
      <c r="G92" s="105"/>
      <c r="H92" s="106" t="s">
        <v>50</v>
      </c>
      <c r="I92" s="107"/>
      <c r="J92" s="11"/>
      <c r="K92" s="11"/>
      <c r="L92" s="11"/>
      <c r="M92" s="11"/>
      <c r="N92" s="11"/>
      <c r="O92" s="11"/>
      <c r="P92" s="108" t="s">
        <v>51</v>
      </c>
      <c r="Q92" s="12"/>
      <c r="R92" s="109"/>
      <c r="S92" s="11"/>
      <c r="T92" s="11"/>
      <c r="U92" s="11"/>
      <c r="V92" s="11"/>
      <c r="W92" s="11"/>
      <c r="X92" s="11"/>
      <c r="Y92" s="11"/>
      <c r="Z92" s="12"/>
      <c r="AA92" s="139">
        <f>SUM(AA83:AA91)</f>
        <v>1640</v>
      </c>
      <c r="AB92" s="140" t="s">
        <v>80</v>
      </c>
      <c r="AG92" s="1"/>
    </row>
    <row r="93" ht="21.0" customHeight="1">
      <c r="A93" s="1"/>
      <c r="B93" s="1"/>
      <c r="C93" s="1"/>
      <c r="D93" s="1"/>
      <c r="E93" s="1"/>
      <c r="F93" s="1"/>
      <c r="G93" s="1"/>
      <c r="H93" s="1"/>
      <c r="I93" s="1"/>
      <c r="AA93" s="1"/>
      <c r="AB93" s="1"/>
      <c r="AC93" s="3"/>
      <c r="AD93" s="1"/>
      <c r="AE93" s="1"/>
      <c r="AF93" s="1"/>
      <c r="AG93" s="1"/>
    </row>
    <row r="94" ht="21.0" customHeight="1">
      <c r="A94" s="1"/>
      <c r="B94" s="4" t="s">
        <v>1</v>
      </c>
      <c r="C94" s="5"/>
      <c r="D94" s="6" t="s">
        <v>2</v>
      </c>
      <c r="E94" s="7"/>
      <c r="F94" s="7"/>
      <c r="G94" s="5"/>
      <c r="H94" s="8" t="s">
        <v>3</v>
      </c>
      <c r="I94" s="8" t="s">
        <v>4</v>
      </c>
      <c r="J94" s="9" t="s">
        <v>5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5"/>
      <c r="AA94" s="117" t="s">
        <v>6</v>
      </c>
      <c r="AB94" s="11"/>
      <c r="AC94" s="11"/>
      <c r="AD94" s="11"/>
      <c r="AE94" s="11"/>
      <c r="AF94" s="12"/>
      <c r="AG94" s="1"/>
    </row>
    <row r="95" ht="21.0" customHeight="1">
      <c r="A95" s="1"/>
      <c r="B95" s="13">
        <v>46052.0</v>
      </c>
      <c r="C95" s="14" t="str">
        <f>if(B95="0/0","",choose(weekday(B95),"(일)","(월)","(화)","(수)","(목)","(금)","(토)"))</f>
        <v>(금)</v>
      </c>
      <c r="D95" s="15" t="s">
        <v>7</v>
      </c>
      <c r="E95" s="16" t="s">
        <v>8</v>
      </c>
      <c r="F95" s="17"/>
      <c r="G95" s="18" t="s">
        <v>9</v>
      </c>
      <c r="H95" s="19" t="s">
        <v>10</v>
      </c>
      <c r="I95" s="20" t="s">
        <v>53</v>
      </c>
      <c r="J95" s="21" t="s">
        <v>12</v>
      </c>
      <c r="K95" s="22"/>
      <c r="L95" s="21" t="s">
        <v>13</v>
      </c>
      <c r="M95" s="22"/>
      <c r="N95" s="21" t="s">
        <v>14</v>
      </c>
      <c r="O95" s="22"/>
      <c r="P95" s="21" t="s">
        <v>15</v>
      </c>
      <c r="Q95" s="22"/>
      <c r="R95" s="23" t="s">
        <v>16</v>
      </c>
      <c r="S95" s="22"/>
      <c r="T95" s="23" t="s">
        <v>17</v>
      </c>
      <c r="U95" s="22"/>
      <c r="V95" s="23" t="s">
        <v>18</v>
      </c>
      <c r="W95" s="22"/>
      <c r="X95" s="23" t="s">
        <v>19</v>
      </c>
      <c r="Y95" s="22"/>
      <c r="Z95" s="24" t="s">
        <v>81</v>
      </c>
      <c r="AA95" s="118" t="s">
        <v>21</v>
      </c>
      <c r="AB95" s="119" t="s">
        <v>22</v>
      </c>
      <c r="AC95" s="7"/>
      <c r="AD95" s="22"/>
      <c r="AE95" s="120" t="s">
        <v>23</v>
      </c>
      <c r="AF95" s="22"/>
      <c r="AG95" s="1"/>
    </row>
    <row r="96" ht="21.0" customHeight="1">
      <c r="A96" s="1"/>
      <c r="B96" s="27">
        <f>iferror(B95-'현황'!$C$4+1,0)</f>
        <v>0</v>
      </c>
      <c r="C96" s="28"/>
      <c r="D96" s="29">
        <v>0.0</v>
      </c>
      <c r="E96" s="30">
        <v>0.0</v>
      </c>
      <c r="F96" s="31"/>
      <c r="G96" s="32">
        <v>0.0</v>
      </c>
      <c r="H96" s="33">
        <v>0.0</v>
      </c>
      <c r="I96" s="34"/>
      <c r="J96" s="35"/>
      <c r="K96" s="36"/>
      <c r="L96" s="35"/>
      <c r="M96" s="36"/>
      <c r="N96" s="35"/>
      <c r="O96" s="36"/>
      <c r="P96" s="35"/>
      <c r="Q96" s="36"/>
      <c r="R96" s="35"/>
      <c r="S96" s="36"/>
      <c r="T96" s="35"/>
      <c r="U96" s="36"/>
      <c r="V96" s="35"/>
      <c r="W96" s="36"/>
      <c r="X96" s="35"/>
      <c r="Y96" s="36"/>
      <c r="Z96" s="37"/>
      <c r="AA96" s="37"/>
      <c r="AB96" s="35"/>
      <c r="AC96" s="38"/>
      <c r="AD96" s="36"/>
      <c r="AE96" s="35"/>
      <c r="AF96" s="36"/>
      <c r="AG96" s="1"/>
    </row>
    <row r="97" ht="21.0" customHeight="1">
      <c r="A97" s="1"/>
      <c r="B97" s="39" t="s">
        <v>24</v>
      </c>
      <c r="C97" s="40"/>
      <c r="D97" s="41"/>
      <c r="E97" s="42" t="s">
        <v>25</v>
      </c>
      <c r="F97" s="40"/>
      <c r="G97" s="41"/>
      <c r="H97" s="43" t="s">
        <v>26</v>
      </c>
      <c r="J97" s="44" t="s">
        <v>27</v>
      </c>
      <c r="K97" s="45" t="s">
        <v>28</v>
      </c>
      <c r="L97" s="44" t="s">
        <v>27</v>
      </c>
      <c r="M97" s="45" t="s">
        <v>28</v>
      </c>
      <c r="N97" s="44" t="s">
        <v>27</v>
      </c>
      <c r="O97" s="45" t="s">
        <v>28</v>
      </c>
      <c r="P97" s="44" t="s">
        <v>27</v>
      </c>
      <c r="Q97" s="45" t="s">
        <v>28</v>
      </c>
      <c r="R97" s="44" t="s">
        <v>27</v>
      </c>
      <c r="S97" s="45" t="s">
        <v>28</v>
      </c>
      <c r="T97" s="44" t="s">
        <v>27</v>
      </c>
      <c r="U97" s="45" t="s">
        <v>28</v>
      </c>
      <c r="V97" s="44" t="s">
        <v>27</v>
      </c>
      <c r="W97" s="45" t="s">
        <v>28</v>
      </c>
      <c r="X97" s="44" t="s">
        <v>27</v>
      </c>
      <c r="Y97" s="45" t="s">
        <v>28</v>
      </c>
      <c r="Z97" s="46"/>
      <c r="AA97" s="46"/>
      <c r="AB97" s="121" t="s">
        <v>29</v>
      </c>
      <c r="AC97" s="122" t="s">
        <v>30</v>
      </c>
      <c r="AD97" s="123" t="s">
        <v>31</v>
      </c>
      <c r="AE97" s="121" t="s">
        <v>27</v>
      </c>
      <c r="AF97" s="123" t="s">
        <v>28</v>
      </c>
      <c r="AG97" s="1"/>
    </row>
    <row r="98" ht="21.0" customHeight="1">
      <c r="A98" s="1"/>
      <c r="B98" s="48" t="s">
        <v>32</v>
      </c>
      <c r="C98" s="49"/>
      <c r="D98" s="50"/>
      <c r="E98" s="51" t="s">
        <v>33</v>
      </c>
      <c r="F98" s="52" t="s">
        <v>34</v>
      </c>
      <c r="G98" s="53"/>
      <c r="H98" s="54" t="s">
        <v>55</v>
      </c>
      <c r="I98" s="55"/>
      <c r="J98" s="56">
        <v>5.0</v>
      </c>
      <c r="K98" s="57">
        <v>12.0</v>
      </c>
      <c r="L98" s="56">
        <v>5.0</v>
      </c>
      <c r="M98" s="57">
        <v>12.0</v>
      </c>
      <c r="N98" s="56">
        <v>5.0</v>
      </c>
      <c r="O98" s="57">
        <v>12.0</v>
      </c>
      <c r="P98" s="56">
        <v>5.0</v>
      </c>
      <c r="Q98" s="57">
        <v>12.0</v>
      </c>
      <c r="R98" s="58"/>
      <c r="S98" s="59"/>
      <c r="T98" s="58"/>
      <c r="U98" s="59"/>
      <c r="V98" s="58"/>
      <c r="W98" s="59"/>
      <c r="X98" s="58"/>
      <c r="Y98" s="59"/>
      <c r="Z98" s="141" t="b">
        <v>0</v>
      </c>
      <c r="AA98" s="125">
        <f t="shared" ref="AA98:AA106" si="37">(J98*K98+L98*M98+N98*O98+P98*Q98+R98*S98+T98*U98+V98*W98+X98*Y98)*if(Z98=true,0.453592,1)</f>
        <v>240</v>
      </c>
      <c r="AB98" s="126">
        <f t="shared" ref="AB98:AB106" si="38">SUM(AE98*AF98*0.025,AE98)</f>
        <v>6.5</v>
      </c>
      <c r="AC98" s="127">
        <f t="shared" ref="AC98:AC106" si="39">AB98*87%</f>
        <v>5.655</v>
      </c>
      <c r="AD98" s="128">
        <f t="shared" ref="AD98:AD106" si="40">AB98*67%</f>
        <v>4.355</v>
      </c>
      <c r="AE98" s="126">
        <f t="shared" ref="AE98:AE106" si="41">MAX(J98,L98,N98,P98,R98,T98,V98,X98)*if(Z98=true,0.453592,1)</f>
        <v>5</v>
      </c>
      <c r="AF98" s="128">
        <f t="shared" ref="AF98:AF106" si="42">MAX(IF(J98*if(Z98=true,0.453592,1)=$AE98,K98,0),IF(L98*if(Z98=true,0.453592,1)=$AE98,M98,0),IF(N98*if(Z98=true,0.453592,1)=$AE98,O98,0),IF(P98*if(Z98=true,0.453592,1)=$AE98,Q98,0),IF(R98*if(Z98=true,0.453592,1)=$AE98,S98,0),IF(T98*if(Z98=true,0.453592,1)=$AE98,U98,0),IF(V98*if(Z98=true,0.453592,1)=$AE98,W98,0),IF(X98*if(Z98=true,0.453592,1)=$AE98,Y98,0))</f>
        <v>12</v>
      </c>
      <c r="AG98" s="1"/>
    </row>
    <row r="99" ht="21.0" customHeight="1">
      <c r="A99" s="1"/>
      <c r="B99" s="48" t="s">
        <v>36</v>
      </c>
      <c r="C99" s="49"/>
      <c r="D99" s="65"/>
      <c r="E99" s="66"/>
      <c r="F99" s="52" t="s">
        <v>37</v>
      </c>
      <c r="G99" s="67"/>
      <c r="H99" s="68" t="s">
        <v>82</v>
      </c>
      <c r="I99" s="69"/>
      <c r="J99" s="70">
        <v>2.0</v>
      </c>
      <c r="K99" s="71">
        <v>13.0</v>
      </c>
      <c r="L99" s="70">
        <v>2.0</v>
      </c>
      <c r="M99" s="71">
        <v>10.0</v>
      </c>
      <c r="N99" s="70">
        <v>2.0</v>
      </c>
      <c r="O99" s="71">
        <v>7.0</v>
      </c>
      <c r="P99" s="70">
        <v>2.0</v>
      </c>
      <c r="Q99" s="71">
        <v>10.0</v>
      </c>
      <c r="R99" s="72"/>
      <c r="S99" s="73"/>
      <c r="T99" s="72"/>
      <c r="U99" s="73"/>
      <c r="V99" s="72"/>
      <c r="W99" s="73"/>
      <c r="X99" s="72"/>
      <c r="Y99" s="73"/>
      <c r="Z99" s="74" t="b">
        <v>0</v>
      </c>
      <c r="AA99" s="130">
        <f t="shared" si="37"/>
        <v>80</v>
      </c>
      <c r="AB99" s="131">
        <f t="shared" si="38"/>
        <v>2.65</v>
      </c>
      <c r="AC99" s="132">
        <f t="shared" si="39"/>
        <v>2.3055</v>
      </c>
      <c r="AD99" s="133">
        <f t="shared" si="40"/>
        <v>1.7755</v>
      </c>
      <c r="AE99" s="131">
        <f t="shared" si="41"/>
        <v>2</v>
      </c>
      <c r="AF99" s="133">
        <f t="shared" si="42"/>
        <v>13</v>
      </c>
      <c r="AG99" s="1"/>
    </row>
    <row r="100" ht="21.0" customHeight="1">
      <c r="A100" s="1"/>
      <c r="B100" s="48" t="s">
        <v>39</v>
      </c>
      <c r="C100" s="49"/>
      <c r="D100" s="65"/>
      <c r="E100" s="41"/>
      <c r="F100" s="52" t="s">
        <v>40</v>
      </c>
      <c r="G100" s="79"/>
      <c r="H100" s="115" t="s">
        <v>83</v>
      </c>
      <c r="I100" s="69"/>
      <c r="J100" s="70">
        <v>5.0</v>
      </c>
      <c r="K100" s="71">
        <v>15.0</v>
      </c>
      <c r="L100" s="70">
        <v>5.0</v>
      </c>
      <c r="M100" s="71">
        <v>15.0</v>
      </c>
      <c r="N100" s="70">
        <v>5.0</v>
      </c>
      <c r="O100" s="71">
        <v>15.0</v>
      </c>
      <c r="P100" s="70">
        <v>5.0</v>
      </c>
      <c r="Q100" s="71">
        <v>15.0</v>
      </c>
      <c r="R100" s="72"/>
      <c r="S100" s="73"/>
      <c r="T100" s="72"/>
      <c r="U100" s="73"/>
      <c r="V100" s="72"/>
      <c r="W100" s="73"/>
      <c r="X100" s="72"/>
      <c r="Y100" s="73"/>
      <c r="Z100" s="74" t="b">
        <v>0</v>
      </c>
      <c r="AA100" s="130">
        <f t="shared" si="37"/>
        <v>300</v>
      </c>
      <c r="AB100" s="131">
        <f t="shared" si="38"/>
        <v>6.875</v>
      </c>
      <c r="AC100" s="132">
        <f t="shared" si="39"/>
        <v>5.98125</v>
      </c>
      <c r="AD100" s="133">
        <f t="shared" si="40"/>
        <v>4.60625</v>
      </c>
      <c r="AE100" s="131">
        <f t="shared" si="41"/>
        <v>5</v>
      </c>
      <c r="AF100" s="133">
        <f t="shared" si="42"/>
        <v>15</v>
      </c>
      <c r="AG100" s="1"/>
    </row>
    <row r="101" ht="21.0" customHeight="1">
      <c r="A101" s="1"/>
      <c r="B101" s="48" t="s">
        <v>41</v>
      </c>
      <c r="C101" s="81"/>
      <c r="D101" s="82" t="b">
        <v>0</v>
      </c>
      <c r="E101" s="51" t="s">
        <v>42</v>
      </c>
      <c r="F101" s="52" t="s">
        <v>34</v>
      </c>
      <c r="G101" s="83"/>
      <c r="H101" s="84"/>
      <c r="I101" s="85"/>
      <c r="J101" s="72"/>
      <c r="K101" s="73"/>
      <c r="L101" s="72"/>
      <c r="M101" s="73"/>
      <c r="N101" s="72"/>
      <c r="O101" s="73"/>
      <c r="P101" s="72"/>
      <c r="Q101" s="73"/>
      <c r="R101" s="72"/>
      <c r="S101" s="73"/>
      <c r="T101" s="72"/>
      <c r="U101" s="73"/>
      <c r="V101" s="72"/>
      <c r="W101" s="73"/>
      <c r="X101" s="72"/>
      <c r="Y101" s="73"/>
      <c r="Z101" s="74" t="b">
        <v>0</v>
      </c>
      <c r="AA101" s="130">
        <f t="shared" si="37"/>
        <v>0</v>
      </c>
      <c r="AB101" s="131">
        <f t="shared" si="38"/>
        <v>0</v>
      </c>
      <c r="AC101" s="132">
        <f t="shared" si="39"/>
        <v>0</v>
      </c>
      <c r="AD101" s="133">
        <f t="shared" si="40"/>
        <v>0</v>
      </c>
      <c r="AE101" s="131">
        <f t="shared" si="41"/>
        <v>0</v>
      </c>
      <c r="AF101" s="133">
        <f t="shared" si="42"/>
        <v>0</v>
      </c>
      <c r="AG101" s="1"/>
    </row>
    <row r="102" ht="21.0" customHeight="1">
      <c r="A102" s="1"/>
      <c r="B102" s="48" t="s">
        <v>43</v>
      </c>
      <c r="C102" s="49"/>
      <c r="D102" s="86" t="b">
        <v>0</v>
      </c>
      <c r="E102" s="66"/>
      <c r="F102" s="52" t="s">
        <v>37</v>
      </c>
      <c r="G102" s="67"/>
      <c r="H102" s="115" t="s">
        <v>70</v>
      </c>
      <c r="I102" s="69"/>
      <c r="J102" s="72"/>
      <c r="K102" s="71">
        <v>20.0</v>
      </c>
      <c r="L102" s="72"/>
      <c r="M102" s="71">
        <v>20.0</v>
      </c>
      <c r="N102" s="72"/>
      <c r="O102" s="71">
        <v>25.0</v>
      </c>
      <c r="P102" s="72"/>
      <c r="Q102" s="73"/>
      <c r="R102" s="72"/>
      <c r="S102" s="73"/>
      <c r="T102" s="72"/>
      <c r="U102" s="73"/>
      <c r="V102" s="72"/>
      <c r="W102" s="73"/>
      <c r="X102" s="72"/>
      <c r="Y102" s="73"/>
      <c r="Z102" s="74" t="b">
        <v>0</v>
      </c>
      <c r="AA102" s="130">
        <f t="shared" si="37"/>
        <v>0</v>
      </c>
      <c r="AB102" s="131">
        <f t="shared" si="38"/>
        <v>0</v>
      </c>
      <c r="AC102" s="132">
        <f t="shared" si="39"/>
        <v>0</v>
      </c>
      <c r="AD102" s="133">
        <f t="shared" si="40"/>
        <v>0</v>
      </c>
      <c r="AE102" s="131">
        <f t="shared" si="41"/>
        <v>0</v>
      </c>
      <c r="AF102" s="133">
        <f t="shared" si="42"/>
        <v>25</v>
      </c>
      <c r="AG102" s="1"/>
    </row>
    <row r="103" ht="21.0" customHeight="1">
      <c r="A103" s="1"/>
      <c r="B103" s="87" t="str">
        <f t="array" ref="B103">"📌최근 인바디 결과 : "&amp;text(xlookup(B95,'현황'!O:O,'현황'!O:O,,-1,-1),"m/d(ddd)")</f>
        <v>#REF!</v>
      </c>
      <c r="C103" s="88"/>
      <c r="D103" s="49"/>
      <c r="E103" s="41"/>
      <c r="F103" s="52" t="s">
        <v>40</v>
      </c>
      <c r="G103" s="79"/>
      <c r="H103" s="80"/>
      <c r="I103" s="69"/>
      <c r="J103" s="72"/>
      <c r="K103" s="73"/>
      <c r="L103" s="72"/>
      <c r="M103" s="73"/>
      <c r="N103" s="72"/>
      <c r="O103" s="73"/>
      <c r="P103" s="72"/>
      <c r="Q103" s="73"/>
      <c r="R103" s="72"/>
      <c r="S103" s="73"/>
      <c r="T103" s="72"/>
      <c r="U103" s="73"/>
      <c r="V103" s="72"/>
      <c r="W103" s="73"/>
      <c r="X103" s="72"/>
      <c r="Y103" s="73"/>
      <c r="Z103" s="74" t="b">
        <v>0</v>
      </c>
      <c r="AA103" s="130">
        <f t="shared" si="37"/>
        <v>0</v>
      </c>
      <c r="AB103" s="131">
        <f t="shared" si="38"/>
        <v>0</v>
      </c>
      <c r="AC103" s="132">
        <f t="shared" si="39"/>
        <v>0</v>
      </c>
      <c r="AD103" s="133">
        <f t="shared" si="40"/>
        <v>0</v>
      </c>
      <c r="AE103" s="131">
        <f t="shared" si="41"/>
        <v>0</v>
      </c>
      <c r="AF103" s="133">
        <f t="shared" si="42"/>
        <v>0</v>
      </c>
      <c r="AG103" s="1"/>
    </row>
    <row r="104" ht="21.0" customHeight="1">
      <c r="A104" s="1"/>
      <c r="B104" s="89" t="s">
        <v>44</v>
      </c>
      <c r="C104" s="49"/>
      <c r="D104" s="90">
        <f t="array" ref="D104">iferror(vlookup(xlookup(B95,'현황'!O:O,'현황'!O:O,,-1,-1),'현황'!O:S,2,false),0)</f>
        <v>0</v>
      </c>
      <c r="E104" s="51" t="s">
        <v>45</v>
      </c>
      <c r="F104" s="52" t="s">
        <v>34</v>
      </c>
      <c r="G104" s="83"/>
      <c r="H104" s="84"/>
      <c r="I104" s="85"/>
      <c r="J104" s="72"/>
      <c r="K104" s="73"/>
      <c r="L104" s="72"/>
      <c r="M104" s="73"/>
      <c r="N104" s="72"/>
      <c r="O104" s="73"/>
      <c r="P104" s="72"/>
      <c r="Q104" s="73"/>
      <c r="R104" s="72"/>
      <c r="S104" s="73"/>
      <c r="T104" s="72"/>
      <c r="U104" s="73"/>
      <c r="V104" s="72"/>
      <c r="W104" s="73"/>
      <c r="X104" s="72"/>
      <c r="Y104" s="73"/>
      <c r="Z104" s="74" t="b">
        <v>0</v>
      </c>
      <c r="AA104" s="130">
        <f t="shared" si="37"/>
        <v>0</v>
      </c>
      <c r="AB104" s="131">
        <f t="shared" si="38"/>
        <v>0</v>
      </c>
      <c r="AC104" s="132">
        <f t="shared" si="39"/>
        <v>0</v>
      </c>
      <c r="AD104" s="133">
        <f t="shared" si="40"/>
        <v>0</v>
      </c>
      <c r="AE104" s="131">
        <f t="shared" si="41"/>
        <v>0</v>
      </c>
      <c r="AF104" s="133">
        <f t="shared" si="42"/>
        <v>0</v>
      </c>
      <c r="AG104" s="1"/>
    </row>
    <row r="105" ht="21.0" customHeight="1">
      <c r="A105" s="1"/>
      <c r="B105" s="48" t="s">
        <v>46</v>
      </c>
      <c r="C105" s="49"/>
      <c r="D105" s="91">
        <f t="array" ref="D105">iferror(vlookup(xlookup(B95,'현황'!O:O,'현황'!O:O,,-1,-1),'현황'!O:S,3,false),0)</f>
        <v>0</v>
      </c>
      <c r="E105" s="66"/>
      <c r="F105" s="52" t="s">
        <v>37</v>
      </c>
      <c r="G105" s="67"/>
      <c r="H105" s="80"/>
      <c r="I105" s="69"/>
      <c r="J105" s="72"/>
      <c r="K105" s="73"/>
      <c r="L105" s="72"/>
      <c r="M105" s="73"/>
      <c r="N105" s="72"/>
      <c r="O105" s="73"/>
      <c r="P105" s="72"/>
      <c r="Q105" s="73"/>
      <c r="R105" s="72"/>
      <c r="S105" s="73"/>
      <c r="T105" s="72"/>
      <c r="U105" s="73"/>
      <c r="V105" s="72"/>
      <c r="W105" s="73"/>
      <c r="X105" s="72"/>
      <c r="Y105" s="73"/>
      <c r="Z105" s="74" t="b">
        <v>0</v>
      </c>
      <c r="AA105" s="130">
        <f t="shared" si="37"/>
        <v>0</v>
      </c>
      <c r="AB105" s="131">
        <f t="shared" si="38"/>
        <v>0</v>
      </c>
      <c r="AC105" s="132">
        <f t="shared" si="39"/>
        <v>0</v>
      </c>
      <c r="AD105" s="133">
        <f t="shared" si="40"/>
        <v>0</v>
      </c>
      <c r="AE105" s="131">
        <f t="shared" si="41"/>
        <v>0</v>
      </c>
      <c r="AF105" s="133">
        <f t="shared" si="42"/>
        <v>0</v>
      </c>
      <c r="AG105" s="1"/>
    </row>
    <row r="106" ht="21.0" customHeight="1">
      <c r="A106" s="1"/>
      <c r="B106" s="48" t="s">
        <v>47</v>
      </c>
      <c r="C106" s="49"/>
      <c r="D106" s="91">
        <f t="array" ref="D106">iferror(vlookup(xlookup(B95,'현황'!O:O,'현황'!O:O,,-1,-1),'현황'!O:S,4,false),0)</f>
        <v>0</v>
      </c>
      <c r="E106" s="41"/>
      <c r="F106" s="92" t="s">
        <v>40</v>
      </c>
      <c r="G106" s="79"/>
      <c r="H106" s="93"/>
      <c r="I106" s="94"/>
      <c r="J106" s="95"/>
      <c r="K106" s="96"/>
      <c r="L106" s="95"/>
      <c r="M106" s="96"/>
      <c r="N106" s="95"/>
      <c r="O106" s="96"/>
      <c r="P106" s="95"/>
      <c r="Q106" s="96"/>
      <c r="R106" s="95"/>
      <c r="S106" s="96"/>
      <c r="T106" s="95"/>
      <c r="U106" s="96"/>
      <c r="V106" s="95"/>
      <c r="W106" s="96"/>
      <c r="X106" s="95"/>
      <c r="Y106" s="96"/>
      <c r="Z106" s="97" t="b">
        <v>0</v>
      </c>
      <c r="AA106" s="135">
        <f t="shared" si="37"/>
        <v>0</v>
      </c>
      <c r="AB106" s="136">
        <f t="shared" si="38"/>
        <v>0</v>
      </c>
      <c r="AC106" s="137">
        <f t="shared" si="39"/>
        <v>0</v>
      </c>
      <c r="AD106" s="138">
        <f t="shared" si="40"/>
        <v>0</v>
      </c>
      <c r="AE106" s="136">
        <f t="shared" si="41"/>
        <v>0</v>
      </c>
      <c r="AF106" s="138">
        <f t="shared" si="42"/>
        <v>0</v>
      </c>
      <c r="AG106" s="1"/>
    </row>
    <row r="107" ht="21.0" customHeight="1">
      <c r="A107" s="1"/>
      <c r="B107" s="102" t="s">
        <v>48</v>
      </c>
      <c r="C107" s="103"/>
      <c r="D107" s="104">
        <f>iferror(D106/D104,0)</f>
        <v>0</v>
      </c>
      <c r="E107" s="102" t="s">
        <v>49</v>
      </c>
      <c r="F107" s="103"/>
      <c r="G107" s="105"/>
      <c r="H107" s="106" t="s">
        <v>50</v>
      </c>
      <c r="I107" s="107"/>
      <c r="J107" s="11"/>
      <c r="K107" s="11"/>
      <c r="L107" s="11"/>
      <c r="M107" s="11"/>
      <c r="N107" s="11"/>
      <c r="O107" s="11"/>
      <c r="P107" s="108" t="s">
        <v>51</v>
      </c>
      <c r="Q107" s="12"/>
      <c r="R107" s="109"/>
      <c r="S107" s="11"/>
      <c r="T107" s="11"/>
      <c r="U107" s="11"/>
      <c r="V107" s="11"/>
      <c r="W107" s="11"/>
      <c r="X107" s="11"/>
      <c r="Y107" s="11"/>
      <c r="Z107" s="12"/>
      <c r="AA107" s="139">
        <f>SUM(AA98:AA106)</f>
        <v>620</v>
      </c>
      <c r="AB107" s="140" t="s">
        <v>84</v>
      </c>
      <c r="AG107" s="1"/>
    </row>
    <row r="108" ht="21.0" customHeight="1">
      <c r="A108" s="1"/>
      <c r="B108" s="1"/>
      <c r="C108" s="1"/>
      <c r="D108" s="1"/>
      <c r="E108" s="1"/>
      <c r="F108" s="1"/>
      <c r="G108" s="1"/>
      <c r="H108" s="1"/>
      <c r="I108" s="1"/>
      <c r="AA108" s="1"/>
      <c r="AB108" s="1"/>
      <c r="AC108" s="3"/>
      <c r="AD108" s="1"/>
      <c r="AE108" s="1"/>
      <c r="AF108" s="1"/>
      <c r="AG108" s="1"/>
    </row>
    <row r="109" ht="21.0" customHeight="1">
      <c r="A109" s="1"/>
      <c r="B109" s="4" t="s">
        <v>1</v>
      </c>
      <c r="C109" s="5"/>
      <c r="D109" s="6" t="s">
        <v>2</v>
      </c>
      <c r="E109" s="7"/>
      <c r="F109" s="7"/>
      <c r="G109" s="5"/>
      <c r="H109" s="8" t="s">
        <v>3</v>
      </c>
      <c r="I109" s="8" t="s">
        <v>4</v>
      </c>
      <c r="J109" s="9" t="s">
        <v>5</v>
      </c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5"/>
      <c r="AA109" s="117" t="s">
        <v>6</v>
      </c>
      <c r="AB109" s="11"/>
      <c r="AC109" s="11"/>
      <c r="AD109" s="11"/>
      <c r="AE109" s="11"/>
      <c r="AF109" s="12"/>
      <c r="AG109" s="1"/>
    </row>
    <row r="110" ht="21.0" customHeight="1">
      <c r="A110" s="1"/>
      <c r="B110" s="13">
        <v>46058.0</v>
      </c>
      <c r="C110" s="14" t="str">
        <f>if(B110="0/0","",choose(weekday(B110),"(일)","(월)","(화)","(수)","(목)","(금)","(토)"))</f>
        <v>(목)</v>
      </c>
      <c r="D110" s="15" t="s">
        <v>7</v>
      </c>
      <c r="E110" s="16" t="s">
        <v>8</v>
      </c>
      <c r="F110" s="17"/>
      <c r="G110" s="18" t="s">
        <v>9</v>
      </c>
      <c r="H110" s="19" t="s">
        <v>10</v>
      </c>
      <c r="I110" s="20" t="s">
        <v>59</v>
      </c>
      <c r="J110" s="21" t="s">
        <v>12</v>
      </c>
      <c r="K110" s="22"/>
      <c r="L110" s="21" t="s">
        <v>13</v>
      </c>
      <c r="M110" s="22"/>
      <c r="N110" s="21" t="s">
        <v>14</v>
      </c>
      <c r="O110" s="22"/>
      <c r="P110" s="21" t="s">
        <v>15</v>
      </c>
      <c r="Q110" s="22"/>
      <c r="R110" s="23" t="s">
        <v>16</v>
      </c>
      <c r="S110" s="22"/>
      <c r="T110" s="23" t="s">
        <v>17</v>
      </c>
      <c r="U110" s="22"/>
      <c r="V110" s="23" t="s">
        <v>18</v>
      </c>
      <c r="W110" s="22"/>
      <c r="X110" s="23" t="s">
        <v>19</v>
      </c>
      <c r="Y110" s="22"/>
      <c r="Z110" s="24" t="s">
        <v>85</v>
      </c>
      <c r="AA110" s="118" t="s">
        <v>21</v>
      </c>
      <c r="AB110" s="119" t="s">
        <v>22</v>
      </c>
      <c r="AC110" s="7"/>
      <c r="AD110" s="22"/>
      <c r="AE110" s="120" t="s">
        <v>23</v>
      </c>
      <c r="AF110" s="22"/>
      <c r="AG110" s="1"/>
    </row>
    <row r="111" ht="21.0" customHeight="1">
      <c r="A111" s="1"/>
      <c r="B111" s="27">
        <f>iferror(B110-'현황'!$C$4+1,0)</f>
        <v>0</v>
      </c>
      <c r="C111" s="28"/>
      <c r="D111" s="29">
        <v>0.0</v>
      </c>
      <c r="E111" s="30">
        <v>0.0</v>
      </c>
      <c r="F111" s="31"/>
      <c r="G111" s="32">
        <v>0.0</v>
      </c>
      <c r="H111" s="33">
        <v>0.0</v>
      </c>
      <c r="I111" s="34"/>
      <c r="J111" s="35"/>
      <c r="K111" s="36"/>
      <c r="L111" s="35"/>
      <c r="M111" s="36"/>
      <c r="N111" s="35"/>
      <c r="O111" s="36"/>
      <c r="P111" s="35"/>
      <c r="Q111" s="36"/>
      <c r="R111" s="35"/>
      <c r="S111" s="36"/>
      <c r="T111" s="35"/>
      <c r="U111" s="36"/>
      <c r="V111" s="35"/>
      <c r="W111" s="36"/>
      <c r="X111" s="35"/>
      <c r="Y111" s="36"/>
      <c r="Z111" s="37"/>
      <c r="AA111" s="37"/>
      <c r="AB111" s="35"/>
      <c r="AC111" s="38"/>
      <c r="AD111" s="36"/>
      <c r="AE111" s="35"/>
      <c r="AF111" s="36"/>
      <c r="AG111" s="1"/>
    </row>
    <row r="112" ht="21.0" customHeight="1">
      <c r="A112" s="1"/>
      <c r="B112" s="39" t="s">
        <v>24</v>
      </c>
      <c r="C112" s="40"/>
      <c r="D112" s="41"/>
      <c r="E112" s="42" t="s">
        <v>25</v>
      </c>
      <c r="F112" s="40"/>
      <c r="G112" s="41"/>
      <c r="H112" s="43" t="s">
        <v>26</v>
      </c>
      <c r="J112" s="44" t="s">
        <v>27</v>
      </c>
      <c r="K112" s="45" t="s">
        <v>28</v>
      </c>
      <c r="L112" s="44" t="s">
        <v>27</v>
      </c>
      <c r="M112" s="45" t="s">
        <v>28</v>
      </c>
      <c r="N112" s="44" t="s">
        <v>27</v>
      </c>
      <c r="O112" s="45" t="s">
        <v>28</v>
      </c>
      <c r="P112" s="44" t="s">
        <v>27</v>
      </c>
      <c r="Q112" s="45" t="s">
        <v>28</v>
      </c>
      <c r="R112" s="44" t="s">
        <v>27</v>
      </c>
      <c r="S112" s="45" t="s">
        <v>28</v>
      </c>
      <c r="T112" s="44" t="s">
        <v>27</v>
      </c>
      <c r="U112" s="45" t="s">
        <v>28</v>
      </c>
      <c r="V112" s="44" t="s">
        <v>27</v>
      </c>
      <c r="W112" s="45" t="s">
        <v>28</v>
      </c>
      <c r="X112" s="44" t="s">
        <v>27</v>
      </c>
      <c r="Y112" s="45" t="s">
        <v>28</v>
      </c>
      <c r="Z112" s="46"/>
      <c r="AA112" s="46"/>
      <c r="AB112" s="121" t="s">
        <v>29</v>
      </c>
      <c r="AC112" s="122" t="s">
        <v>30</v>
      </c>
      <c r="AD112" s="123" t="s">
        <v>31</v>
      </c>
      <c r="AE112" s="121" t="s">
        <v>27</v>
      </c>
      <c r="AF112" s="123" t="s">
        <v>28</v>
      </c>
      <c r="AG112" s="1"/>
    </row>
    <row r="113" ht="21.0" customHeight="1">
      <c r="A113" s="1"/>
      <c r="B113" s="48" t="s">
        <v>32</v>
      </c>
      <c r="C113" s="49"/>
      <c r="D113" s="50"/>
      <c r="E113" s="51" t="s">
        <v>33</v>
      </c>
      <c r="F113" s="52" t="s">
        <v>34</v>
      </c>
      <c r="G113" s="53"/>
      <c r="H113" s="54" t="s">
        <v>62</v>
      </c>
      <c r="I113" s="55"/>
      <c r="J113" s="56">
        <v>10.0</v>
      </c>
      <c r="K113" s="57">
        <v>15.0</v>
      </c>
      <c r="L113" s="56">
        <v>13.0</v>
      </c>
      <c r="M113" s="57">
        <v>15.0</v>
      </c>
      <c r="N113" s="56">
        <v>15.0</v>
      </c>
      <c r="O113" s="57">
        <v>12.0</v>
      </c>
      <c r="P113" s="58"/>
      <c r="Q113" s="59"/>
      <c r="R113" s="58"/>
      <c r="S113" s="59"/>
      <c r="T113" s="58"/>
      <c r="U113" s="59"/>
      <c r="V113" s="58"/>
      <c r="W113" s="59"/>
      <c r="X113" s="58"/>
      <c r="Y113" s="59"/>
      <c r="Z113" s="60" t="b">
        <v>0</v>
      </c>
      <c r="AA113" s="125">
        <f t="shared" ref="AA113:AA121" si="43">(J113*K113+L113*M113+N113*O113+P113*Q113+R113*S113+T113*U113+V113*W113+X113*Y113)*if(Z113=true,0.453592,1)</f>
        <v>525</v>
      </c>
      <c r="AB113" s="126">
        <f t="shared" ref="AB113:AB121" si="44">SUM(AE113*AF113*0.025,AE113)</f>
        <v>19.5</v>
      </c>
      <c r="AC113" s="127">
        <f t="shared" ref="AC113:AC121" si="45">AB113*87%</f>
        <v>16.965</v>
      </c>
      <c r="AD113" s="128">
        <f t="shared" ref="AD113:AD121" si="46">AB113*67%</f>
        <v>13.065</v>
      </c>
      <c r="AE113" s="126">
        <f t="shared" ref="AE113:AE121" si="47">MAX(J113,L113,N113,P113,R113,T113,V113,X113)*if(Z113=true,0.453592,1)</f>
        <v>15</v>
      </c>
      <c r="AF113" s="128">
        <f t="shared" ref="AF113:AF121" si="48">MAX(IF(J113*if(Z113=true,0.453592,1)=$AE113,K113,0),IF(L113*if(Z113=true,0.453592,1)=$AE113,M113,0),IF(N113*if(Z113=true,0.453592,1)=$AE113,O113,0),IF(P113*if(Z113=true,0.453592,1)=$AE113,Q113,0),IF(R113*if(Z113=true,0.453592,1)=$AE113,S113,0),IF(T113*if(Z113=true,0.453592,1)=$AE113,U113,0),IF(V113*if(Z113=true,0.453592,1)=$AE113,W113,0),IF(X113*if(Z113=true,0.453592,1)=$AE113,Y113,0))</f>
        <v>12</v>
      </c>
      <c r="AG113" s="1"/>
    </row>
    <row r="114" ht="21.0" customHeight="1">
      <c r="A114" s="1"/>
      <c r="B114" s="48" t="s">
        <v>36</v>
      </c>
      <c r="C114" s="49"/>
      <c r="D114" s="65"/>
      <c r="E114" s="66"/>
      <c r="F114" s="52" t="s">
        <v>37</v>
      </c>
      <c r="G114" s="67"/>
      <c r="H114" s="68" t="s">
        <v>86</v>
      </c>
      <c r="I114" s="69"/>
      <c r="J114" s="70">
        <v>33.0</v>
      </c>
      <c r="K114" s="71">
        <v>15.0</v>
      </c>
      <c r="L114" s="70">
        <v>40.0</v>
      </c>
      <c r="M114" s="71">
        <v>15.0</v>
      </c>
      <c r="N114" s="70">
        <v>40.0</v>
      </c>
      <c r="O114" s="71">
        <v>15.0</v>
      </c>
      <c r="P114" s="70">
        <v>47.0</v>
      </c>
      <c r="Q114" s="71">
        <v>15.0</v>
      </c>
      <c r="R114" s="72"/>
      <c r="S114" s="73"/>
      <c r="T114" s="72"/>
      <c r="U114" s="73"/>
      <c r="V114" s="72"/>
      <c r="W114" s="73"/>
      <c r="X114" s="72"/>
      <c r="Y114" s="73"/>
      <c r="Z114" s="74" t="b">
        <v>0</v>
      </c>
      <c r="AA114" s="130">
        <f t="shared" si="43"/>
        <v>2400</v>
      </c>
      <c r="AB114" s="131">
        <f t="shared" si="44"/>
        <v>64.625</v>
      </c>
      <c r="AC114" s="132">
        <f t="shared" si="45"/>
        <v>56.22375</v>
      </c>
      <c r="AD114" s="133">
        <f t="shared" si="46"/>
        <v>43.29875</v>
      </c>
      <c r="AE114" s="131">
        <f t="shared" si="47"/>
        <v>47</v>
      </c>
      <c r="AF114" s="133">
        <f t="shared" si="48"/>
        <v>15</v>
      </c>
      <c r="AG114" s="1"/>
    </row>
    <row r="115" ht="21.0" customHeight="1">
      <c r="A115" s="1"/>
      <c r="B115" s="48" t="s">
        <v>39</v>
      </c>
      <c r="C115" s="49"/>
      <c r="D115" s="65"/>
      <c r="E115" s="41"/>
      <c r="F115" s="52" t="s">
        <v>40</v>
      </c>
      <c r="G115" s="79"/>
      <c r="H115" s="115" t="s">
        <v>63</v>
      </c>
      <c r="I115" s="69"/>
      <c r="J115" s="70">
        <v>33.0</v>
      </c>
      <c r="K115" s="71">
        <v>15.0</v>
      </c>
      <c r="L115" s="70">
        <v>40.0</v>
      </c>
      <c r="M115" s="71">
        <v>15.0</v>
      </c>
      <c r="N115" s="70">
        <v>47.0</v>
      </c>
      <c r="O115" s="71">
        <v>15.0</v>
      </c>
      <c r="P115" s="72"/>
      <c r="Q115" s="73"/>
      <c r="R115" s="72"/>
      <c r="S115" s="73"/>
      <c r="T115" s="72"/>
      <c r="U115" s="73"/>
      <c r="V115" s="72"/>
      <c r="W115" s="73"/>
      <c r="X115" s="72"/>
      <c r="Y115" s="73"/>
      <c r="Z115" s="74" t="b">
        <v>0</v>
      </c>
      <c r="AA115" s="130">
        <f t="shared" si="43"/>
        <v>1800</v>
      </c>
      <c r="AB115" s="131">
        <f t="shared" si="44"/>
        <v>64.625</v>
      </c>
      <c r="AC115" s="132">
        <f t="shared" si="45"/>
        <v>56.22375</v>
      </c>
      <c r="AD115" s="133">
        <f t="shared" si="46"/>
        <v>43.29875</v>
      </c>
      <c r="AE115" s="131">
        <f t="shared" si="47"/>
        <v>47</v>
      </c>
      <c r="AF115" s="133">
        <f t="shared" si="48"/>
        <v>15</v>
      </c>
      <c r="AG115" s="1"/>
    </row>
    <row r="116" ht="21.0" customHeight="1">
      <c r="A116" s="1"/>
      <c r="B116" s="48" t="s">
        <v>41</v>
      </c>
      <c r="C116" s="81"/>
      <c r="D116" s="82" t="b">
        <v>0</v>
      </c>
      <c r="E116" s="51" t="s">
        <v>42</v>
      </c>
      <c r="F116" s="52" t="s">
        <v>34</v>
      </c>
      <c r="G116" s="83"/>
      <c r="H116" s="142" t="s">
        <v>87</v>
      </c>
      <c r="I116" s="85"/>
      <c r="J116" s="72"/>
      <c r="K116" s="73"/>
      <c r="L116" s="72"/>
      <c r="M116" s="73"/>
      <c r="N116" s="72"/>
      <c r="O116" s="73"/>
      <c r="P116" s="72"/>
      <c r="Q116" s="73"/>
      <c r="R116" s="72"/>
      <c r="S116" s="73"/>
      <c r="T116" s="72"/>
      <c r="U116" s="73"/>
      <c r="V116" s="72"/>
      <c r="W116" s="73"/>
      <c r="X116" s="72"/>
      <c r="Y116" s="73"/>
      <c r="Z116" s="74" t="b">
        <v>0</v>
      </c>
      <c r="AA116" s="130">
        <f t="shared" si="43"/>
        <v>0</v>
      </c>
      <c r="AB116" s="131">
        <f t="shared" si="44"/>
        <v>0</v>
      </c>
      <c r="AC116" s="132">
        <f t="shared" si="45"/>
        <v>0</v>
      </c>
      <c r="AD116" s="133">
        <f t="shared" si="46"/>
        <v>0</v>
      </c>
      <c r="AE116" s="131">
        <f t="shared" si="47"/>
        <v>0</v>
      </c>
      <c r="AF116" s="133">
        <f t="shared" si="48"/>
        <v>0</v>
      </c>
      <c r="AG116" s="1"/>
    </row>
    <row r="117" ht="21.0" customHeight="1">
      <c r="A117" s="1"/>
      <c r="B117" s="48" t="s">
        <v>43</v>
      </c>
      <c r="C117" s="49"/>
      <c r="D117" s="86" t="b">
        <v>0</v>
      </c>
      <c r="E117" s="66"/>
      <c r="F117" s="52" t="s">
        <v>37</v>
      </c>
      <c r="G117" s="67"/>
      <c r="H117" s="80"/>
      <c r="I117" s="69"/>
      <c r="J117" s="72"/>
      <c r="K117" s="73"/>
      <c r="L117" s="72"/>
      <c r="M117" s="73"/>
      <c r="N117" s="72"/>
      <c r="O117" s="73"/>
      <c r="P117" s="72"/>
      <c r="Q117" s="73"/>
      <c r="R117" s="72"/>
      <c r="S117" s="73"/>
      <c r="T117" s="72"/>
      <c r="U117" s="73"/>
      <c r="V117" s="72"/>
      <c r="W117" s="73"/>
      <c r="X117" s="72"/>
      <c r="Y117" s="73"/>
      <c r="Z117" s="74" t="b">
        <v>0</v>
      </c>
      <c r="AA117" s="130">
        <f t="shared" si="43"/>
        <v>0</v>
      </c>
      <c r="AB117" s="131">
        <f t="shared" si="44"/>
        <v>0</v>
      </c>
      <c r="AC117" s="132">
        <f t="shared" si="45"/>
        <v>0</v>
      </c>
      <c r="AD117" s="133">
        <f t="shared" si="46"/>
        <v>0</v>
      </c>
      <c r="AE117" s="131">
        <f t="shared" si="47"/>
        <v>0</v>
      </c>
      <c r="AF117" s="133">
        <f t="shared" si="48"/>
        <v>0</v>
      </c>
      <c r="AG117" s="1"/>
    </row>
    <row r="118" ht="21.0" customHeight="1">
      <c r="A118" s="1"/>
      <c r="B118" s="87" t="str">
        <f t="array" ref="B118">"📌최근 인바디 결과 : "&amp;text(xlookup(B110,'현황'!O:O,'현황'!O:O,,-1,-1),"m/d(ddd)")</f>
        <v>#REF!</v>
      </c>
      <c r="C118" s="88"/>
      <c r="D118" s="49"/>
      <c r="E118" s="41"/>
      <c r="F118" s="52" t="s">
        <v>40</v>
      </c>
      <c r="G118" s="79"/>
      <c r="H118" s="80"/>
      <c r="I118" s="69"/>
      <c r="J118" s="72"/>
      <c r="K118" s="73"/>
      <c r="L118" s="72"/>
      <c r="M118" s="73"/>
      <c r="N118" s="72"/>
      <c r="O118" s="73"/>
      <c r="P118" s="72"/>
      <c r="Q118" s="73"/>
      <c r="R118" s="72"/>
      <c r="S118" s="73"/>
      <c r="T118" s="72"/>
      <c r="U118" s="73"/>
      <c r="V118" s="72"/>
      <c r="W118" s="73"/>
      <c r="X118" s="72"/>
      <c r="Y118" s="73"/>
      <c r="Z118" s="74" t="b">
        <v>0</v>
      </c>
      <c r="AA118" s="130">
        <f t="shared" si="43"/>
        <v>0</v>
      </c>
      <c r="AB118" s="131">
        <f t="shared" si="44"/>
        <v>0</v>
      </c>
      <c r="AC118" s="132">
        <f t="shared" si="45"/>
        <v>0</v>
      </c>
      <c r="AD118" s="133">
        <f t="shared" si="46"/>
        <v>0</v>
      </c>
      <c r="AE118" s="131">
        <f t="shared" si="47"/>
        <v>0</v>
      </c>
      <c r="AF118" s="133">
        <f t="shared" si="48"/>
        <v>0</v>
      </c>
      <c r="AG118" s="1"/>
    </row>
    <row r="119" ht="21.0" customHeight="1">
      <c r="A119" s="1"/>
      <c r="B119" s="89" t="s">
        <v>44</v>
      </c>
      <c r="C119" s="49"/>
      <c r="D119" s="90">
        <f t="array" ref="D119">iferror(vlookup(xlookup(B110,'현황'!O:O,'현황'!O:O,,-1,-1),'현황'!O:S,2,false),0)</f>
        <v>0</v>
      </c>
      <c r="E119" s="51" t="s">
        <v>45</v>
      </c>
      <c r="F119" s="52" t="s">
        <v>34</v>
      </c>
      <c r="G119" s="83"/>
      <c r="H119" s="84"/>
      <c r="I119" s="85"/>
      <c r="J119" s="72"/>
      <c r="K119" s="73"/>
      <c r="L119" s="72"/>
      <c r="M119" s="73"/>
      <c r="N119" s="72"/>
      <c r="O119" s="73"/>
      <c r="P119" s="72"/>
      <c r="Q119" s="73"/>
      <c r="R119" s="72"/>
      <c r="S119" s="73"/>
      <c r="T119" s="72"/>
      <c r="U119" s="73"/>
      <c r="V119" s="72"/>
      <c r="W119" s="73"/>
      <c r="X119" s="72"/>
      <c r="Y119" s="73"/>
      <c r="Z119" s="74" t="b">
        <v>0</v>
      </c>
      <c r="AA119" s="130">
        <f t="shared" si="43"/>
        <v>0</v>
      </c>
      <c r="AB119" s="131">
        <f t="shared" si="44"/>
        <v>0</v>
      </c>
      <c r="AC119" s="132">
        <f t="shared" si="45"/>
        <v>0</v>
      </c>
      <c r="AD119" s="133">
        <f t="shared" si="46"/>
        <v>0</v>
      </c>
      <c r="AE119" s="131">
        <f t="shared" si="47"/>
        <v>0</v>
      </c>
      <c r="AF119" s="133">
        <f t="shared" si="48"/>
        <v>0</v>
      </c>
      <c r="AG119" s="1"/>
    </row>
    <row r="120" ht="21.0" customHeight="1">
      <c r="A120" s="1"/>
      <c r="B120" s="48" t="s">
        <v>46</v>
      </c>
      <c r="C120" s="49"/>
      <c r="D120" s="91">
        <f t="array" ref="D120">iferror(vlookup(xlookup(B110,'현황'!O:O,'현황'!O:O,,-1,-1),'현황'!O:S,3,false),0)</f>
        <v>0</v>
      </c>
      <c r="E120" s="66"/>
      <c r="F120" s="52" t="s">
        <v>37</v>
      </c>
      <c r="G120" s="67"/>
      <c r="H120" s="80"/>
      <c r="I120" s="69"/>
      <c r="J120" s="72"/>
      <c r="K120" s="73"/>
      <c r="L120" s="72"/>
      <c r="M120" s="73"/>
      <c r="N120" s="72"/>
      <c r="O120" s="73"/>
      <c r="P120" s="72"/>
      <c r="Q120" s="73"/>
      <c r="R120" s="72"/>
      <c r="S120" s="73"/>
      <c r="T120" s="72"/>
      <c r="U120" s="73"/>
      <c r="V120" s="72"/>
      <c r="W120" s="73"/>
      <c r="X120" s="72"/>
      <c r="Y120" s="73"/>
      <c r="Z120" s="74" t="b">
        <v>0</v>
      </c>
      <c r="AA120" s="130">
        <f t="shared" si="43"/>
        <v>0</v>
      </c>
      <c r="AB120" s="131">
        <f t="shared" si="44"/>
        <v>0</v>
      </c>
      <c r="AC120" s="132">
        <f t="shared" si="45"/>
        <v>0</v>
      </c>
      <c r="AD120" s="133">
        <f t="shared" si="46"/>
        <v>0</v>
      </c>
      <c r="AE120" s="131">
        <f t="shared" si="47"/>
        <v>0</v>
      </c>
      <c r="AF120" s="133">
        <f t="shared" si="48"/>
        <v>0</v>
      </c>
      <c r="AG120" s="1"/>
    </row>
    <row r="121" ht="21.0" customHeight="1">
      <c r="A121" s="1"/>
      <c r="B121" s="48" t="s">
        <v>47</v>
      </c>
      <c r="C121" s="49"/>
      <c r="D121" s="91">
        <f t="array" ref="D121">iferror(vlookup(xlookup(B110,'현황'!O:O,'현황'!O:O,,-1,-1),'현황'!O:S,4,false),0)</f>
        <v>0</v>
      </c>
      <c r="E121" s="41"/>
      <c r="F121" s="92" t="s">
        <v>40</v>
      </c>
      <c r="G121" s="79"/>
      <c r="H121" s="93"/>
      <c r="I121" s="94"/>
      <c r="J121" s="95"/>
      <c r="K121" s="96"/>
      <c r="L121" s="95"/>
      <c r="M121" s="96"/>
      <c r="N121" s="95"/>
      <c r="O121" s="96"/>
      <c r="P121" s="95"/>
      <c r="Q121" s="96"/>
      <c r="R121" s="95"/>
      <c r="S121" s="96"/>
      <c r="T121" s="95"/>
      <c r="U121" s="96"/>
      <c r="V121" s="95"/>
      <c r="W121" s="96"/>
      <c r="X121" s="95"/>
      <c r="Y121" s="96"/>
      <c r="Z121" s="97" t="b">
        <v>0</v>
      </c>
      <c r="AA121" s="135">
        <f t="shared" si="43"/>
        <v>0</v>
      </c>
      <c r="AB121" s="136">
        <f t="shared" si="44"/>
        <v>0</v>
      </c>
      <c r="AC121" s="137">
        <f t="shared" si="45"/>
        <v>0</v>
      </c>
      <c r="AD121" s="138">
        <f t="shared" si="46"/>
        <v>0</v>
      </c>
      <c r="AE121" s="136">
        <f t="shared" si="47"/>
        <v>0</v>
      </c>
      <c r="AF121" s="138">
        <f t="shared" si="48"/>
        <v>0</v>
      </c>
      <c r="AG121" s="1"/>
    </row>
    <row r="122" ht="21.0" customHeight="1">
      <c r="A122" s="1"/>
      <c r="B122" s="102" t="s">
        <v>48</v>
      </c>
      <c r="C122" s="103"/>
      <c r="D122" s="104">
        <f>iferror(D121/D119,0)</f>
        <v>0</v>
      </c>
      <c r="E122" s="102" t="s">
        <v>49</v>
      </c>
      <c r="F122" s="103"/>
      <c r="G122" s="105"/>
      <c r="H122" s="143" t="s">
        <v>50</v>
      </c>
      <c r="I122" s="144"/>
      <c r="J122" s="11"/>
      <c r="K122" s="11"/>
      <c r="L122" s="11"/>
      <c r="M122" s="11"/>
      <c r="N122" s="11"/>
      <c r="O122" s="11"/>
      <c r="P122" s="145" t="s">
        <v>51</v>
      </c>
      <c r="Q122" s="12"/>
      <c r="R122" s="146"/>
      <c r="S122" s="11"/>
      <c r="T122" s="11"/>
      <c r="U122" s="11"/>
      <c r="V122" s="11"/>
      <c r="W122" s="11"/>
      <c r="X122" s="11"/>
      <c r="Y122" s="11"/>
      <c r="Z122" s="12"/>
      <c r="AA122" s="139">
        <f>SUM(AA113:AA121)</f>
        <v>4725</v>
      </c>
      <c r="AB122" s="140" t="s">
        <v>88</v>
      </c>
      <c r="AG122" s="1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1"/>
      <c r="AA123" s="1"/>
      <c r="AB123" s="1"/>
      <c r="AC123" s="3"/>
      <c r="AD123" s="1"/>
      <c r="AE123" s="1"/>
      <c r="AF123" s="1"/>
      <c r="AG123" s="1"/>
    </row>
    <row r="124" ht="21.0" customHeight="1">
      <c r="A124" s="1"/>
      <c r="B124" s="4" t="s">
        <v>1</v>
      </c>
      <c r="C124" s="5"/>
      <c r="D124" s="6" t="s">
        <v>2</v>
      </c>
      <c r="E124" s="7"/>
      <c r="F124" s="7"/>
      <c r="G124" s="5"/>
      <c r="H124" s="8" t="s">
        <v>3</v>
      </c>
      <c r="I124" s="8" t="s">
        <v>4</v>
      </c>
      <c r="J124" s="9" t="s">
        <v>5</v>
      </c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5"/>
      <c r="AA124" s="117" t="s">
        <v>6</v>
      </c>
      <c r="AB124" s="11"/>
      <c r="AC124" s="11"/>
      <c r="AD124" s="11"/>
      <c r="AE124" s="11"/>
      <c r="AF124" s="12"/>
      <c r="AG124" s="1"/>
    </row>
    <row r="125" ht="21.0" customHeight="1">
      <c r="A125" s="1"/>
      <c r="B125" s="13">
        <v>46059.0</v>
      </c>
      <c r="C125" s="14" t="str">
        <f>if(B125="0/0","",choose(weekday(B125),"(일)","(월)","(화)","(수)","(목)","(금)","(토)"))</f>
        <v>(금)</v>
      </c>
      <c r="D125" s="15" t="s">
        <v>7</v>
      </c>
      <c r="E125" s="16" t="s">
        <v>8</v>
      </c>
      <c r="F125" s="17"/>
      <c r="G125" s="18" t="s">
        <v>9</v>
      </c>
      <c r="H125" s="19" t="s">
        <v>10</v>
      </c>
      <c r="I125" s="20" t="s">
        <v>89</v>
      </c>
      <c r="J125" s="21" t="s">
        <v>12</v>
      </c>
      <c r="K125" s="22"/>
      <c r="L125" s="21" t="s">
        <v>13</v>
      </c>
      <c r="M125" s="22"/>
      <c r="N125" s="21" t="s">
        <v>14</v>
      </c>
      <c r="O125" s="22"/>
      <c r="P125" s="21" t="s">
        <v>15</v>
      </c>
      <c r="Q125" s="22"/>
      <c r="R125" s="23" t="s">
        <v>16</v>
      </c>
      <c r="S125" s="22"/>
      <c r="T125" s="23" t="s">
        <v>17</v>
      </c>
      <c r="U125" s="22"/>
      <c r="V125" s="23" t="s">
        <v>18</v>
      </c>
      <c r="W125" s="22"/>
      <c r="X125" s="23" t="s">
        <v>19</v>
      </c>
      <c r="Y125" s="22"/>
      <c r="Z125" s="24" t="s">
        <v>90</v>
      </c>
      <c r="AA125" s="118" t="s">
        <v>21</v>
      </c>
      <c r="AB125" s="119" t="s">
        <v>22</v>
      </c>
      <c r="AC125" s="7"/>
      <c r="AD125" s="22"/>
      <c r="AE125" s="120" t="s">
        <v>23</v>
      </c>
      <c r="AF125" s="22"/>
      <c r="AG125" s="1"/>
    </row>
    <row r="126" ht="21.0" customHeight="1">
      <c r="A126" s="1"/>
      <c r="B126" s="27">
        <f>iferror(B125-'현황'!$C$4+1,0)</f>
        <v>0</v>
      </c>
      <c r="C126" s="28"/>
      <c r="D126" s="29">
        <v>0.0</v>
      </c>
      <c r="E126" s="30">
        <v>0.0</v>
      </c>
      <c r="F126" s="31"/>
      <c r="G126" s="32">
        <v>0.0</v>
      </c>
      <c r="H126" s="33">
        <v>0.0</v>
      </c>
      <c r="I126" s="34"/>
      <c r="J126" s="35"/>
      <c r="K126" s="36"/>
      <c r="L126" s="35"/>
      <c r="M126" s="36"/>
      <c r="N126" s="35"/>
      <c r="O126" s="36"/>
      <c r="P126" s="35"/>
      <c r="Q126" s="36"/>
      <c r="R126" s="35"/>
      <c r="S126" s="36"/>
      <c r="T126" s="35"/>
      <c r="U126" s="36"/>
      <c r="V126" s="35"/>
      <c r="W126" s="36"/>
      <c r="X126" s="35"/>
      <c r="Y126" s="36"/>
      <c r="Z126" s="37"/>
      <c r="AA126" s="37"/>
      <c r="AB126" s="35"/>
      <c r="AC126" s="38"/>
      <c r="AD126" s="36"/>
      <c r="AE126" s="35"/>
      <c r="AF126" s="36"/>
      <c r="AG126" s="1"/>
    </row>
    <row r="127" ht="21.0" customHeight="1">
      <c r="A127" s="1"/>
      <c r="B127" s="39" t="s">
        <v>24</v>
      </c>
      <c r="C127" s="40"/>
      <c r="D127" s="41"/>
      <c r="E127" s="42" t="s">
        <v>25</v>
      </c>
      <c r="F127" s="40"/>
      <c r="G127" s="41"/>
      <c r="H127" s="43" t="s">
        <v>26</v>
      </c>
      <c r="J127" s="44" t="s">
        <v>27</v>
      </c>
      <c r="K127" s="45" t="s">
        <v>28</v>
      </c>
      <c r="L127" s="44" t="s">
        <v>27</v>
      </c>
      <c r="M127" s="45" t="s">
        <v>28</v>
      </c>
      <c r="N127" s="44" t="s">
        <v>27</v>
      </c>
      <c r="O127" s="45" t="s">
        <v>28</v>
      </c>
      <c r="P127" s="44" t="s">
        <v>27</v>
      </c>
      <c r="Q127" s="45" t="s">
        <v>28</v>
      </c>
      <c r="R127" s="44" t="s">
        <v>27</v>
      </c>
      <c r="S127" s="45" t="s">
        <v>28</v>
      </c>
      <c r="T127" s="44" t="s">
        <v>27</v>
      </c>
      <c r="U127" s="45" t="s">
        <v>28</v>
      </c>
      <c r="V127" s="44" t="s">
        <v>27</v>
      </c>
      <c r="W127" s="45" t="s">
        <v>28</v>
      </c>
      <c r="X127" s="44" t="s">
        <v>27</v>
      </c>
      <c r="Y127" s="45" t="s">
        <v>28</v>
      </c>
      <c r="Z127" s="46"/>
      <c r="AA127" s="46"/>
      <c r="AB127" s="121" t="s">
        <v>29</v>
      </c>
      <c r="AC127" s="122" t="s">
        <v>30</v>
      </c>
      <c r="AD127" s="123" t="s">
        <v>31</v>
      </c>
      <c r="AE127" s="121" t="s">
        <v>27</v>
      </c>
      <c r="AF127" s="123" t="s">
        <v>28</v>
      </c>
      <c r="AG127" s="1"/>
    </row>
    <row r="128" ht="21.0" customHeight="1">
      <c r="A128" s="1"/>
      <c r="B128" s="48" t="s">
        <v>32</v>
      </c>
      <c r="C128" s="49"/>
      <c r="D128" s="50"/>
      <c r="E128" s="51" t="s">
        <v>33</v>
      </c>
      <c r="F128" s="52" t="s">
        <v>34</v>
      </c>
      <c r="G128" s="53"/>
      <c r="H128" s="54" t="s">
        <v>91</v>
      </c>
      <c r="I128" s="55"/>
      <c r="J128" s="58"/>
      <c r="K128" s="57">
        <v>15.0</v>
      </c>
      <c r="L128" s="58"/>
      <c r="M128" s="57">
        <v>20.0</v>
      </c>
      <c r="N128" s="58"/>
      <c r="O128" s="57">
        <v>20.0</v>
      </c>
      <c r="P128" s="58"/>
      <c r="Q128" s="59"/>
      <c r="R128" s="58"/>
      <c r="S128" s="59"/>
      <c r="T128" s="58"/>
      <c r="U128" s="59"/>
      <c r="V128" s="58"/>
      <c r="W128" s="59"/>
      <c r="X128" s="58"/>
      <c r="Y128" s="59"/>
      <c r="Z128" s="60" t="b">
        <v>0</v>
      </c>
      <c r="AA128" s="125">
        <f t="shared" ref="AA128:AA136" si="49">(J128*K128+L128*M128+N128*O128+P128*Q128+R128*S128+T128*U128+V128*W128+X128*Y128)*if(Z128=true,0.453592,1)</f>
        <v>0</v>
      </c>
      <c r="AB128" s="126">
        <f t="shared" ref="AB128:AB136" si="50">SUM(AE128*AF128*0.025,AE128)</f>
        <v>0</v>
      </c>
      <c r="AC128" s="127">
        <f t="shared" ref="AC128:AC136" si="51">AB128*87%</f>
        <v>0</v>
      </c>
      <c r="AD128" s="128">
        <f t="shared" ref="AD128:AD136" si="52">AB128*67%</f>
        <v>0</v>
      </c>
      <c r="AE128" s="126">
        <f t="shared" ref="AE128:AE136" si="53">MAX(J128,L128,N128,P128,R128,T128,V128,X128)*if(Z128=true,0.453592,1)</f>
        <v>0</v>
      </c>
      <c r="AF128" s="128">
        <f t="shared" ref="AF128:AF136" si="54">MAX(IF(J128*if(Z128=true,0.453592,1)=$AE128,K128,0),IF(L128*if(Z128=true,0.453592,1)=$AE128,M128,0),IF(N128*if(Z128=true,0.453592,1)=$AE128,O128,0),IF(P128*if(Z128=true,0.453592,1)=$AE128,Q128,0),IF(R128*if(Z128=true,0.453592,1)=$AE128,S128,0),IF(T128*if(Z128=true,0.453592,1)=$AE128,U128,0),IF(V128*if(Z128=true,0.453592,1)=$AE128,W128,0),IF(X128*if(Z128=true,0.453592,1)=$AE128,Y128,0))</f>
        <v>20</v>
      </c>
      <c r="AG128" s="1"/>
    </row>
    <row r="129" ht="21.0" customHeight="1">
      <c r="A129" s="1"/>
      <c r="B129" s="48" t="s">
        <v>36</v>
      </c>
      <c r="C129" s="49"/>
      <c r="D129" s="65"/>
      <c r="E129" s="66"/>
      <c r="F129" s="52" t="s">
        <v>37</v>
      </c>
      <c r="G129" s="67"/>
      <c r="H129" s="68" t="s">
        <v>92</v>
      </c>
      <c r="I129" s="69"/>
      <c r="J129" s="70">
        <v>0.0</v>
      </c>
      <c r="K129" s="71">
        <v>15.0</v>
      </c>
      <c r="L129" s="70">
        <v>1.0</v>
      </c>
      <c r="M129" s="71">
        <v>15.0</v>
      </c>
      <c r="N129" s="70">
        <v>1.0</v>
      </c>
      <c r="O129" s="71">
        <v>15.0</v>
      </c>
      <c r="P129" s="70">
        <v>1.0</v>
      </c>
      <c r="Q129" s="71">
        <v>15.0</v>
      </c>
      <c r="R129" s="70">
        <v>1.0</v>
      </c>
      <c r="S129" s="71">
        <v>15.0</v>
      </c>
      <c r="T129" s="72"/>
      <c r="U129" s="73"/>
      <c r="V129" s="72"/>
      <c r="W129" s="73"/>
      <c r="X129" s="72"/>
      <c r="Y129" s="73"/>
      <c r="Z129" s="74" t="b">
        <v>0</v>
      </c>
      <c r="AA129" s="130">
        <f t="shared" si="49"/>
        <v>60</v>
      </c>
      <c r="AB129" s="131">
        <f t="shared" si="50"/>
        <v>1.375</v>
      </c>
      <c r="AC129" s="132">
        <f t="shared" si="51"/>
        <v>1.19625</v>
      </c>
      <c r="AD129" s="133">
        <f t="shared" si="52"/>
        <v>0.92125</v>
      </c>
      <c r="AE129" s="131">
        <f t="shared" si="53"/>
        <v>1</v>
      </c>
      <c r="AF129" s="133">
        <f t="shared" si="54"/>
        <v>15</v>
      </c>
      <c r="AG129" s="1"/>
    </row>
    <row r="130" ht="21.0" customHeight="1">
      <c r="A130" s="1"/>
      <c r="B130" s="48" t="s">
        <v>39</v>
      </c>
      <c r="C130" s="49"/>
      <c r="D130" s="65"/>
      <c r="E130" s="41"/>
      <c r="F130" s="52" t="s">
        <v>40</v>
      </c>
      <c r="G130" s="79"/>
      <c r="H130" s="115" t="s">
        <v>69</v>
      </c>
      <c r="I130" s="69"/>
      <c r="J130" s="70">
        <v>1.0</v>
      </c>
      <c r="K130" s="71">
        <v>12.0</v>
      </c>
      <c r="L130" s="70">
        <v>1.0</v>
      </c>
      <c r="M130" s="71">
        <v>15.0</v>
      </c>
      <c r="N130" s="70">
        <v>1.0</v>
      </c>
      <c r="O130" s="71">
        <v>13.0</v>
      </c>
      <c r="P130" s="70">
        <v>1.0</v>
      </c>
      <c r="Q130" s="71">
        <v>12.0</v>
      </c>
      <c r="R130" s="72"/>
      <c r="S130" s="73"/>
      <c r="T130" s="72"/>
      <c r="U130" s="73"/>
      <c r="V130" s="72"/>
      <c r="W130" s="73"/>
      <c r="X130" s="72"/>
      <c r="Y130" s="73"/>
      <c r="Z130" s="74" t="b">
        <v>0</v>
      </c>
      <c r="AA130" s="130">
        <f t="shared" si="49"/>
        <v>52</v>
      </c>
      <c r="AB130" s="131">
        <f t="shared" si="50"/>
        <v>1.375</v>
      </c>
      <c r="AC130" s="132">
        <f t="shared" si="51"/>
        <v>1.19625</v>
      </c>
      <c r="AD130" s="133">
        <f t="shared" si="52"/>
        <v>0.92125</v>
      </c>
      <c r="AE130" s="131">
        <f t="shared" si="53"/>
        <v>1</v>
      </c>
      <c r="AF130" s="133">
        <f t="shared" si="54"/>
        <v>15</v>
      </c>
      <c r="AG130" s="1"/>
    </row>
    <row r="131" ht="21.0" customHeight="1">
      <c r="A131" s="1"/>
      <c r="B131" s="48" t="s">
        <v>41</v>
      </c>
      <c r="C131" s="81"/>
      <c r="D131" s="82" t="b">
        <v>0</v>
      </c>
      <c r="E131" s="51" t="s">
        <v>42</v>
      </c>
      <c r="F131" s="52" t="s">
        <v>34</v>
      </c>
      <c r="G131" s="83"/>
      <c r="H131" s="142" t="s">
        <v>68</v>
      </c>
      <c r="I131" s="85"/>
      <c r="J131" s="116">
        <v>2.5</v>
      </c>
      <c r="K131" s="71">
        <v>15.0</v>
      </c>
      <c r="L131" s="116">
        <v>2.5</v>
      </c>
      <c r="M131" s="71">
        <v>15.0</v>
      </c>
      <c r="N131" s="116">
        <v>2.5</v>
      </c>
      <c r="O131" s="71">
        <v>15.0</v>
      </c>
      <c r="P131" s="72"/>
      <c r="Q131" s="73"/>
      <c r="R131" s="72"/>
      <c r="S131" s="73"/>
      <c r="T131" s="72"/>
      <c r="U131" s="73"/>
      <c r="V131" s="72"/>
      <c r="W131" s="73"/>
      <c r="X131" s="72"/>
      <c r="Y131" s="73"/>
      <c r="Z131" s="74" t="b">
        <v>0</v>
      </c>
      <c r="AA131" s="130">
        <f t="shared" si="49"/>
        <v>112.5</v>
      </c>
      <c r="AB131" s="131">
        <f t="shared" si="50"/>
        <v>3.4375</v>
      </c>
      <c r="AC131" s="132">
        <f t="shared" si="51"/>
        <v>2.990625</v>
      </c>
      <c r="AD131" s="133">
        <f t="shared" si="52"/>
        <v>2.303125</v>
      </c>
      <c r="AE131" s="131">
        <f t="shared" si="53"/>
        <v>2.5</v>
      </c>
      <c r="AF131" s="133">
        <f t="shared" si="54"/>
        <v>15</v>
      </c>
      <c r="AG131" s="1"/>
    </row>
    <row r="132" ht="21.0" customHeight="1">
      <c r="A132" s="1"/>
      <c r="B132" s="48" t="s">
        <v>43</v>
      </c>
      <c r="C132" s="49"/>
      <c r="D132" s="86" t="b">
        <v>0</v>
      </c>
      <c r="E132" s="66"/>
      <c r="F132" s="52" t="s">
        <v>37</v>
      </c>
      <c r="G132" s="67"/>
      <c r="H132" s="80"/>
      <c r="I132" s="69"/>
      <c r="J132" s="72"/>
      <c r="K132" s="73"/>
      <c r="L132" s="72"/>
      <c r="M132" s="73"/>
      <c r="N132" s="72"/>
      <c r="O132" s="73"/>
      <c r="P132" s="72"/>
      <c r="Q132" s="73"/>
      <c r="R132" s="72"/>
      <c r="S132" s="73"/>
      <c r="T132" s="72"/>
      <c r="U132" s="73"/>
      <c r="V132" s="72"/>
      <c r="W132" s="73"/>
      <c r="X132" s="72"/>
      <c r="Y132" s="73"/>
      <c r="Z132" s="74" t="b">
        <v>0</v>
      </c>
      <c r="AA132" s="130">
        <f t="shared" si="49"/>
        <v>0</v>
      </c>
      <c r="AB132" s="131">
        <f t="shared" si="50"/>
        <v>0</v>
      </c>
      <c r="AC132" s="132">
        <f t="shared" si="51"/>
        <v>0</v>
      </c>
      <c r="AD132" s="133">
        <f t="shared" si="52"/>
        <v>0</v>
      </c>
      <c r="AE132" s="131">
        <f t="shared" si="53"/>
        <v>0</v>
      </c>
      <c r="AF132" s="133">
        <f t="shared" si="54"/>
        <v>0</v>
      </c>
      <c r="AG132" s="1"/>
    </row>
    <row r="133" ht="21.0" customHeight="1">
      <c r="A133" s="1"/>
      <c r="B133" s="87" t="str">
        <f t="array" ref="B133">"📌최근 인바디 결과 : "&amp;text(xlookup(B125,'현황'!O:O,'현황'!O:O,,-1,-1),"m/d(ddd)")</f>
        <v>#REF!</v>
      </c>
      <c r="C133" s="88"/>
      <c r="D133" s="49"/>
      <c r="E133" s="41"/>
      <c r="F133" s="52" t="s">
        <v>40</v>
      </c>
      <c r="G133" s="79"/>
      <c r="H133" s="115" t="s">
        <v>70</v>
      </c>
      <c r="I133" s="69"/>
      <c r="J133" s="72"/>
      <c r="K133" s="71">
        <v>25.0</v>
      </c>
      <c r="L133" s="72"/>
      <c r="M133" s="71">
        <v>30.0</v>
      </c>
      <c r="N133" s="72"/>
      <c r="O133" s="73"/>
      <c r="P133" s="72"/>
      <c r="Q133" s="73"/>
      <c r="R133" s="72"/>
      <c r="S133" s="73"/>
      <c r="T133" s="72"/>
      <c r="U133" s="73"/>
      <c r="V133" s="72"/>
      <c r="W133" s="73"/>
      <c r="X133" s="72"/>
      <c r="Y133" s="73"/>
      <c r="Z133" s="74" t="b">
        <v>0</v>
      </c>
      <c r="AA133" s="130">
        <f t="shared" si="49"/>
        <v>0</v>
      </c>
      <c r="AB133" s="131">
        <f t="shared" si="50"/>
        <v>0</v>
      </c>
      <c r="AC133" s="132">
        <f t="shared" si="51"/>
        <v>0</v>
      </c>
      <c r="AD133" s="133">
        <f t="shared" si="52"/>
        <v>0</v>
      </c>
      <c r="AE133" s="131">
        <f t="shared" si="53"/>
        <v>0</v>
      </c>
      <c r="AF133" s="133">
        <f t="shared" si="54"/>
        <v>30</v>
      </c>
      <c r="AG133" s="1"/>
    </row>
    <row r="134" ht="21.0" customHeight="1">
      <c r="A134" s="1"/>
      <c r="B134" s="89" t="s">
        <v>44</v>
      </c>
      <c r="C134" s="49"/>
      <c r="D134" s="90">
        <f t="array" ref="D134">iferror(vlookup(xlookup(B125,'현황'!O:O,'현황'!O:O,,-1,-1),'현황'!O:S,2,false),0)</f>
        <v>0</v>
      </c>
      <c r="E134" s="51" t="s">
        <v>45</v>
      </c>
      <c r="F134" s="52" t="s">
        <v>34</v>
      </c>
      <c r="G134" s="83"/>
      <c r="H134" s="84"/>
      <c r="I134" s="85"/>
      <c r="J134" s="72"/>
      <c r="K134" s="73"/>
      <c r="L134" s="72"/>
      <c r="M134" s="73"/>
      <c r="N134" s="72"/>
      <c r="O134" s="73"/>
      <c r="P134" s="72"/>
      <c r="Q134" s="73"/>
      <c r="R134" s="72"/>
      <c r="S134" s="73"/>
      <c r="T134" s="72"/>
      <c r="U134" s="73"/>
      <c r="V134" s="72"/>
      <c r="W134" s="73"/>
      <c r="X134" s="72"/>
      <c r="Y134" s="73"/>
      <c r="Z134" s="147" t="b">
        <v>0</v>
      </c>
      <c r="AA134" s="130">
        <f t="shared" si="49"/>
        <v>0</v>
      </c>
      <c r="AB134" s="131">
        <f t="shared" si="50"/>
        <v>0</v>
      </c>
      <c r="AC134" s="132">
        <f t="shared" si="51"/>
        <v>0</v>
      </c>
      <c r="AD134" s="133">
        <f t="shared" si="52"/>
        <v>0</v>
      </c>
      <c r="AE134" s="131">
        <f t="shared" si="53"/>
        <v>0</v>
      </c>
      <c r="AF134" s="133">
        <f t="shared" si="54"/>
        <v>0</v>
      </c>
      <c r="AG134" s="1"/>
    </row>
    <row r="135" ht="21.0" customHeight="1">
      <c r="A135" s="1"/>
      <c r="B135" s="48" t="s">
        <v>46</v>
      </c>
      <c r="C135" s="49"/>
      <c r="D135" s="91">
        <f t="array" ref="D135">iferror(vlookup(xlookup(B125,'현황'!O:O,'현황'!O:O,,-1,-1),'현황'!O:S,3,false),0)</f>
        <v>0</v>
      </c>
      <c r="E135" s="66"/>
      <c r="F135" s="52" t="s">
        <v>37</v>
      </c>
      <c r="G135" s="67"/>
      <c r="H135" s="80"/>
      <c r="I135" s="69"/>
      <c r="J135" s="72"/>
      <c r="K135" s="73"/>
      <c r="L135" s="72"/>
      <c r="M135" s="73"/>
      <c r="N135" s="72"/>
      <c r="O135" s="73"/>
      <c r="P135" s="72"/>
      <c r="Q135" s="73"/>
      <c r="R135" s="72"/>
      <c r="S135" s="73"/>
      <c r="T135" s="72"/>
      <c r="U135" s="73"/>
      <c r="V135" s="72"/>
      <c r="W135" s="73"/>
      <c r="X135" s="72"/>
      <c r="Y135" s="73"/>
      <c r="Z135" s="74" t="b">
        <v>0</v>
      </c>
      <c r="AA135" s="130">
        <f t="shared" si="49"/>
        <v>0</v>
      </c>
      <c r="AB135" s="131">
        <f t="shared" si="50"/>
        <v>0</v>
      </c>
      <c r="AC135" s="132">
        <f t="shared" si="51"/>
        <v>0</v>
      </c>
      <c r="AD135" s="133">
        <f t="shared" si="52"/>
        <v>0</v>
      </c>
      <c r="AE135" s="131">
        <f t="shared" si="53"/>
        <v>0</v>
      </c>
      <c r="AF135" s="133">
        <f t="shared" si="54"/>
        <v>0</v>
      </c>
      <c r="AG135" s="1"/>
    </row>
    <row r="136" ht="21.0" customHeight="1">
      <c r="A136" s="1"/>
      <c r="B136" s="48" t="s">
        <v>47</v>
      </c>
      <c r="C136" s="49"/>
      <c r="D136" s="91">
        <f t="array" ref="D136">iferror(vlookup(xlookup(B125,'현황'!O:O,'현황'!O:O,,-1,-1),'현황'!O:S,4,false),0)</f>
        <v>0</v>
      </c>
      <c r="E136" s="41"/>
      <c r="F136" s="92" t="s">
        <v>40</v>
      </c>
      <c r="G136" s="79"/>
      <c r="H136" s="93"/>
      <c r="I136" s="94"/>
      <c r="J136" s="95"/>
      <c r="K136" s="96"/>
      <c r="L136" s="95"/>
      <c r="M136" s="96"/>
      <c r="N136" s="95"/>
      <c r="O136" s="96"/>
      <c r="P136" s="95"/>
      <c r="Q136" s="96"/>
      <c r="R136" s="95"/>
      <c r="S136" s="96"/>
      <c r="T136" s="95"/>
      <c r="U136" s="96"/>
      <c r="V136" s="95"/>
      <c r="W136" s="96"/>
      <c r="X136" s="95"/>
      <c r="Y136" s="96"/>
      <c r="Z136" s="97" t="b">
        <v>0</v>
      </c>
      <c r="AA136" s="135">
        <f t="shared" si="49"/>
        <v>0</v>
      </c>
      <c r="AB136" s="136">
        <f t="shared" si="50"/>
        <v>0</v>
      </c>
      <c r="AC136" s="137">
        <f t="shared" si="51"/>
        <v>0</v>
      </c>
      <c r="AD136" s="138">
        <f t="shared" si="52"/>
        <v>0</v>
      </c>
      <c r="AE136" s="136">
        <f t="shared" si="53"/>
        <v>0</v>
      </c>
      <c r="AF136" s="138">
        <f t="shared" si="54"/>
        <v>0</v>
      </c>
      <c r="AG136" s="1"/>
    </row>
    <row r="137" ht="21.0" customHeight="1">
      <c r="A137" s="1"/>
      <c r="B137" s="102" t="s">
        <v>48</v>
      </c>
      <c r="C137" s="103"/>
      <c r="D137" s="104">
        <f>iferror(D136/D134,0)</f>
        <v>0</v>
      </c>
      <c r="E137" s="102" t="s">
        <v>49</v>
      </c>
      <c r="F137" s="103"/>
      <c r="G137" s="105"/>
      <c r="H137" s="106" t="s">
        <v>50</v>
      </c>
      <c r="I137" s="107"/>
      <c r="J137" s="11"/>
      <c r="K137" s="11"/>
      <c r="L137" s="11"/>
      <c r="M137" s="11"/>
      <c r="N137" s="11"/>
      <c r="O137" s="11"/>
      <c r="P137" s="108" t="s">
        <v>51</v>
      </c>
      <c r="Q137" s="12"/>
      <c r="R137" s="109"/>
      <c r="S137" s="11"/>
      <c r="T137" s="11"/>
      <c r="U137" s="11"/>
      <c r="V137" s="11"/>
      <c r="W137" s="11"/>
      <c r="X137" s="11"/>
      <c r="Y137" s="11"/>
      <c r="Z137" s="12"/>
      <c r="AA137" s="139">
        <f>SUM(AA128:AA136)</f>
        <v>224.5</v>
      </c>
      <c r="AB137" s="140" t="s">
        <v>93</v>
      </c>
      <c r="AG137" s="1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1"/>
      <c r="AA138" s="1"/>
      <c r="AB138" s="1"/>
      <c r="AC138" s="3"/>
      <c r="AD138" s="1"/>
      <c r="AE138" s="1"/>
      <c r="AF138" s="1"/>
      <c r="AG138" s="1"/>
    </row>
    <row r="139" ht="21.0" customHeight="1">
      <c r="A139" s="1"/>
      <c r="B139" s="4" t="s">
        <v>1</v>
      </c>
      <c r="C139" s="5"/>
      <c r="D139" s="6" t="s">
        <v>2</v>
      </c>
      <c r="E139" s="7"/>
      <c r="F139" s="7"/>
      <c r="G139" s="5"/>
      <c r="H139" s="8" t="s">
        <v>3</v>
      </c>
      <c r="I139" s="8" t="s">
        <v>4</v>
      </c>
      <c r="J139" s="9" t="s">
        <v>5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5"/>
      <c r="AA139" s="117" t="s">
        <v>6</v>
      </c>
      <c r="AB139" s="11"/>
      <c r="AC139" s="11"/>
      <c r="AD139" s="11"/>
      <c r="AE139" s="11"/>
      <c r="AF139" s="12"/>
      <c r="AG139" s="1"/>
    </row>
    <row r="140" ht="21.0" customHeight="1">
      <c r="A140" s="1"/>
      <c r="B140" s="13">
        <v>46062.0</v>
      </c>
      <c r="C140" s="14" t="str">
        <f>if(B140="0/0","",choose(weekday(B140),"(일)","(월)","(화)","(수)","(목)","(금)","(토)"))</f>
        <v>(월)</v>
      </c>
      <c r="D140" s="15" t="s">
        <v>7</v>
      </c>
      <c r="E140" s="16" t="s">
        <v>8</v>
      </c>
      <c r="F140" s="17"/>
      <c r="G140" s="18" t="s">
        <v>9</v>
      </c>
      <c r="H140" s="19" t="s">
        <v>10</v>
      </c>
      <c r="I140" s="20" t="s">
        <v>72</v>
      </c>
      <c r="J140" s="21" t="s">
        <v>12</v>
      </c>
      <c r="K140" s="22"/>
      <c r="L140" s="21" t="s">
        <v>13</v>
      </c>
      <c r="M140" s="22"/>
      <c r="N140" s="21" t="s">
        <v>14</v>
      </c>
      <c r="O140" s="22"/>
      <c r="P140" s="21" t="s">
        <v>15</v>
      </c>
      <c r="Q140" s="22"/>
      <c r="R140" s="23" t="s">
        <v>16</v>
      </c>
      <c r="S140" s="22"/>
      <c r="T140" s="23" t="s">
        <v>17</v>
      </c>
      <c r="U140" s="22"/>
      <c r="V140" s="23" t="s">
        <v>18</v>
      </c>
      <c r="W140" s="22"/>
      <c r="X140" s="23" t="s">
        <v>19</v>
      </c>
      <c r="Y140" s="22"/>
      <c r="Z140" s="24" t="s">
        <v>94</v>
      </c>
      <c r="AA140" s="118" t="s">
        <v>21</v>
      </c>
      <c r="AB140" s="119" t="s">
        <v>22</v>
      </c>
      <c r="AC140" s="7"/>
      <c r="AD140" s="22"/>
      <c r="AE140" s="120" t="s">
        <v>23</v>
      </c>
      <c r="AF140" s="22"/>
      <c r="AG140" s="1"/>
    </row>
    <row r="141" ht="21.0" customHeight="1">
      <c r="A141" s="1"/>
      <c r="B141" s="27">
        <f>iferror(B140-'현황'!$C$4+1,0)</f>
        <v>0</v>
      </c>
      <c r="C141" s="28"/>
      <c r="D141" s="29">
        <v>0.0</v>
      </c>
      <c r="E141" s="30">
        <v>0.0</v>
      </c>
      <c r="F141" s="31"/>
      <c r="G141" s="32">
        <v>0.0</v>
      </c>
      <c r="H141" s="33">
        <v>0.0</v>
      </c>
      <c r="I141" s="34"/>
      <c r="J141" s="35"/>
      <c r="K141" s="36"/>
      <c r="L141" s="35"/>
      <c r="M141" s="36"/>
      <c r="N141" s="35"/>
      <c r="O141" s="36"/>
      <c r="P141" s="35"/>
      <c r="Q141" s="36"/>
      <c r="R141" s="35"/>
      <c r="S141" s="36"/>
      <c r="T141" s="35"/>
      <c r="U141" s="36"/>
      <c r="V141" s="35"/>
      <c r="W141" s="36"/>
      <c r="X141" s="35"/>
      <c r="Y141" s="36"/>
      <c r="Z141" s="37"/>
      <c r="AA141" s="37"/>
      <c r="AB141" s="35"/>
      <c r="AC141" s="38"/>
      <c r="AD141" s="36"/>
      <c r="AE141" s="35"/>
      <c r="AF141" s="36"/>
      <c r="AG141" s="1"/>
    </row>
    <row r="142" ht="21.0" customHeight="1">
      <c r="A142" s="1"/>
      <c r="B142" s="39" t="s">
        <v>24</v>
      </c>
      <c r="C142" s="40"/>
      <c r="D142" s="41"/>
      <c r="E142" s="42" t="s">
        <v>25</v>
      </c>
      <c r="F142" s="40"/>
      <c r="G142" s="41"/>
      <c r="H142" s="43" t="s">
        <v>26</v>
      </c>
      <c r="J142" s="44" t="s">
        <v>27</v>
      </c>
      <c r="K142" s="45" t="s">
        <v>28</v>
      </c>
      <c r="L142" s="44" t="s">
        <v>27</v>
      </c>
      <c r="M142" s="45" t="s">
        <v>28</v>
      </c>
      <c r="N142" s="44" t="s">
        <v>27</v>
      </c>
      <c r="O142" s="45" t="s">
        <v>28</v>
      </c>
      <c r="P142" s="44" t="s">
        <v>27</v>
      </c>
      <c r="Q142" s="45" t="s">
        <v>28</v>
      </c>
      <c r="R142" s="44" t="s">
        <v>27</v>
      </c>
      <c r="S142" s="45" t="s">
        <v>28</v>
      </c>
      <c r="T142" s="44" t="s">
        <v>27</v>
      </c>
      <c r="U142" s="45" t="s">
        <v>28</v>
      </c>
      <c r="V142" s="44" t="s">
        <v>27</v>
      </c>
      <c r="W142" s="45" t="s">
        <v>28</v>
      </c>
      <c r="X142" s="44" t="s">
        <v>27</v>
      </c>
      <c r="Y142" s="45" t="s">
        <v>28</v>
      </c>
      <c r="Z142" s="46"/>
      <c r="AA142" s="46"/>
      <c r="AB142" s="121" t="s">
        <v>29</v>
      </c>
      <c r="AC142" s="122" t="s">
        <v>30</v>
      </c>
      <c r="AD142" s="123" t="s">
        <v>31</v>
      </c>
      <c r="AE142" s="121" t="s">
        <v>27</v>
      </c>
      <c r="AF142" s="123" t="s">
        <v>28</v>
      </c>
      <c r="AG142" s="1"/>
    </row>
    <row r="143" ht="21.0" customHeight="1">
      <c r="A143" s="1"/>
      <c r="B143" s="48" t="s">
        <v>32</v>
      </c>
      <c r="C143" s="49"/>
      <c r="D143" s="50"/>
      <c r="E143" s="51" t="s">
        <v>33</v>
      </c>
      <c r="F143" s="52" t="s">
        <v>34</v>
      </c>
      <c r="G143" s="53"/>
      <c r="H143" s="54" t="s">
        <v>95</v>
      </c>
      <c r="I143" s="55"/>
      <c r="J143" s="56">
        <v>2.0</v>
      </c>
      <c r="K143" s="57">
        <v>15.0</v>
      </c>
      <c r="L143" s="56">
        <v>2.0</v>
      </c>
      <c r="M143" s="57">
        <v>15.0</v>
      </c>
      <c r="N143" s="56">
        <v>2.0</v>
      </c>
      <c r="O143" s="57">
        <v>15.0</v>
      </c>
      <c r="P143" s="58"/>
      <c r="Q143" s="59"/>
      <c r="R143" s="58"/>
      <c r="S143" s="59"/>
      <c r="T143" s="58"/>
      <c r="U143" s="59"/>
      <c r="V143" s="58"/>
      <c r="W143" s="59"/>
      <c r="X143" s="58"/>
      <c r="Y143" s="59"/>
      <c r="Z143" s="60" t="b">
        <v>0</v>
      </c>
      <c r="AA143" s="125">
        <f t="shared" ref="AA143:AA151" si="55">(J143*K143+L143*M143+N143*O143+P143*Q143+R143*S143+T143*U143+V143*W143+X143*Y143)*if(Z143=true,0.453592,1)</f>
        <v>90</v>
      </c>
      <c r="AB143" s="126">
        <f t="shared" ref="AB143:AB151" si="56">SUM(AE143*AF143*0.025,AE143)</f>
        <v>2.75</v>
      </c>
      <c r="AC143" s="127">
        <f t="shared" ref="AC143:AC151" si="57">AB143*87%</f>
        <v>2.3925</v>
      </c>
      <c r="AD143" s="128">
        <f t="shared" ref="AD143:AD151" si="58">AB143*67%</f>
        <v>1.8425</v>
      </c>
      <c r="AE143" s="126">
        <f t="shared" ref="AE143:AE151" si="59">MAX(J143,L143,N143,P143,R143,T143,V143,X143)*if(Z143=true,0.453592,1)</f>
        <v>2</v>
      </c>
      <c r="AF143" s="128">
        <f t="shared" ref="AF143:AF151" si="60">MAX(IF(J143*if(Z143=true,0.453592,1)=$AE143,K143,0),IF(L143*if(Z143=true,0.453592,1)=$AE143,M143,0),IF(N143*if(Z143=true,0.453592,1)=$AE143,O143,0),IF(P143*if(Z143=true,0.453592,1)=$AE143,Q143,0),IF(R143*if(Z143=true,0.453592,1)=$AE143,S143,0),IF(T143*if(Z143=true,0.453592,1)=$AE143,U143,0),IF(V143*if(Z143=true,0.453592,1)=$AE143,W143,0),IF(X143*if(Z143=true,0.453592,1)=$AE143,Y143,0))</f>
        <v>15</v>
      </c>
      <c r="AG143" s="1"/>
    </row>
    <row r="144" ht="21.0" customHeight="1">
      <c r="A144" s="1"/>
      <c r="B144" s="48" t="s">
        <v>36</v>
      </c>
      <c r="C144" s="49"/>
      <c r="D144" s="65"/>
      <c r="E144" s="66"/>
      <c r="F144" s="52" t="s">
        <v>37</v>
      </c>
      <c r="G144" s="67"/>
      <c r="H144" s="68" t="s">
        <v>96</v>
      </c>
      <c r="I144" s="69"/>
      <c r="J144" s="70">
        <v>5.0</v>
      </c>
      <c r="K144" s="71">
        <v>15.0</v>
      </c>
      <c r="L144" s="116">
        <v>7.5</v>
      </c>
      <c r="M144" s="71">
        <v>15.0</v>
      </c>
      <c r="N144" s="116">
        <v>7.5</v>
      </c>
      <c r="O144" s="71">
        <v>15.0</v>
      </c>
      <c r="P144" s="72"/>
      <c r="Q144" s="73"/>
      <c r="R144" s="72"/>
      <c r="S144" s="73"/>
      <c r="T144" s="72"/>
      <c r="U144" s="73"/>
      <c r="V144" s="72"/>
      <c r="W144" s="73"/>
      <c r="X144" s="72"/>
      <c r="Y144" s="73"/>
      <c r="Z144" s="74" t="b">
        <v>0</v>
      </c>
      <c r="AA144" s="130">
        <f t="shared" si="55"/>
        <v>300</v>
      </c>
      <c r="AB144" s="131">
        <f t="shared" si="56"/>
        <v>10.3125</v>
      </c>
      <c r="AC144" s="132">
        <f t="shared" si="57"/>
        <v>8.971875</v>
      </c>
      <c r="AD144" s="133">
        <f t="shared" si="58"/>
        <v>6.909375</v>
      </c>
      <c r="AE144" s="131">
        <f t="shared" si="59"/>
        <v>7.5</v>
      </c>
      <c r="AF144" s="133">
        <f t="shared" si="60"/>
        <v>15</v>
      </c>
      <c r="AG144" s="1"/>
    </row>
    <row r="145" ht="21.0" customHeight="1">
      <c r="A145" s="1"/>
      <c r="B145" s="48" t="s">
        <v>39</v>
      </c>
      <c r="C145" s="49"/>
      <c r="D145" s="65"/>
      <c r="E145" s="41"/>
      <c r="F145" s="52" t="s">
        <v>40</v>
      </c>
      <c r="G145" s="79"/>
      <c r="H145" s="80"/>
      <c r="I145" s="69"/>
      <c r="J145" s="72"/>
      <c r="K145" s="73"/>
      <c r="L145" s="72"/>
      <c r="M145" s="73"/>
      <c r="N145" s="72"/>
      <c r="O145" s="73"/>
      <c r="P145" s="72"/>
      <c r="Q145" s="73"/>
      <c r="R145" s="72"/>
      <c r="S145" s="73"/>
      <c r="T145" s="72"/>
      <c r="U145" s="73"/>
      <c r="V145" s="72"/>
      <c r="W145" s="73"/>
      <c r="X145" s="72"/>
      <c r="Y145" s="73"/>
      <c r="Z145" s="74" t="b">
        <v>0</v>
      </c>
      <c r="AA145" s="130">
        <f t="shared" si="55"/>
        <v>0</v>
      </c>
      <c r="AB145" s="131">
        <f t="shared" si="56"/>
        <v>0</v>
      </c>
      <c r="AC145" s="132">
        <f t="shared" si="57"/>
        <v>0</v>
      </c>
      <c r="AD145" s="133">
        <f t="shared" si="58"/>
        <v>0</v>
      </c>
      <c r="AE145" s="131">
        <f t="shared" si="59"/>
        <v>0</v>
      </c>
      <c r="AF145" s="133">
        <f t="shared" si="60"/>
        <v>0</v>
      </c>
      <c r="AG145" s="1"/>
    </row>
    <row r="146" ht="21.0" customHeight="1">
      <c r="A146" s="1"/>
      <c r="B146" s="48" t="s">
        <v>41</v>
      </c>
      <c r="C146" s="81"/>
      <c r="D146" s="82" t="b">
        <v>0</v>
      </c>
      <c r="E146" s="51" t="s">
        <v>42</v>
      </c>
      <c r="F146" s="52" t="s">
        <v>34</v>
      </c>
      <c r="G146" s="83"/>
      <c r="H146" s="142" t="s">
        <v>97</v>
      </c>
      <c r="I146" s="85"/>
      <c r="J146" s="70">
        <v>5.0</v>
      </c>
      <c r="K146" s="71">
        <v>15.0</v>
      </c>
      <c r="L146" s="70">
        <v>5.0</v>
      </c>
      <c r="M146" s="71">
        <v>15.0</v>
      </c>
      <c r="N146" s="70">
        <v>5.0</v>
      </c>
      <c r="O146" s="71">
        <v>12.0</v>
      </c>
      <c r="P146" s="72"/>
      <c r="Q146" s="73"/>
      <c r="R146" s="72"/>
      <c r="S146" s="73"/>
      <c r="T146" s="72"/>
      <c r="U146" s="73"/>
      <c r="V146" s="72"/>
      <c r="W146" s="73"/>
      <c r="X146" s="72"/>
      <c r="Y146" s="73"/>
      <c r="Z146" s="74" t="b">
        <v>0</v>
      </c>
      <c r="AA146" s="130">
        <f t="shared" si="55"/>
        <v>210</v>
      </c>
      <c r="AB146" s="131">
        <f t="shared" si="56"/>
        <v>6.875</v>
      </c>
      <c r="AC146" s="132">
        <f t="shared" si="57"/>
        <v>5.98125</v>
      </c>
      <c r="AD146" s="133">
        <f t="shared" si="58"/>
        <v>4.60625</v>
      </c>
      <c r="AE146" s="131">
        <f t="shared" si="59"/>
        <v>5</v>
      </c>
      <c r="AF146" s="133">
        <f t="shared" si="60"/>
        <v>15</v>
      </c>
      <c r="AG146" s="1"/>
    </row>
    <row r="147" ht="21.0" customHeight="1">
      <c r="A147" s="1"/>
      <c r="B147" s="48" t="s">
        <v>43</v>
      </c>
      <c r="C147" s="49"/>
      <c r="D147" s="86" t="b">
        <v>0</v>
      </c>
      <c r="E147" s="66"/>
      <c r="F147" s="52" t="s">
        <v>37</v>
      </c>
      <c r="G147" s="67"/>
      <c r="H147" s="115" t="s">
        <v>98</v>
      </c>
      <c r="I147" s="69"/>
      <c r="J147" s="116">
        <v>7.5</v>
      </c>
      <c r="K147" s="71">
        <v>15.0</v>
      </c>
      <c r="L147" s="116">
        <v>7.5</v>
      </c>
      <c r="M147" s="71">
        <v>15.0</v>
      </c>
      <c r="N147" s="116">
        <v>7.5</v>
      </c>
      <c r="O147" s="71">
        <v>15.0</v>
      </c>
      <c r="P147" s="72"/>
      <c r="Q147" s="73"/>
      <c r="R147" s="72"/>
      <c r="S147" s="73"/>
      <c r="T147" s="72"/>
      <c r="U147" s="73"/>
      <c r="V147" s="72"/>
      <c r="W147" s="73"/>
      <c r="X147" s="72"/>
      <c r="Y147" s="73"/>
      <c r="Z147" s="74" t="b">
        <v>0</v>
      </c>
      <c r="AA147" s="130">
        <f t="shared" si="55"/>
        <v>337.5</v>
      </c>
      <c r="AB147" s="131">
        <f t="shared" si="56"/>
        <v>10.3125</v>
      </c>
      <c r="AC147" s="132">
        <f t="shared" si="57"/>
        <v>8.971875</v>
      </c>
      <c r="AD147" s="133">
        <f t="shared" si="58"/>
        <v>6.909375</v>
      </c>
      <c r="AE147" s="131">
        <f t="shared" si="59"/>
        <v>7.5</v>
      </c>
      <c r="AF147" s="133">
        <f t="shared" si="60"/>
        <v>15</v>
      </c>
      <c r="AG147" s="1"/>
    </row>
    <row r="148" ht="21.0" customHeight="1">
      <c r="A148" s="1"/>
      <c r="B148" s="87" t="str">
        <f t="array" ref="B148">"📌최근 인바디 결과 : "&amp;text(xlookup(B140,'현황'!O:O,'현황'!O:O,,-1,-1),"m/d(ddd)")</f>
        <v>#REF!</v>
      </c>
      <c r="C148" s="88"/>
      <c r="D148" s="49"/>
      <c r="E148" s="41"/>
      <c r="F148" s="52" t="s">
        <v>40</v>
      </c>
      <c r="G148" s="79"/>
      <c r="H148" s="80"/>
      <c r="I148" s="69"/>
      <c r="J148" s="72"/>
      <c r="K148" s="73"/>
      <c r="L148" s="72"/>
      <c r="M148" s="73"/>
      <c r="N148" s="72"/>
      <c r="O148" s="73"/>
      <c r="P148" s="72"/>
      <c r="Q148" s="73"/>
      <c r="R148" s="72"/>
      <c r="S148" s="73"/>
      <c r="T148" s="72"/>
      <c r="U148" s="73"/>
      <c r="V148" s="72"/>
      <c r="W148" s="73"/>
      <c r="X148" s="72"/>
      <c r="Y148" s="73"/>
      <c r="Z148" s="74" t="b">
        <v>0</v>
      </c>
      <c r="AA148" s="130">
        <f t="shared" si="55"/>
        <v>0</v>
      </c>
      <c r="AB148" s="131">
        <f t="shared" si="56"/>
        <v>0</v>
      </c>
      <c r="AC148" s="132">
        <f t="shared" si="57"/>
        <v>0</v>
      </c>
      <c r="AD148" s="133">
        <f t="shared" si="58"/>
        <v>0</v>
      </c>
      <c r="AE148" s="131">
        <f t="shared" si="59"/>
        <v>0</v>
      </c>
      <c r="AF148" s="133">
        <f t="shared" si="60"/>
        <v>0</v>
      </c>
      <c r="AG148" s="1"/>
    </row>
    <row r="149" ht="21.0" customHeight="1">
      <c r="A149" s="1"/>
      <c r="B149" s="89" t="s">
        <v>44</v>
      </c>
      <c r="C149" s="49"/>
      <c r="D149" s="90">
        <f t="array" ref="D149">iferror(vlookup(xlookup(B140,'현황'!O:O,'현황'!O:O,,-1,-1),'현황'!O:S,2,false),0)</f>
        <v>0</v>
      </c>
      <c r="E149" s="51" t="s">
        <v>45</v>
      </c>
      <c r="F149" s="52" t="s">
        <v>34</v>
      </c>
      <c r="G149" s="83"/>
      <c r="H149" s="142" t="s">
        <v>99</v>
      </c>
      <c r="I149" s="85"/>
      <c r="J149" s="72"/>
      <c r="K149" s="71">
        <v>20.0</v>
      </c>
      <c r="L149" s="72"/>
      <c r="M149" s="71">
        <v>20.0</v>
      </c>
      <c r="N149" s="72"/>
      <c r="O149" s="71">
        <v>20.0</v>
      </c>
      <c r="P149" s="72"/>
      <c r="Q149" s="71">
        <v>20.0</v>
      </c>
      <c r="R149" s="72"/>
      <c r="S149" s="73"/>
      <c r="T149" s="72"/>
      <c r="U149" s="73"/>
      <c r="V149" s="72"/>
      <c r="W149" s="73"/>
      <c r="X149" s="72"/>
      <c r="Y149" s="73"/>
      <c r="Z149" s="74" t="b">
        <v>0</v>
      </c>
      <c r="AA149" s="130">
        <f t="shared" si="55"/>
        <v>0</v>
      </c>
      <c r="AB149" s="131">
        <f t="shared" si="56"/>
        <v>0</v>
      </c>
      <c r="AC149" s="132">
        <f t="shared" si="57"/>
        <v>0</v>
      </c>
      <c r="AD149" s="133">
        <f t="shared" si="58"/>
        <v>0</v>
      </c>
      <c r="AE149" s="131">
        <f t="shared" si="59"/>
        <v>0</v>
      </c>
      <c r="AF149" s="133">
        <f t="shared" si="60"/>
        <v>20</v>
      </c>
      <c r="AG149" s="1"/>
    </row>
    <row r="150" ht="21.0" customHeight="1">
      <c r="A150" s="1"/>
      <c r="B150" s="48" t="s">
        <v>46</v>
      </c>
      <c r="C150" s="49"/>
      <c r="D150" s="91">
        <f t="array" ref="D150">iferror(vlookup(xlookup(B140,'현황'!O:O,'현황'!O:O,,-1,-1),'현황'!O:S,3,false),0)</f>
        <v>0</v>
      </c>
      <c r="E150" s="66"/>
      <c r="F150" s="52" t="s">
        <v>37</v>
      </c>
      <c r="G150" s="67"/>
      <c r="H150" s="115" t="s">
        <v>70</v>
      </c>
      <c r="I150" s="69"/>
      <c r="J150" s="72"/>
      <c r="K150" s="71">
        <v>30.0</v>
      </c>
      <c r="L150" s="72"/>
      <c r="M150" s="73"/>
      <c r="N150" s="72"/>
      <c r="O150" s="73"/>
      <c r="P150" s="72"/>
      <c r="Q150" s="73"/>
      <c r="R150" s="72"/>
      <c r="S150" s="73"/>
      <c r="T150" s="72"/>
      <c r="U150" s="73"/>
      <c r="V150" s="72"/>
      <c r="W150" s="73"/>
      <c r="X150" s="72"/>
      <c r="Y150" s="73"/>
      <c r="Z150" s="74" t="b">
        <v>0</v>
      </c>
      <c r="AA150" s="130">
        <f t="shared" si="55"/>
        <v>0</v>
      </c>
      <c r="AB150" s="131">
        <f t="shared" si="56"/>
        <v>0</v>
      </c>
      <c r="AC150" s="132">
        <f t="shared" si="57"/>
        <v>0</v>
      </c>
      <c r="AD150" s="133">
        <f t="shared" si="58"/>
        <v>0</v>
      </c>
      <c r="AE150" s="131">
        <f t="shared" si="59"/>
        <v>0</v>
      </c>
      <c r="AF150" s="133">
        <f t="shared" si="60"/>
        <v>30</v>
      </c>
      <c r="AG150" s="1"/>
    </row>
    <row r="151" ht="21.0" customHeight="1">
      <c r="A151" s="1"/>
      <c r="B151" s="48" t="s">
        <v>47</v>
      </c>
      <c r="C151" s="49"/>
      <c r="D151" s="91">
        <f t="array" ref="D151">iferror(vlookup(xlookup(B140,'현황'!O:O,'현황'!O:O,,-1,-1),'현황'!O:S,4,false),0)</f>
        <v>0</v>
      </c>
      <c r="E151" s="41"/>
      <c r="F151" s="92" t="s">
        <v>40</v>
      </c>
      <c r="G151" s="79"/>
      <c r="H151" s="93"/>
      <c r="I151" s="94"/>
      <c r="J151" s="95"/>
      <c r="K151" s="96"/>
      <c r="L151" s="95"/>
      <c r="M151" s="96"/>
      <c r="N151" s="95"/>
      <c r="O151" s="96"/>
      <c r="P151" s="95"/>
      <c r="Q151" s="96"/>
      <c r="R151" s="95"/>
      <c r="S151" s="96"/>
      <c r="T151" s="95"/>
      <c r="U151" s="96"/>
      <c r="V151" s="95"/>
      <c r="W151" s="96"/>
      <c r="X151" s="95"/>
      <c r="Y151" s="96"/>
      <c r="Z151" s="97" t="b">
        <v>0</v>
      </c>
      <c r="AA151" s="135">
        <f t="shared" si="55"/>
        <v>0</v>
      </c>
      <c r="AB151" s="136">
        <f t="shared" si="56"/>
        <v>0</v>
      </c>
      <c r="AC151" s="137">
        <f t="shared" si="57"/>
        <v>0</v>
      </c>
      <c r="AD151" s="138">
        <f t="shared" si="58"/>
        <v>0</v>
      </c>
      <c r="AE151" s="136">
        <f t="shared" si="59"/>
        <v>0</v>
      </c>
      <c r="AF151" s="138">
        <f t="shared" si="60"/>
        <v>0</v>
      </c>
      <c r="AG151" s="1"/>
    </row>
    <row r="152" ht="21.0" customHeight="1">
      <c r="A152" s="1"/>
      <c r="B152" s="102" t="s">
        <v>48</v>
      </c>
      <c r="C152" s="103"/>
      <c r="D152" s="104">
        <f>iferror(D151/D149,0)</f>
        <v>0</v>
      </c>
      <c r="E152" s="102" t="s">
        <v>49</v>
      </c>
      <c r="F152" s="103"/>
      <c r="G152" s="105"/>
      <c r="H152" s="106" t="s">
        <v>50</v>
      </c>
      <c r="I152" s="107"/>
      <c r="J152" s="11"/>
      <c r="K152" s="11"/>
      <c r="L152" s="11"/>
      <c r="M152" s="11"/>
      <c r="N152" s="11"/>
      <c r="O152" s="11"/>
      <c r="P152" s="108" t="s">
        <v>51</v>
      </c>
      <c r="Q152" s="12"/>
      <c r="R152" s="109"/>
      <c r="S152" s="11"/>
      <c r="T152" s="11"/>
      <c r="U152" s="11"/>
      <c r="V152" s="11"/>
      <c r="W152" s="11"/>
      <c r="X152" s="11"/>
      <c r="Y152" s="11"/>
      <c r="Z152" s="12"/>
      <c r="AA152" s="139">
        <f>SUM(AA143:AA151)</f>
        <v>937.5</v>
      </c>
      <c r="AB152" s="140" t="s">
        <v>100</v>
      </c>
      <c r="AG152" s="1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1"/>
      <c r="AA153" s="1"/>
      <c r="AB153" s="1"/>
      <c r="AC153" s="3"/>
      <c r="AD153" s="1"/>
      <c r="AE153" s="1"/>
      <c r="AF153" s="1"/>
      <c r="AG153" s="1"/>
    </row>
    <row r="154" ht="21.0" customHeight="1">
      <c r="A154" s="1"/>
      <c r="B154" s="4" t="s">
        <v>1</v>
      </c>
      <c r="C154" s="5"/>
      <c r="D154" s="6" t="s">
        <v>2</v>
      </c>
      <c r="E154" s="7"/>
      <c r="F154" s="7"/>
      <c r="G154" s="5"/>
      <c r="H154" s="8" t="s">
        <v>3</v>
      </c>
      <c r="I154" s="8" t="s">
        <v>4</v>
      </c>
      <c r="J154" s="9" t="s">
        <v>5</v>
      </c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5"/>
      <c r="AA154" s="117" t="s">
        <v>6</v>
      </c>
      <c r="AB154" s="11"/>
      <c r="AC154" s="11"/>
      <c r="AD154" s="11"/>
      <c r="AE154" s="11"/>
      <c r="AF154" s="12"/>
      <c r="AG154" s="1"/>
    </row>
    <row r="155" ht="21.0" customHeight="1">
      <c r="A155" s="1"/>
      <c r="B155" s="13">
        <v>46064.0</v>
      </c>
      <c r="C155" s="14" t="str">
        <f>if(B155="0/0","",choose(weekday(B155),"(일)","(월)","(화)","(수)","(목)","(금)","(토)"))</f>
        <v>(수)</v>
      </c>
      <c r="D155" s="15" t="s">
        <v>7</v>
      </c>
      <c r="E155" s="16" t="s">
        <v>8</v>
      </c>
      <c r="F155" s="17"/>
      <c r="G155" s="18" t="s">
        <v>9</v>
      </c>
      <c r="H155" s="19" t="s">
        <v>10</v>
      </c>
      <c r="I155" s="20" t="s">
        <v>11</v>
      </c>
      <c r="J155" s="21" t="s">
        <v>12</v>
      </c>
      <c r="K155" s="22"/>
      <c r="L155" s="21" t="s">
        <v>13</v>
      </c>
      <c r="M155" s="22"/>
      <c r="N155" s="21" t="s">
        <v>14</v>
      </c>
      <c r="O155" s="22"/>
      <c r="P155" s="21" t="s">
        <v>15</v>
      </c>
      <c r="Q155" s="22"/>
      <c r="R155" s="23" t="s">
        <v>16</v>
      </c>
      <c r="S155" s="22"/>
      <c r="T155" s="23" t="s">
        <v>17</v>
      </c>
      <c r="U155" s="22"/>
      <c r="V155" s="23" t="s">
        <v>18</v>
      </c>
      <c r="W155" s="22"/>
      <c r="X155" s="23" t="s">
        <v>19</v>
      </c>
      <c r="Y155" s="22"/>
      <c r="Z155" s="24" t="s">
        <v>101</v>
      </c>
      <c r="AA155" s="118" t="s">
        <v>21</v>
      </c>
      <c r="AB155" s="119" t="s">
        <v>22</v>
      </c>
      <c r="AC155" s="7"/>
      <c r="AD155" s="22"/>
      <c r="AE155" s="120" t="s">
        <v>23</v>
      </c>
      <c r="AF155" s="22"/>
      <c r="AG155" s="1"/>
    </row>
    <row r="156" ht="21.0" customHeight="1">
      <c r="A156" s="1"/>
      <c r="B156" s="27">
        <f>iferror(B155-'현황'!$C$4+1,0)</f>
        <v>0</v>
      </c>
      <c r="C156" s="28"/>
      <c r="D156" s="29">
        <v>0.0</v>
      </c>
      <c r="E156" s="30">
        <v>0.0</v>
      </c>
      <c r="F156" s="31"/>
      <c r="G156" s="32">
        <v>0.0</v>
      </c>
      <c r="H156" s="33">
        <v>0.0</v>
      </c>
      <c r="I156" s="34"/>
      <c r="J156" s="35"/>
      <c r="K156" s="36"/>
      <c r="L156" s="35"/>
      <c r="M156" s="36"/>
      <c r="N156" s="35"/>
      <c r="O156" s="36"/>
      <c r="P156" s="35"/>
      <c r="Q156" s="36"/>
      <c r="R156" s="35"/>
      <c r="S156" s="36"/>
      <c r="T156" s="35"/>
      <c r="U156" s="36"/>
      <c r="V156" s="35"/>
      <c r="W156" s="36"/>
      <c r="X156" s="35"/>
      <c r="Y156" s="36"/>
      <c r="Z156" s="37"/>
      <c r="AA156" s="37"/>
      <c r="AB156" s="35"/>
      <c r="AC156" s="38"/>
      <c r="AD156" s="36"/>
      <c r="AE156" s="35"/>
      <c r="AF156" s="36"/>
      <c r="AG156" s="1"/>
    </row>
    <row r="157" ht="21.0" customHeight="1">
      <c r="A157" s="1"/>
      <c r="B157" s="39" t="s">
        <v>24</v>
      </c>
      <c r="C157" s="40"/>
      <c r="D157" s="41"/>
      <c r="E157" s="42" t="s">
        <v>25</v>
      </c>
      <c r="F157" s="40"/>
      <c r="G157" s="41"/>
      <c r="H157" s="43" t="s">
        <v>26</v>
      </c>
      <c r="J157" s="44" t="s">
        <v>27</v>
      </c>
      <c r="K157" s="45" t="s">
        <v>28</v>
      </c>
      <c r="L157" s="44" t="s">
        <v>27</v>
      </c>
      <c r="M157" s="45" t="s">
        <v>28</v>
      </c>
      <c r="N157" s="44" t="s">
        <v>27</v>
      </c>
      <c r="O157" s="45" t="s">
        <v>28</v>
      </c>
      <c r="P157" s="44" t="s">
        <v>27</v>
      </c>
      <c r="Q157" s="45" t="s">
        <v>28</v>
      </c>
      <c r="R157" s="44" t="s">
        <v>27</v>
      </c>
      <c r="S157" s="45" t="s">
        <v>28</v>
      </c>
      <c r="T157" s="44" t="s">
        <v>27</v>
      </c>
      <c r="U157" s="45" t="s">
        <v>28</v>
      </c>
      <c r="V157" s="44" t="s">
        <v>27</v>
      </c>
      <c r="W157" s="45" t="s">
        <v>28</v>
      </c>
      <c r="X157" s="44" t="s">
        <v>27</v>
      </c>
      <c r="Y157" s="45" t="s">
        <v>28</v>
      </c>
      <c r="Z157" s="46"/>
      <c r="AA157" s="46"/>
      <c r="AB157" s="121" t="s">
        <v>29</v>
      </c>
      <c r="AC157" s="122" t="s">
        <v>30</v>
      </c>
      <c r="AD157" s="123" t="s">
        <v>31</v>
      </c>
      <c r="AE157" s="121" t="s">
        <v>27</v>
      </c>
      <c r="AF157" s="123" t="s">
        <v>28</v>
      </c>
      <c r="AG157" s="1"/>
    </row>
    <row r="158" ht="21.0" customHeight="1">
      <c r="A158" s="1"/>
      <c r="B158" s="48" t="s">
        <v>32</v>
      </c>
      <c r="C158" s="49"/>
      <c r="D158" s="50"/>
      <c r="E158" s="51" t="s">
        <v>33</v>
      </c>
      <c r="F158" s="52" t="s">
        <v>34</v>
      </c>
      <c r="G158" s="53"/>
      <c r="H158" s="54" t="s">
        <v>79</v>
      </c>
      <c r="I158" s="55"/>
      <c r="J158" s="56">
        <v>5.0</v>
      </c>
      <c r="K158" s="57">
        <v>15.0</v>
      </c>
      <c r="L158" s="56">
        <v>5.0</v>
      </c>
      <c r="M158" s="57">
        <v>15.0</v>
      </c>
      <c r="N158" s="124">
        <v>7.5</v>
      </c>
      <c r="O158" s="57">
        <v>15.0</v>
      </c>
      <c r="P158" s="124">
        <v>7.5</v>
      </c>
      <c r="Q158" s="57">
        <v>15.0</v>
      </c>
      <c r="R158" s="58"/>
      <c r="S158" s="59"/>
      <c r="T158" s="58"/>
      <c r="U158" s="59"/>
      <c r="V158" s="58"/>
      <c r="W158" s="59"/>
      <c r="X158" s="58"/>
      <c r="Y158" s="59"/>
      <c r="Z158" s="141" t="b">
        <v>0</v>
      </c>
      <c r="AA158" s="125">
        <f t="shared" ref="AA158:AA166" si="61">(J158*K158+L158*M158+N158*O158+P158*Q158+R158*S158+T158*U158+V158*W158+X158*Y158)*if(Z158=true,0.453592,1)</f>
        <v>375</v>
      </c>
      <c r="AB158" s="126">
        <f t="shared" ref="AB158:AB166" si="62">SUM(AE158*AF158*0.025,AE158)</f>
        <v>10.3125</v>
      </c>
      <c r="AC158" s="127">
        <f t="shared" ref="AC158:AC166" si="63">AB158*87%</f>
        <v>8.971875</v>
      </c>
      <c r="AD158" s="128">
        <f t="shared" ref="AD158:AD166" si="64">AB158*67%</f>
        <v>6.909375</v>
      </c>
      <c r="AE158" s="126">
        <f t="shared" ref="AE158:AE166" si="65">MAX(J158,L158,N158,P158,R158,T158,V158,X158)*if(Z158=true,0.453592,1)</f>
        <v>7.5</v>
      </c>
      <c r="AF158" s="128">
        <f t="shared" ref="AF158:AF166" si="66">MAX(IF(J158*if(Z158=true,0.453592,1)=$AE158,K158,0),IF(L158*if(Z158=true,0.453592,1)=$AE158,M158,0),IF(N158*if(Z158=true,0.453592,1)=$AE158,O158,0),IF(P158*if(Z158=true,0.453592,1)=$AE158,Q158,0),IF(R158*if(Z158=true,0.453592,1)=$AE158,S158,0),IF(T158*if(Z158=true,0.453592,1)=$AE158,U158,0),IF(V158*if(Z158=true,0.453592,1)=$AE158,W158,0),IF(X158*if(Z158=true,0.453592,1)=$AE158,Y158,0))</f>
        <v>15</v>
      </c>
      <c r="AG158" s="1"/>
    </row>
    <row r="159" ht="21.0" customHeight="1">
      <c r="A159" s="1"/>
      <c r="B159" s="48" t="s">
        <v>36</v>
      </c>
      <c r="C159" s="49"/>
      <c r="D159" s="65"/>
      <c r="E159" s="66"/>
      <c r="F159" s="52" t="s">
        <v>37</v>
      </c>
      <c r="G159" s="67"/>
      <c r="H159" s="68" t="s">
        <v>38</v>
      </c>
      <c r="I159" s="69"/>
      <c r="J159" s="70">
        <v>10.0</v>
      </c>
      <c r="K159" s="71">
        <v>15.0</v>
      </c>
      <c r="L159" s="116">
        <v>12.5</v>
      </c>
      <c r="M159" s="71">
        <v>15.0</v>
      </c>
      <c r="N159" s="70">
        <v>15.0</v>
      </c>
      <c r="O159" s="71">
        <v>12.0</v>
      </c>
      <c r="P159" s="72"/>
      <c r="Q159" s="73"/>
      <c r="R159" s="72"/>
      <c r="S159" s="73"/>
      <c r="T159" s="72"/>
      <c r="U159" s="73"/>
      <c r="V159" s="72"/>
      <c r="W159" s="73"/>
      <c r="X159" s="72"/>
      <c r="Y159" s="73"/>
      <c r="Z159" s="74" t="b">
        <v>0</v>
      </c>
      <c r="AA159" s="130">
        <f t="shared" si="61"/>
        <v>517.5</v>
      </c>
      <c r="AB159" s="131">
        <f t="shared" si="62"/>
        <v>19.5</v>
      </c>
      <c r="AC159" s="132">
        <f t="shared" si="63"/>
        <v>16.965</v>
      </c>
      <c r="AD159" s="133">
        <f t="shared" si="64"/>
        <v>13.065</v>
      </c>
      <c r="AE159" s="131">
        <f t="shared" si="65"/>
        <v>15</v>
      </c>
      <c r="AF159" s="133">
        <f t="shared" si="66"/>
        <v>12</v>
      </c>
      <c r="AG159" s="1"/>
    </row>
    <row r="160" ht="21.0" customHeight="1">
      <c r="A160" s="1"/>
      <c r="B160" s="48" t="s">
        <v>39</v>
      </c>
      <c r="C160" s="49"/>
      <c r="D160" s="65"/>
      <c r="E160" s="41"/>
      <c r="F160" s="52" t="s">
        <v>40</v>
      </c>
      <c r="G160" s="79"/>
      <c r="H160" s="115" t="s">
        <v>102</v>
      </c>
      <c r="I160" s="69"/>
      <c r="J160" s="116">
        <v>7.5</v>
      </c>
      <c r="K160" s="71">
        <v>15.0</v>
      </c>
      <c r="L160" s="70">
        <v>10.0</v>
      </c>
      <c r="M160" s="71">
        <v>15.0</v>
      </c>
      <c r="N160" s="70">
        <v>10.0</v>
      </c>
      <c r="O160" s="71">
        <v>15.0</v>
      </c>
      <c r="P160" s="70">
        <v>10.0</v>
      </c>
      <c r="Q160" s="71">
        <v>15.0</v>
      </c>
      <c r="R160" s="72"/>
      <c r="S160" s="73"/>
      <c r="T160" s="72"/>
      <c r="U160" s="73"/>
      <c r="V160" s="72"/>
      <c r="W160" s="73"/>
      <c r="X160" s="72"/>
      <c r="Y160" s="73"/>
      <c r="Z160" s="74" t="b">
        <v>0</v>
      </c>
      <c r="AA160" s="130">
        <f t="shared" si="61"/>
        <v>562.5</v>
      </c>
      <c r="AB160" s="131">
        <f t="shared" si="62"/>
        <v>13.75</v>
      </c>
      <c r="AC160" s="132">
        <f t="shared" si="63"/>
        <v>11.9625</v>
      </c>
      <c r="AD160" s="133">
        <f t="shared" si="64"/>
        <v>9.2125</v>
      </c>
      <c r="AE160" s="131">
        <f t="shared" si="65"/>
        <v>10</v>
      </c>
      <c r="AF160" s="133">
        <f t="shared" si="66"/>
        <v>15</v>
      </c>
      <c r="AG160" s="1"/>
    </row>
    <row r="161" ht="21.0" customHeight="1">
      <c r="A161" s="1"/>
      <c r="B161" s="48" t="s">
        <v>41</v>
      </c>
      <c r="C161" s="81"/>
      <c r="D161" s="82" t="b">
        <v>0</v>
      </c>
      <c r="E161" s="51" t="s">
        <v>42</v>
      </c>
      <c r="F161" s="52" t="s">
        <v>34</v>
      </c>
      <c r="G161" s="83"/>
      <c r="H161" s="142" t="s">
        <v>35</v>
      </c>
      <c r="I161" s="85"/>
      <c r="J161" s="70">
        <v>12.0</v>
      </c>
      <c r="K161" s="71">
        <v>15.0</v>
      </c>
      <c r="L161" s="70">
        <v>15.0</v>
      </c>
      <c r="M161" s="71">
        <v>15.0</v>
      </c>
      <c r="N161" s="70">
        <v>15.0</v>
      </c>
      <c r="O161" s="71">
        <v>15.0</v>
      </c>
      <c r="P161" s="72"/>
      <c r="Q161" s="73"/>
      <c r="R161" s="72"/>
      <c r="S161" s="73"/>
      <c r="T161" s="72"/>
      <c r="U161" s="73"/>
      <c r="V161" s="72"/>
      <c r="W161" s="73"/>
      <c r="X161" s="72"/>
      <c r="Y161" s="73"/>
      <c r="Z161" s="74" t="b">
        <v>0</v>
      </c>
      <c r="AA161" s="130">
        <f t="shared" si="61"/>
        <v>630</v>
      </c>
      <c r="AB161" s="131">
        <f t="shared" si="62"/>
        <v>20.625</v>
      </c>
      <c r="AC161" s="132">
        <f t="shared" si="63"/>
        <v>17.94375</v>
      </c>
      <c r="AD161" s="133">
        <f t="shared" si="64"/>
        <v>13.81875</v>
      </c>
      <c r="AE161" s="131">
        <f t="shared" si="65"/>
        <v>15</v>
      </c>
      <c r="AF161" s="133">
        <f t="shared" si="66"/>
        <v>15</v>
      </c>
      <c r="AG161" s="1"/>
    </row>
    <row r="162" ht="21.0" customHeight="1">
      <c r="A162" s="1"/>
      <c r="B162" s="48" t="s">
        <v>43</v>
      </c>
      <c r="C162" s="49"/>
      <c r="D162" s="86" t="b">
        <v>0</v>
      </c>
      <c r="E162" s="66"/>
      <c r="F162" s="52" t="s">
        <v>37</v>
      </c>
      <c r="G162" s="67"/>
      <c r="H162" s="80"/>
      <c r="I162" s="69"/>
      <c r="J162" s="72"/>
      <c r="K162" s="73"/>
      <c r="L162" s="72"/>
      <c r="M162" s="73"/>
      <c r="N162" s="72"/>
      <c r="O162" s="73"/>
      <c r="P162" s="72"/>
      <c r="Q162" s="73"/>
      <c r="R162" s="72"/>
      <c r="S162" s="73"/>
      <c r="T162" s="72"/>
      <c r="U162" s="73"/>
      <c r="V162" s="72"/>
      <c r="W162" s="73"/>
      <c r="X162" s="72"/>
      <c r="Y162" s="73"/>
      <c r="Z162" s="74" t="b">
        <v>0</v>
      </c>
      <c r="AA162" s="130">
        <f t="shared" si="61"/>
        <v>0</v>
      </c>
      <c r="AB162" s="131">
        <f t="shared" si="62"/>
        <v>0</v>
      </c>
      <c r="AC162" s="132">
        <f t="shared" si="63"/>
        <v>0</v>
      </c>
      <c r="AD162" s="133">
        <f t="shared" si="64"/>
        <v>0</v>
      </c>
      <c r="AE162" s="131">
        <f t="shared" si="65"/>
        <v>0</v>
      </c>
      <c r="AF162" s="133">
        <f t="shared" si="66"/>
        <v>0</v>
      </c>
      <c r="AG162" s="1"/>
    </row>
    <row r="163" ht="21.0" customHeight="1">
      <c r="A163" s="1"/>
      <c r="B163" s="87" t="str">
        <f t="array" ref="B163">"📌최근 인바디 결과 : "&amp;text(xlookup(B155,'현황'!O:O,'현황'!O:O,,-1,-1),"m/d(ddd)")</f>
        <v>#REF!</v>
      </c>
      <c r="C163" s="88"/>
      <c r="D163" s="49"/>
      <c r="E163" s="41"/>
      <c r="F163" s="52" t="s">
        <v>40</v>
      </c>
      <c r="G163" s="79"/>
      <c r="H163" s="115" t="s">
        <v>87</v>
      </c>
      <c r="I163" s="69"/>
      <c r="J163" s="72"/>
      <c r="K163" s="71">
        <v>8.0</v>
      </c>
      <c r="L163" s="72"/>
      <c r="M163" s="71">
        <v>4.0</v>
      </c>
      <c r="N163" s="72"/>
      <c r="O163" s="71">
        <v>5.0</v>
      </c>
      <c r="P163" s="72"/>
      <c r="Q163" s="71">
        <v>6.0</v>
      </c>
      <c r="R163" s="72"/>
      <c r="S163" s="73"/>
      <c r="T163" s="72"/>
      <c r="U163" s="73"/>
      <c r="V163" s="72"/>
      <c r="W163" s="73"/>
      <c r="X163" s="72"/>
      <c r="Y163" s="73"/>
      <c r="Z163" s="74" t="b">
        <v>0</v>
      </c>
      <c r="AA163" s="130">
        <f t="shared" si="61"/>
        <v>0</v>
      </c>
      <c r="AB163" s="131">
        <f t="shared" si="62"/>
        <v>0</v>
      </c>
      <c r="AC163" s="132">
        <f t="shared" si="63"/>
        <v>0</v>
      </c>
      <c r="AD163" s="133">
        <f t="shared" si="64"/>
        <v>0</v>
      </c>
      <c r="AE163" s="131">
        <f t="shared" si="65"/>
        <v>0</v>
      </c>
      <c r="AF163" s="133">
        <f t="shared" si="66"/>
        <v>8</v>
      </c>
      <c r="AG163" s="1"/>
    </row>
    <row r="164" ht="21.0" customHeight="1">
      <c r="A164" s="1"/>
      <c r="B164" s="89" t="s">
        <v>44</v>
      </c>
      <c r="C164" s="49"/>
      <c r="D164" s="90">
        <f t="array" ref="D164">iferror(vlookup(xlookup(B155,'현황'!O:O,'현황'!O:O,,-1,-1),'현황'!O:S,2,false),0)</f>
        <v>0</v>
      </c>
      <c r="E164" s="51" t="s">
        <v>45</v>
      </c>
      <c r="F164" s="52" t="s">
        <v>34</v>
      </c>
      <c r="G164" s="83"/>
      <c r="H164" s="142" t="s">
        <v>70</v>
      </c>
      <c r="I164" s="85"/>
      <c r="J164" s="72"/>
      <c r="K164" s="71">
        <v>30.0</v>
      </c>
      <c r="L164" s="72"/>
      <c r="M164" s="71">
        <v>30.0</v>
      </c>
      <c r="N164" s="72"/>
      <c r="O164" s="73"/>
      <c r="P164" s="72"/>
      <c r="Q164" s="73"/>
      <c r="R164" s="72"/>
      <c r="S164" s="73"/>
      <c r="T164" s="72"/>
      <c r="U164" s="73"/>
      <c r="V164" s="72"/>
      <c r="W164" s="73"/>
      <c r="X164" s="72"/>
      <c r="Y164" s="73"/>
      <c r="Z164" s="74" t="b">
        <v>0</v>
      </c>
      <c r="AA164" s="130">
        <f t="shared" si="61"/>
        <v>0</v>
      </c>
      <c r="AB164" s="131">
        <f t="shared" si="62"/>
        <v>0</v>
      </c>
      <c r="AC164" s="132">
        <f t="shared" si="63"/>
        <v>0</v>
      </c>
      <c r="AD164" s="133">
        <f t="shared" si="64"/>
        <v>0</v>
      </c>
      <c r="AE164" s="131">
        <f t="shared" si="65"/>
        <v>0</v>
      </c>
      <c r="AF164" s="133">
        <f t="shared" si="66"/>
        <v>30</v>
      </c>
      <c r="AG164" s="1"/>
    </row>
    <row r="165" ht="21.0" customHeight="1">
      <c r="A165" s="1"/>
      <c r="B165" s="48" t="s">
        <v>46</v>
      </c>
      <c r="C165" s="49"/>
      <c r="D165" s="91">
        <f t="array" ref="D165">iferror(vlookup(xlookup(B155,'현황'!O:O,'현황'!O:O,,-1,-1),'현황'!O:S,3,false),0)</f>
        <v>0</v>
      </c>
      <c r="E165" s="66"/>
      <c r="F165" s="52" t="s">
        <v>37</v>
      </c>
      <c r="G165" s="67"/>
      <c r="H165" s="80"/>
      <c r="I165" s="69"/>
      <c r="J165" s="72"/>
      <c r="K165" s="73"/>
      <c r="L165" s="72"/>
      <c r="M165" s="73"/>
      <c r="N165" s="72"/>
      <c r="O165" s="73"/>
      <c r="P165" s="72"/>
      <c r="Q165" s="73"/>
      <c r="R165" s="72"/>
      <c r="S165" s="73"/>
      <c r="T165" s="72"/>
      <c r="U165" s="73"/>
      <c r="V165" s="72"/>
      <c r="W165" s="73"/>
      <c r="X165" s="72"/>
      <c r="Y165" s="73"/>
      <c r="Z165" s="74" t="b">
        <v>0</v>
      </c>
      <c r="AA165" s="130">
        <f t="shared" si="61"/>
        <v>0</v>
      </c>
      <c r="AB165" s="131">
        <f t="shared" si="62"/>
        <v>0</v>
      </c>
      <c r="AC165" s="132">
        <f t="shared" si="63"/>
        <v>0</v>
      </c>
      <c r="AD165" s="133">
        <f t="shared" si="64"/>
        <v>0</v>
      </c>
      <c r="AE165" s="131">
        <f t="shared" si="65"/>
        <v>0</v>
      </c>
      <c r="AF165" s="133">
        <f t="shared" si="66"/>
        <v>0</v>
      </c>
      <c r="AG165" s="1"/>
    </row>
    <row r="166" ht="21.0" customHeight="1">
      <c r="A166" s="1"/>
      <c r="B166" s="48" t="s">
        <v>47</v>
      </c>
      <c r="C166" s="49"/>
      <c r="D166" s="91">
        <f t="array" ref="D166">iferror(vlookup(xlookup(B155,'현황'!O:O,'현황'!O:O,,-1,-1),'현황'!O:S,4,false),0)</f>
        <v>0</v>
      </c>
      <c r="E166" s="41"/>
      <c r="F166" s="92" t="s">
        <v>40</v>
      </c>
      <c r="G166" s="79"/>
      <c r="H166" s="93"/>
      <c r="I166" s="94"/>
      <c r="J166" s="95"/>
      <c r="K166" s="96"/>
      <c r="L166" s="95"/>
      <c r="M166" s="96"/>
      <c r="N166" s="95"/>
      <c r="O166" s="96"/>
      <c r="P166" s="95"/>
      <c r="Q166" s="96"/>
      <c r="R166" s="95"/>
      <c r="S166" s="96"/>
      <c r="T166" s="95"/>
      <c r="U166" s="96"/>
      <c r="V166" s="95"/>
      <c r="W166" s="96"/>
      <c r="X166" s="95"/>
      <c r="Y166" s="96"/>
      <c r="Z166" s="97" t="b">
        <v>0</v>
      </c>
      <c r="AA166" s="135">
        <f t="shared" si="61"/>
        <v>0</v>
      </c>
      <c r="AB166" s="136">
        <f t="shared" si="62"/>
        <v>0</v>
      </c>
      <c r="AC166" s="137">
        <f t="shared" si="63"/>
        <v>0</v>
      </c>
      <c r="AD166" s="138">
        <f t="shared" si="64"/>
        <v>0</v>
      </c>
      <c r="AE166" s="136">
        <f t="shared" si="65"/>
        <v>0</v>
      </c>
      <c r="AF166" s="138">
        <f t="shared" si="66"/>
        <v>0</v>
      </c>
      <c r="AG166" s="1"/>
    </row>
    <row r="167" ht="21.0" customHeight="1">
      <c r="A167" s="1"/>
      <c r="B167" s="102" t="s">
        <v>48</v>
      </c>
      <c r="C167" s="103"/>
      <c r="D167" s="104">
        <f>iferror(D166/D164,0)</f>
        <v>0</v>
      </c>
      <c r="E167" s="102" t="s">
        <v>49</v>
      </c>
      <c r="F167" s="103"/>
      <c r="G167" s="105"/>
      <c r="H167" s="106" t="s">
        <v>50</v>
      </c>
      <c r="I167" s="107"/>
      <c r="J167" s="11"/>
      <c r="K167" s="11"/>
      <c r="L167" s="11"/>
      <c r="M167" s="11"/>
      <c r="N167" s="11"/>
      <c r="O167" s="11"/>
      <c r="P167" s="108" t="s">
        <v>51</v>
      </c>
      <c r="Q167" s="12"/>
      <c r="R167" s="109"/>
      <c r="S167" s="11"/>
      <c r="T167" s="11"/>
      <c r="U167" s="11"/>
      <c r="V167" s="11"/>
      <c r="W167" s="11"/>
      <c r="X167" s="11"/>
      <c r="Y167" s="11"/>
      <c r="Z167" s="12"/>
      <c r="AA167" s="139">
        <f>SUM(AA158:AA166)</f>
        <v>2085</v>
      </c>
      <c r="AB167" s="140" t="s">
        <v>103</v>
      </c>
      <c r="AG167" s="1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1"/>
      <c r="AA168" s="1"/>
      <c r="AB168" s="1"/>
      <c r="AC168" s="3"/>
      <c r="AD168" s="1"/>
      <c r="AE168" s="1"/>
      <c r="AF168" s="1"/>
      <c r="AG168" s="1"/>
    </row>
    <row r="169" ht="21.0" customHeight="1">
      <c r="A169" s="1"/>
      <c r="B169" s="4" t="s">
        <v>1</v>
      </c>
      <c r="C169" s="5"/>
      <c r="D169" s="6" t="s">
        <v>2</v>
      </c>
      <c r="E169" s="7"/>
      <c r="F169" s="7"/>
      <c r="G169" s="5"/>
      <c r="H169" s="8" t="s">
        <v>3</v>
      </c>
      <c r="I169" s="8" t="s">
        <v>4</v>
      </c>
      <c r="J169" s="9" t="s">
        <v>5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5"/>
      <c r="AA169" s="117" t="s">
        <v>6</v>
      </c>
      <c r="AB169" s="11"/>
      <c r="AC169" s="11"/>
      <c r="AD169" s="11"/>
      <c r="AE169" s="11"/>
      <c r="AF169" s="12"/>
      <c r="AG169" s="1"/>
    </row>
    <row r="170" ht="21.0" customHeight="1">
      <c r="A170" s="1"/>
      <c r="B170" s="13">
        <v>46072.0</v>
      </c>
      <c r="C170" s="14" t="str">
        <f>if(B170="0/0","",choose(weekday(B170),"(일)","(월)","(화)","(수)","(목)","(금)","(토)"))</f>
        <v>(목)</v>
      </c>
      <c r="D170" s="15" t="s">
        <v>7</v>
      </c>
      <c r="E170" s="16" t="s">
        <v>8</v>
      </c>
      <c r="F170" s="17"/>
      <c r="G170" s="18" t="s">
        <v>9</v>
      </c>
      <c r="H170" s="19" t="s">
        <v>10</v>
      </c>
      <c r="I170" s="20" t="s">
        <v>53</v>
      </c>
      <c r="J170" s="21" t="s">
        <v>12</v>
      </c>
      <c r="K170" s="22"/>
      <c r="L170" s="21" t="s">
        <v>13</v>
      </c>
      <c r="M170" s="22"/>
      <c r="N170" s="21" t="s">
        <v>14</v>
      </c>
      <c r="O170" s="22"/>
      <c r="P170" s="21" t="s">
        <v>15</v>
      </c>
      <c r="Q170" s="22"/>
      <c r="R170" s="23" t="s">
        <v>16</v>
      </c>
      <c r="S170" s="22"/>
      <c r="T170" s="23" t="s">
        <v>17</v>
      </c>
      <c r="U170" s="22"/>
      <c r="V170" s="23" t="s">
        <v>18</v>
      </c>
      <c r="W170" s="22"/>
      <c r="X170" s="23" t="s">
        <v>19</v>
      </c>
      <c r="Y170" s="22"/>
      <c r="Z170" s="24" t="s">
        <v>104</v>
      </c>
      <c r="AA170" s="118" t="s">
        <v>21</v>
      </c>
      <c r="AB170" s="119" t="s">
        <v>22</v>
      </c>
      <c r="AC170" s="7"/>
      <c r="AD170" s="22"/>
      <c r="AE170" s="120" t="s">
        <v>23</v>
      </c>
      <c r="AF170" s="22"/>
      <c r="AG170" s="1"/>
    </row>
    <row r="171" ht="21.0" customHeight="1">
      <c r="A171" s="1"/>
      <c r="B171" s="27">
        <f>iferror(B170-'현황'!$C$4+1,0)</f>
        <v>0</v>
      </c>
      <c r="C171" s="28"/>
      <c r="D171" s="29">
        <v>0.0</v>
      </c>
      <c r="E171" s="30">
        <v>0.0</v>
      </c>
      <c r="F171" s="31"/>
      <c r="G171" s="32">
        <v>0.0</v>
      </c>
      <c r="H171" s="33">
        <v>0.0</v>
      </c>
      <c r="I171" s="34"/>
      <c r="J171" s="35"/>
      <c r="K171" s="36"/>
      <c r="L171" s="35"/>
      <c r="M171" s="36"/>
      <c r="N171" s="35"/>
      <c r="O171" s="36"/>
      <c r="P171" s="35"/>
      <c r="Q171" s="36"/>
      <c r="R171" s="35"/>
      <c r="S171" s="36"/>
      <c r="T171" s="35"/>
      <c r="U171" s="36"/>
      <c r="V171" s="35"/>
      <c r="W171" s="36"/>
      <c r="X171" s="35"/>
      <c r="Y171" s="36"/>
      <c r="Z171" s="37"/>
      <c r="AA171" s="37"/>
      <c r="AB171" s="35"/>
      <c r="AC171" s="38"/>
      <c r="AD171" s="36"/>
      <c r="AE171" s="35"/>
      <c r="AF171" s="36"/>
      <c r="AG171" s="1"/>
    </row>
    <row r="172" ht="21.0" customHeight="1">
      <c r="A172" s="1"/>
      <c r="B172" s="39" t="s">
        <v>24</v>
      </c>
      <c r="C172" s="40"/>
      <c r="D172" s="41"/>
      <c r="E172" s="42" t="s">
        <v>25</v>
      </c>
      <c r="F172" s="40"/>
      <c r="G172" s="41"/>
      <c r="H172" s="43" t="s">
        <v>26</v>
      </c>
      <c r="J172" s="44" t="s">
        <v>27</v>
      </c>
      <c r="K172" s="45" t="s">
        <v>28</v>
      </c>
      <c r="L172" s="44" t="s">
        <v>27</v>
      </c>
      <c r="M172" s="45" t="s">
        <v>28</v>
      </c>
      <c r="N172" s="44" t="s">
        <v>27</v>
      </c>
      <c r="O172" s="45" t="s">
        <v>28</v>
      </c>
      <c r="P172" s="44" t="s">
        <v>27</v>
      </c>
      <c r="Q172" s="45" t="s">
        <v>28</v>
      </c>
      <c r="R172" s="44" t="s">
        <v>27</v>
      </c>
      <c r="S172" s="45" t="s">
        <v>28</v>
      </c>
      <c r="T172" s="44" t="s">
        <v>27</v>
      </c>
      <c r="U172" s="45" t="s">
        <v>28</v>
      </c>
      <c r="V172" s="44" t="s">
        <v>27</v>
      </c>
      <c r="W172" s="45" t="s">
        <v>28</v>
      </c>
      <c r="X172" s="44" t="s">
        <v>27</v>
      </c>
      <c r="Y172" s="45" t="s">
        <v>28</v>
      </c>
      <c r="Z172" s="46"/>
      <c r="AA172" s="46"/>
      <c r="AB172" s="121" t="s">
        <v>29</v>
      </c>
      <c r="AC172" s="122" t="s">
        <v>30</v>
      </c>
      <c r="AD172" s="123" t="s">
        <v>31</v>
      </c>
      <c r="AE172" s="121" t="s">
        <v>27</v>
      </c>
      <c r="AF172" s="123" t="s">
        <v>28</v>
      </c>
      <c r="AG172" s="1"/>
    </row>
    <row r="173" ht="21.0" customHeight="1">
      <c r="A173" s="1"/>
      <c r="B173" s="48" t="s">
        <v>32</v>
      </c>
      <c r="C173" s="49"/>
      <c r="D173" s="50"/>
      <c r="E173" s="51" t="s">
        <v>33</v>
      </c>
      <c r="F173" s="52" t="s">
        <v>34</v>
      </c>
      <c r="G173" s="53"/>
      <c r="H173" s="54" t="s">
        <v>83</v>
      </c>
      <c r="I173" s="55"/>
      <c r="J173" s="56">
        <v>5.0</v>
      </c>
      <c r="K173" s="57">
        <v>15.0</v>
      </c>
      <c r="L173" s="56">
        <v>5.0</v>
      </c>
      <c r="M173" s="57">
        <v>15.0</v>
      </c>
      <c r="N173" s="56">
        <v>5.0</v>
      </c>
      <c r="O173" s="57">
        <v>10.0</v>
      </c>
      <c r="P173" s="56">
        <v>5.0</v>
      </c>
      <c r="Q173" s="57">
        <v>15.0</v>
      </c>
      <c r="R173" s="58"/>
      <c r="S173" s="59"/>
      <c r="T173" s="58"/>
      <c r="U173" s="59"/>
      <c r="V173" s="58"/>
      <c r="W173" s="59"/>
      <c r="X173" s="58"/>
      <c r="Y173" s="59"/>
      <c r="Z173" s="60" t="b">
        <v>0</v>
      </c>
      <c r="AA173" s="125">
        <f t="shared" ref="AA173:AA181" si="67">(J173*K173+L173*M173+N173*O173+P173*Q173+R173*S173+T173*U173+V173*W173+X173*Y173)*if(Z173=true,0.453592,1)</f>
        <v>275</v>
      </c>
      <c r="AB173" s="126">
        <f t="shared" ref="AB173:AB181" si="68">SUM(AE173*AF173*0.025,AE173)</f>
        <v>6.875</v>
      </c>
      <c r="AC173" s="127">
        <f t="shared" ref="AC173:AC181" si="69">AB173*87%</f>
        <v>5.98125</v>
      </c>
      <c r="AD173" s="128">
        <f t="shared" ref="AD173:AD181" si="70">AB173*67%</f>
        <v>4.60625</v>
      </c>
      <c r="AE173" s="126">
        <f t="shared" ref="AE173:AE181" si="71">MAX(J173,L173,N173,P173,R173,T173,V173,X173)*if(Z173=true,0.453592,1)</f>
        <v>5</v>
      </c>
      <c r="AF173" s="128">
        <f t="shared" ref="AF173:AF181" si="72">MAX(IF(J173*if(Z173=true,0.453592,1)=$AE173,K173,0),IF(L173*if(Z173=true,0.453592,1)=$AE173,M173,0),IF(N173*if(Z173=true,0.453592,1)=$AE173,O173,0),IF(P173*if(Z173=true,0.453592,1)=$AE173,Q173,0),IF(R173*if(Z173=true,0.453592,1)=$AE173,S173,0),IF(T173*if(Z173=true,0.453592,1)=$AE173,U173,0),IF(V173*if(Z173=true,0.453592,1)=$AE173,W173,0),IF(X173*if(Z173=true,0.453592,1)=$AE173,Y173,0))</f>
        <v>15</v>
      </c>
      <c r="AG173" s="1"/>
    </row>
    <row r="174" ht="21.0" customHeight="1">
      <c r="A174" s="1"/>
      <c r="B174" s="48" t="s">
        <v>36</v>
      </c>
      <c r="C174" s="49"/>
      <c r="D174" s="65"/>
      <c r="E174" s="66"/>
      <c r="F174" s="52" t="s">
        <v>37</v>
      </c>
      <c r="G174" s="67"/>
      <c r="H174" s="68" t="s">
        <v>105</v>
      </c>
      <c r="I174" s="69"/>
      <c r="J174" s="70">
        <v>2.0</v>
      </c>
      <c r="K174" s="71">
        <v>15.0</v>
      </c>
      <c r="L174" s="70">
        <v>2.0</v>
      </c>
      <c r="M174" s="71">
        <v>15.0</v>
      </c>
      <c r="N174" s="70">
        <v>2.0</v>
      </c>
      <c r="O174" s="71">
        <v>15.0</v>
      </c>
      <c r="P174" s="70">
        <v>2.0</v>
      </c>
      <c r="Q174" s="71">
        <v>15.0</v>
      </c>
      <c r="R174" s="72"/>
      <c r="S174" s="73"/>
      <c r="T174" s="72"/>
      <c r="U174" s="73"/>
      <c r="V174" s="72"/>
      <c r="W174" s="73"/>
      <c r="X174" s="72"/>
      <c r="Y174" s="73"/>
      <c r="Z174" s="74" t="b">
        <v>0</v>
      </c>
      <c r="AA174" s="130">
        <f t="shared" si="67"/>
        <v>120</v>
      </c>
      <c r="AB174" s="131">
        <f t="shared" si="68"/>
        <v>2.75</v>
      </c>
      <c r="AC174" s="132">
        <f t="shared" si="69"/>
        <v>2.3925</v>
      </c>
      <c r="AD174" s="133">
        <f t="shared" si="70"/>
        <v>1.8425</v>
      </c>
      <c r="AE174" s="131">
        <f t="shared" si="71"/>
        <v>2</v>
      </c>
      <c r="AF174" s="133">
        <f t="shared" si="72"/>
        <v>15</v>
      </c>
      <c r="AG174" s="1"/>
    </row>
    <row r="175" ht="21.0" customHeight="1">
      <c r="A175" s="1"/>
      <c r="B175" s="48" t="s">
        <v>39</v>
      </c>
      <c r="C175" s="49"/>
      <c r="D175" s="65"/>
      <c r="E175" s="41"/>
      <c r="F175" s="52" t="s">
        <v>40</v>
      </c>
      <c r="G175" s="79"/>
      <c r="H175" s="115" t="s">
        <v>55</v>
      </c>
      <c r="I175" s="69"/>
      <c r="J175" s="70">
        <v>5.0</v>
      </c>
      <c r="K175" s="71">
        <v>10.0</v>
      </c>
      <c r="L175" s="70">
        <v>5.0</v>
      </c>
      <c r="M175" s="71">
        <v>12.0</v>
      </c>
      <c r="N175" s="70">
        <v>5.0</v>
      </c>
      <c r="O175" s="71">
        <v>12.0</v>
      </c>
      <c r="P175" s="72"/>
      <c r="Q175" s="73"/>
      <c r="R175" s="72"/>
      <c r="S175" s="73"/>
      <c r="T175" s="72"/>
      <c r="U175" s="73"/>
      <c r="V175" s="72"/>
      <c r="W175" s="73"/>
      <c r="X175" s="72"/>
      <c r="Y175" s="73"/>
      <c r="Z175" s="74" t="b">
        <v>0</v>
      </c>
      <c r="AA175" s="130">
        <f t="shared" si="67"/>
        <v>170</v>
      </c>
      <c r="AB175" s="131">
        <f t="shared" si="68"/>
        <v>6.5</v>
      </c>
      <c r="AC175" s="132">
        <f t="shared" si="69"/>
        <v>5.655</v>
      </c>
      <c r="AD175" s="133">
        <f t="shared" si="70"/>
        <v>4.355</v>
      </c>
      <c r="AE175" s="131">
        <f t="shared" si="71"/>
        <v>5</v>
      </c>
      <c r="AF175" s="133">
        <f t="shared" si="72"/>
        <v>12</v>
      </c>
      <c r="AG175" s="1"/>
    </row>
    <row r="176" ht="21.0" customHeight="1">
      <c r="A176" s="1"/>
      <c r="B176" s="48" t="s">
        <v>41</v>
      </c>
      <c r="C176" s="81"/>
      <c r="D176" s="82" t="b">
        <v>0</v>
      </c>
      <c r="E176" s="51" t="s">
        <v>42</v>
      </c>
      <c r="F176" s="52" t="s">
        <v>34</v>
      </c>
      <c r="G176" s="83"/>
      <c r="H176" s="84"/>
      <c r="I176" s="85"/>
      <c r="J176" s="72"/>
      <c r="K176" s="73"/>
      <c r="L176" s="72"/>
      <c r="M176" s="73"/>
      <c r="N176" s="72"/>
      <c r="O176" s="73"/>
      <c r="P176" s="72"/>
      <c r="Q176" s="73"/>
      <c r="R176" s="72"/>
      <c r="S176" s="73"/>
      <c r="T176" s="72"/>
      <c r="U176" s="73"/>
      <c r="V176" s="72"/>
      <c r="W176" s="73"/>
      <c r="X176" s="72"/>
      <c r="Y176" s="73"/>
      <c r="Z176" s="74" t="b">
        <v>0</v>
      </c>
      <c r="AA176" s="130">
        <f t="shared" si="67"/>
        <v>0</v>
      </c>
      <c r="AB176" s="131">
        <f t="shared" si="68"/>
        <v>0</v>
      </c>
      <c r="AC176" s="132">
        <f t="shared" si="69"/>
        <v>0</v>
      </c>
      <c r="AD176" s="133">
        <f t="shared" si="70"/>
        <v>0</v>
      </c>
      <c r="AE176" s="131">
        <f t="shared" si="71"/>
        <v>0</v>
      </c>
      <c r="AF176" s="133">
        <f t="shared" si="72"/>
        <v>0</v>
      </c>
      <c r="AG176" s="1"/>
    </row>
    <row r="177" ht="21.0" customHeight="1">
      <c r="A177" s="1"/>
      <c r="B177" s="48" t="s">
        <v>43</v>
      </c>
      <c r="C177" s="49"/>
      <c r="D177" s="86" t="b">
        <v>0</v>
      </c>
      <c r="E177" s="66"/>
      <c r="F177" s="52" t="s">
        <v>37</v>
      </c>
      <c r="G177" s="67"/>
      <c r="H177" s="115" t="s">
        <v>87</v>
      </c>
      <c r="I177" s="69"/>
      <c r="J177" s="72"/>
      <c r="K177" s="71">
        <v>8.0</v>
      </c>
      <c r="L177" s="72"/>
      <c r="M177" s="71">
        <v>8.0</v>
      </c>
      <c r="N177" s="72"/>
      <c r="O177" s="71">
        <v>7.0</v>
      </c>
      <c r="P177" s="72"/>
      <c r="Q177" s="73"/>
      <c r="R177" s="72"/>
      <c r="S177" s="73"/>
      <c r="T177" s="72"/>
      <c r="U177" s="73"/>
      <c r="V177" s="72"/>
      <c r="W177" s="73"/>
      <c r="X177" s="72"/>
      <c r="Y177" s="73"/>
      <c r="Z177" s="74" t="b">
        <v>0</v>
      </c>
      <c r="AA177" s="130">
        <f t="shared" si="67"/>
        <v>0</v>
      </c>
      <c r="AB177" s="131">
        <f t="shared" si="68"/>
        <v>0</v>
      </c>
      <c r="AC177" s="132">
        <f t="shared" si="69"/>
        <v>0</v>
      </c>
      <c r="AD177" s="133">
        <f t="shared" si="70"/>
        <v>0</v>
      </c>
      <c r="AE177" s="131">
        <f t="shared" si="71"/>
        <v>0</v>
      </c>
      <c r="AF177" s="133">
        <f t="shared" si="72"/>
        <v>8</v>
      </c>
      <c r="AG177" s="1"/>
    </row>
    <row r="178" ht="21.0" customHeight="1">
      <c r="A178" s="1"/>
      <c r="B178" s="87" t="str">
        <f t="array" ref="B178">"📌최근 인바디 결과 : "&amp;text(xlookup(B170,'현황'!O:O,'현황'!O:O,,-1,-1),"m/d(ddd)")</f>
        <v>#REF!</v>
      </c>
      <c r="C178" s="88"/>
      <c r="D178" s="49"/>
      <c r="E178" s="41"/>
      <c r="F178" s="52" t="s">
        <v>40</v>
      </c>
      <c r="G178" s="79"/>
      <c r="H178" s="115" t="s">
        <v>70</v>
      </c>
      <c r="I178" s="69"/>
      <c r="J178" s="72"/>
      <c r="K178" s="71">
        <v>30.0</v>
      </c>
      <c r="L178" s="72"/>
      <c r="M178" s="71">
        <v>35.0</v>
      </c>
      <c r="N178" s="72"/>
      <c r="O178" s="73"/>
      <c r="P178" s="72"/>
      <c r="Q178" s="73"/>
      <c r="R178" s="72"/>
      <c r="S178" s="73"/>
      <c r="T178" s="72"/>
      <c r="U178" s="73"/>
      <c r="V178" s="72"/>
      <c r="W178" s="73"/>
      <c r="X178" s="72"/>
      <c r="Y178" s="73"/>
      <c r="Z178" s="74" t="b">
        <v>0</v>
      </c>
      <c r="AA178" s="130">
        <f t="shared" si="67"/>
        <v>0</v>
      </c>
      <c r="AB178" s="131">
        <f t="shared" si="68"/>
        <v>0</v>
      </c>
      <c r="AC178" s="132">
        <f t="shared" si="69"/>
        <v>0</v>
      </c>
      <c r="AD178" s="133">
        <f t="shared" si="70"/>
        <v>0</v>
      </c>
      <c r="AE178" s="131">
        <f t="shared" si="71"/>
        <v>0</v>
      </c>
      <c r="AF178" s="133">
        <f t="shared" si="72"/>
        <v>35</v>
      </c>
      <c r="AG178" s="1"/>
    </row>
    <row r="179" ht="21.0" customHeight="1">
      <c r="A179" s="1"/>
      <c r="B179" s="89" t="s">
        <v>44</v>
      </c>
      <c r="C179" s="49"/>
      <c r="D179" s="90">
        <f t="array" ref="D179">iferror(vlookup(xlookup(B170,'현황'!O:O,'현황'!O:O,,-1,-1),'현황'!O:S,2,false),0)</f>
        <v>0</v>
      </c>
      <c r="E179" s="51" t="s">
        <v>45</v>
      </c>
      <c r="F179" s="52" t="s">
        <v>34</v>
      </c>
      <c r="G179" s="83"/>
      <c r="H179" s="84"/>
      <c r="I179" s="85"/>
      <c r="J179" s="72"/>
      <c r="K179" s="73"/>
      <c r="L179" s="72"/>
      <c r="M179" s="73"/>
      <c r="N179" s="72"/>
      <c r="O179" s="73"/>
      <c r="P179" s="72"/>
      <c r="Q179" s="73"/>
      <c r="R179" s="72"/>
      <c r="S179" s="73"/>
      <c r="T179" s="72"/>
      <c r="U179" s="73"/>
      <c r="V179" s="72"/>
      <c r="W179" s="73"/>
      <c r="X179" s="72"/>
      <c r="Y179" s="73"/>
      <c r="Z179" s="74" t="b">
        <v>0</v>
      </c>
      <c r="AA179" s="130">
        <f t="shared" si="67"/>
        <v>0</v>
      </c>
      <c r="AB179" s="131">
        <f t="shared" si="68"/>
        <v>0</v>
      </c>
      <c r="AC179" s="132">
        <f t="shared" si="69"/>
        <v>0</v>
      </c>
      <c r="AD179" s="133">
        <f t="shared" si="70"/>
        <v>0</v>
      </c>
      <c r="AE179" s="131">
        <f t="shared" si="71"/>
        <v>0</v>
      </c>
      <c r="AF179" s="133">
        <f t="shared" si="72"/>
        <v>0</v>
      </c>
      <c r="AG179" s="1"/>
    </row>
    <row r="180" ht="21.0" customHeight="1">
      <c r="A180" s="1"/>
      <c r="B180" s="48" t="s">
        <v>46</v>
      </c>
      <c r="C180" s="49"/>
      <c r="D180" s="91">
        <f t="array" ref="D180">iferror(vlookup(xlookup(B170,'현황'!O:O,'현황'!O:O,,-1,-1),'현황'!O:S,3,false),0)</f>
        <v>0</v>
      </c>
      <c r="E180" s="66"/>
      <c r="F180" s="52" t="s">
        <v>37</v>
      </c>
      <c r="G180" s="67"/>
      <c r="H180" s="80"/>
      <c r="I180" s="69"/>
      <c r="J180" s="72"/>
      <c r="K180" s="73"/>
      <c r="L180" s="72"/>
      <c r="M180" s="73"/>
      <c r="N180" s="72"/>
      <c r="O180" s="73"/>
      <c r="P180" s="72"/>
      <c r="Q180" s="73"/>
      <c r="R180" s="72"/>
      <c r="S180" s="73"/>
      <c r="T180" s="72"/>
      <c r="U180" s="73"/>
      <c r="V180" s="72"/>
      <c r="W180" s="73"/>
      <c r="X180" s="72"/>
      <c r="Y180" s="73"/>
      <c r="Z180" s="74" t="b">
        <v>0</v>
      </c>
      <c r="AA180" s="130">
        <f t="shared" si="67"/>
        <v>0</v>
      </c>
      <c r="AB180" s="131">
        <f t="shared" si="68"/>
        <v>0</v>
      </c>
      <c r="AC180" s="132">
        <f t="shared" si="69"/>
        <v>0</v>
      </c>
      <c r="AD180" s="133">
        <f t="shared" si="70"/>
        <v>0</v>
      </c>
      <c r="AE180" s="131">
        <f t="shared" si="71"/>
        <v>0</v>
      </c>
      <c r="AF180" s="133">
        <f t="shared" si="72"/>
        <v>0</v>
      </c>
      <c r="AG180" s="1"/>
    </row>
    <row r="181" ht="21.0" customHeight="1">
      <c r="A181" s="1"/>
      <c r="B181" s="48" t="s">
        <v>47</v>
      </c>
      <c r="C181" s="49"/>
      <c r="D181" s="91">
        <f t="array" ref="D181">iferror(vlookup(xlookup(B170,'현황'!O:O,'현황'!O:O,,-1,-1),'현황'!O:S,4,false),0)</f>
        <v>0</v>
      </c>
      <c r="E181" s="41"/>
      <c r="F181" s="92" t="s">
        <v>40</v>
      </c>
      <c r="G181" s="79"/>
      <c r="H181" s="93"/>
      <c r="I181" s="94"/>
      <c r="J181" s="95"/>
      <c r="K181" s="96"/>
      <c r="L181" s="95"/>
      <c r="M181" s="96"/>
      <c r="N181" s="95"/>
      <c r="O181" s="96"/>
      <c r="P181" s="95"/>
      <c r="Q181" s="96"/>
      <c r="R181" s="95"/>
      <c r="S181" s="96"/>
      <c r="T181" s="95"/>
      <c r="U181" s="96"/>
      <c r="V181" s="95"/>
      <c r="W181" s="96"/>
      <c r="X181" s="95"/>
      <c r="Y181" s="96"/>
      <c r="Z181" s="97" t="b">
        <v>0</v>
      </c>
      <c r="AA181" s="135">
        <f t="shared" si="67"/>
        <v>0</v>
      </c>
      <c r="AB181" s="136">
        <f t="shared" si="68"/>
        <v>0</v>
      </c>
      <c r="AC181" s="137">
        <f t="shared" si="69"/>
        <v>0</v>
      </c>
      <c r="AD181" s="138">
        <f t="shared" si="70"/>
        <v>0</v>
      </c>
      <c r="AE181" s="136">
        <f t="shared" si="71"/>
        <v>0</v>
      </c>
      <c r="AF181" s="138">
        <f t="shared" si="72"/>
        <v>0</v>
      </c>
      <c r="AG181" s="1"/>
    </row>
    <row r="182" ht="21.0" customHeight="1">
      <c r="A182" s="1"/>
      <c r="B182" s="102" t="s">
        <v>48</v>
      </c>
      <c r="C182" s="103"/>
      <c r="D182" s="104">
        <f>iferror(D181/D179,0)</f>
        <v>0</v>
      </c>
      <c r="E182" s="102" t="s">
        <v>49</v>
      </c>
      <c r="F182" s="103"/>
      <c r="G182" s="105"/>
      <c r="H182" s="143" t="s">
        <v>50</v>
      </c>
      <c r="I182" s="144"/>
      <c r="J182" s="11"/>
      <c r="K182" s="11"/>
      <c r="L182" s="11"/>
      <c r="M182" s="11"/>
      <c r="N182" s="11"/>
      <c r="O182" s="11"/>
      <c r="P182" s="145" t="s">
        <v>51</v>
      </c>
      <c r="Q182" s="12"/>
      <c r="R182" s="146"/>
      <c r="S182" s="11"/>
      <c r="T182" s="11"/>
      <c r="U182" s="11"/>
      <c r="V182" s="11"/>
      <c r="W182" s="11"/>
      <c r="X182" s="11"/>
      <c r="Y182" s="11"/>
      <c r="Z182" s="12"/>
      <c r="AA182" s="139">
        <f>SUM(AA173:AA181)</f>
        <v>565</v>
      </c>
      <c r="AB182" s="140" t="s">
        <v>106</v>
      </c>
      <c r="AG182" s="1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1"/>
      <c r="AA183" s="1"/>
      <c r="AB183" s="1"/>
      <c r="AC183" s="3"/>
      <c r="AD183" s="1"/>
      <c r="AE183" s="1"/>
      <c r="AF183" s="1"/>
      <c r="AG183" s="1"/>
    </row>
    <row r="184" ht="21.0" customHeight="1">
      <c r="A184" s="1"/>
      <c r="B184" s="4" t="s">
        <v>1</v>
      </c>
      <c r="C184" s="5"/>
      <c r="D184" s="6" t="s">
        <v>2</v>
      </c>
      <c r="E184" s="7"/>
      <c r="F184" s="7"/>
      <c r="G184" s="5"/>
      <c r="H184" s="8" t="s">
        <v>3</v>
      </c>
      <c r="I184" s="8" t="s">
        <v>4</v>
      </c>
      <c r="J184" s="9" t="s">
        <v>5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5"/>
      <c r="AA184" s="117" t="s">
        <v>6</v>
      </c>
      <c r="AB184" s="11"/>
      <c r="AC184" s="11"/>
      <c r="AD184" s="11"/>
      <c r="AE184" s="11"/>
      <c r="AF184" s="12"/>
      <c r="AG184" s="1"/>
    </row>
    <row r="185" ht="21.0" customHeight="1">
      <c r="A185" s="1"/>
      <c r="B185" s="13">
        <v>46073.0</v>
      </c>
      <c r="C185" s="14" t="str">
        <f>if(B185="0/0","",choose(weekday(B185),"(일)","(월)","(화)","(수)","(목)","(금)","(토)"))</f>
        <v>(금)</v>
      </c>
      <c r="D185" s="15" t="s">
        <v>7</v>
      </c>
      <c r="E185" s="16" t="s">
        <v>8</v>
      </c>
      <c r="F185" s="17"/>
      <c r="G185" s="18" t="s">
        <v>9</v>
      </c>
      <c r="H185" s="19" t="s">
        <v>10</v>
      </c>
      <c r="I185" s="20" t="s">
        <v>59</v>
      </c>
      <c r="J185" s="21" t="s">
        <v>12</v>
      </c>
      <c r="K185" s="22"/>
      <c r="L185" s="21" t="s">
        <v>13</v>
      </c>
      <c r="M185" s="22"/>
      <c r="N185" s="21" t="s">
        <v>14</v>
      </c>
      <c r="O185" s="22"/>
      <c r="P185" s="21" t="s">
        <v>15</v>
      </c>
      <c r="Q185" s="22"/>
      <c r="R185" s="23" t="s">
        <v>16</v>
      </c>
      <c r="S185" s="22"/>
      <c r="T185" s="23" t="s">
        <v>17</v>
      </c>
      <c r="U185" s="22"/>
      <c r="V185" s="23" t="s">
        <v>18</v>
      </c>
      <c r="W185" s="22"/>
      <c r="X185" s="23" t="s">
        <v>19</v>
      </c>
      <c r="Y185" s="22"/>
      <c r="Z185" s="24" t="s">
        <v>107</v>
      </c>
      <c r="AA185" s="118" t="s">
        <v>21</v>
      </c>
      <c r="AB185" s="119" t="s">
        <v>22</v>
      </c>
      <c r="AC185" s="7"/>
      <c r="AD185" s="22"/>
      <c r="AE185" s="120" t="s">
        <v>23</v>
      </c>
      <c r="AF185" s="22"/>
      <c r="AG185" s="1"/>
    </row>
    <row r="186" ht="21.0" customHeight="1">
      <c r="A186" s="1"/>
      <c r="B186" s="27">
        <f>iferror(B185-'현황'!$C$4+1,0)</f>
        <v>0</v>
      </c>
      <c r="C186" s="28"/>
      <c r="D186" s="29">
        <v>0.0</v>
      </c>
      <c r="E186" s="30">
        <v>0.0</v>
      </c>
      <c r="F186" s="31"/>
      <c r="G186" s="32">
        <v>0.0</v>
      </c>
      <c r="H186" s="33">
        <v>0.0</v>
      </c>
      <c r="I186" s="34"/>
      <c r="J186" s="35"/>
      <c r="K186" s="36"/>
      <c r="L186" s="35"/>
      <c r="M186" s="36"/>
      <c r="N186" s="35"/>
      <c r="O186" s="36"/>
      <c r="P186" s="35"/>
      <c r="Q186" s="36"/>
      <c r="R186" s="35"/>
      <c r="S186" s="36"/>
      <c r="T186" s="35"/>
      <c r="U186" s="36"/>
      <c r="V186" s="35"/>
      <c r="W186" s="36"/>
      <c r="X186" s="35"/>
      <c r="Y186" s="36"/>
      <c r="Z186" s="37"/>
      <c r="AA186" s="37"/>
      <c r="AB186" s="35"/>
      <c r="AC186" s="38"/>
      <c r="AD186" s="36"/>
      <c r="AE186" s="35"/>
      <c r="AF186" s="36"/>
      <c r="AG186" s="1"/>
    </row>
    <row r="187" ht="21.0" customHeight="1">
      <c r="A187" s="1"/>
      <c r="B187" s="39" t="s">
        <v>24</v>
      </c>
      <c r="C187" s="40"/>
      <c r="D187" s="41"/>
      <c r="E187" s="42" t="s">
        <v>25</v>
      </c>
      <c r="F187" s="40"/>
      <c r="G187" s="41"/>
      <c r="H187" s="43" t="s">
        <v>26</v>
      </c>
      <c r="J187" s="44" t="s">
        <v>27</v>
      </c>
      <c r="K187" s="45" t="s">
        <v>28</v>
      </c>
      <c r="L187" s="44" t="s">
        <v>27</v>
      </c>
      <c r="M187" s="45" t="s">
        <v>28</v>
      </c>
      <c r="N187" s="44" t="s">
        <v>27</v>
      </c>
      <c r="O187" s="45" t="s">
        <v>28</v>
      </c>
      <c r="P187" s="44" t="s">
        <v>27</v>
      </c>
      <c r="Q187" s="45" t="s">
        <v>28</v>
      </c>
      <c r="R187" s="44" t="s">
        <v>27</v>
      </c>
      <c r="S187" s="45" t="s">
        <v>28</v>
      </c>
      <c r="T187" s="44" t="s">
        <v>27</v>
      </c>
      <c r="U187" s="45" t="s">
        <v>28</v>
      </c>
      <c r="V187" s="44" t="s">
        <v>27</v>
      </c>
      <c r="W187" s="45" t="s">
        <v>28</v>
      </c>
      <c r="X187" s="44" t="s">
        <v>27</v>
      </c>
      <c r="Y187" s="45" t="s">
        <v>28</v>
      </c>
      <c r="Z187" s="46"/>
      <c r="AA187" s="46"/>
      <c r="AB187" s="121" t="s">
        <v>29</v>
      </c>
      <c r="AC187" s="122" t="s">
        <v>30</v>
      </c>
      <c r="AD187" s="123" t="s">
        <v>31</v>
      </c>
      <c r="AE187" s="121" t="s">
        <v>27</v>
      </c>
      <c r="AF187" s="123" t="s">
        <v>28</v>
      </c>
      <c r="AG187" s="1"/>
    </row>
    <row r="188" ht="21.0" customHeight="1">
      <c r="A188" s="1"/>
      <c r="B188" s="48" t="s">
        <v>32</v>
      </c>
      <c r="C188" s="49"/>
      <c r="D188" s="50"/>
      <c r="E188" s="51" t="s">
        <v>33</v>
      </c>
      <c r="F188" s="52" t="s">
        <v>34</v>
      </c>
      <c r="G188" s="53"/>
      <c r="H188" s="54" t="s">
        <v>63</v>
      </c>
      <c r="I188" s="55"/>
      <c r="J188" s="56">
        <v>33.0</v>
      </c>
      <c r="K188" s="57">
        <v>15.0</v>
      </c>
      <c r="L188" s="56">
        <v>40.0</v>
      </c>
      <c r="M188" s="57">
        <v>15.0</v>
      </c>
      <c r="N188" s="56">
        <v>47.0</v>
      </c>
      <c r="O188" s="57">
        <v>15.0</v>
      </c>
      <c r="P188" s="58"/>
      <c r="Q188" s="59"/>
      <c r="R188" s="58"/>
      <c r="S188" s="59"/>
      <c r="T188" s="58"/>
      <c r="U188" s="59"/>
      <c r="V188" s="58"/>
      <c r="W188" s="59"/>
      <c r="X188" s="58"/>
      <c r="Y188" s="59"/>
      <c r="Z188" s="60" t="b">
        <v>0</v>
      </c>
      <c r="AA188" s="125">
        <f t="shared" ref="AA188:AA196" si="73">(J188*K188+L188*M188+N188*O188+P188*Q188+R188*S188+T188*U188+V188*W188+X188*Y188)*if(Z188=true,0.453592,1)</f>
        <v>1800</v>
      </c>
      <c r="AB188" s="126">
        <f t="shared" ref="AB188:AB196" si="74">SUM(AE188*AF188*0.025,AE188)</f>
        <v>64.625</v>
      </c>
      <c r="AC188" s="127">
        <f t="shared" ref="AC188:AC196" si="75">AB188*87%</f>
        <v>56.22375</v>
      </c>
      <c r="AD188" s="128">
        <f t="shared" ref="AD188:AD196" si="76">AB188*67%</f>
        <v>43.29875</v>
      </c>
      <c r="AE188" s="126">
        <f t="shared" ref="AE188:AE196" si="77">MAX(J188,L188,N188,P188,R188,T188,V188,X188)*if(Z188=true,0.453592,1)</f>
        <v>47</v>
      </c>
      <c r="AF188" s="128">
        <f t="shared" ref="AF188:AF196" si="78">MAX(IF(J188*if(Z188=true,0.453592,1)=$AE188,K188,0),IF(L188*if(Z188=true,0.453592,1)=$AE188,M188,0),IF(N188*if(Z188=true,0.453592,1)=$AE188,O188,0),IF(P188*if(Z188=true,0.453592,1)=$AE188,Q188,0),IF(R188*if(Z188=true,0.453592,1)=$AE188,S188,0),IF(T188*if(Z188=true,0.453592,1)=$AE188,U188,0),IF(V188*if(Z188=true,0.453592,1)=$AE188,W188,0),IF(X188*if(Z188=true,0.453592,1)=$AE188,Y188,0))</f>
        <v>15</v>
      </c>
      <c r="AG188" s="1"/>
    </row>
    <row r="189" ht="21.0" customHeight="1">
      <c r="A189" s="1"/>
      <c r="B189" s="48" t="s">
        <v>36</v>
      </c>
      <c r="C189" s="49"/>
      <c r="D189" s="65"/>
      <c r="E189" s="66"/>
      <c r="F189" s="52" t="s">
        <v>37</v>
      </c>
      <c r="G189" s="67"/>
      <c r="H189" s="68" t="s">
        <v>62</v>
      </c>
      <c r="I189" s="69"/>
      <c r="J189" s="70">
        <v>8.0</v>
      </c>
      <c r="K189" s="71">
        <v>15.0</v>
      </c>
      <c r="L189" s="70">
        <v>8.0</v>
      </c>
      <c r="M189" s="71">
        <v>12.0</v>
      </c>
      <c r="N189" s="70">
        <v>10.0</v>
      </c>
      <c r="O189" s="71">
        <v>12.0</v>
      </c>
      <c r="P189" s="70">
        <v>10.0</v>
      </c>
      <c r="Q189" s="71">
        <v>13.0</v>
      </c>
      <c r="R189" s="72"/>
      <c r="S189" s="73"/>
      <c r="T189" s="72"/>
      <c r="U189" s="73"/>
      <c r="V189" s="72"/>
      <c r="W189" s="73"/>
      <c r="X189" s="72"/>
      <c r="Y189" s="73"/>
      <c r="Z189" s="74" t="b">
        <v>0</v>
      </c>
      <c r="AA189" s="130">
        <f t="shared" si="73"/>
        <v>466</v>
      </c>
      <c r="AB189" s="131">
        <f t="shared" si="74"/>
        <v>13.25</v>
      </c>
      <c r="AC189" s="132">
        <f t="shared" si="75"/>
        <v>11.5275</v>
      </c>
      <c r="AD189" s="133">
        <f t="shared" si="76"/>
        <v>8.8775</v>
      </c>
      <c r="AE189" s="131">
        <f t="shared" si="77"/>
        <v>10</v>
      </c>
      <c r="AF189" s="133">
        <f t="shared" si="78"/>
        <v>13</v>
      </c>
      <c r="AG189" s="1"/>
    </row>
    <row r="190" ht="21.0" customHeight="1">
      <c r="A190" s="1"/>
      <c r="B190" s="48" t="s">
        <v>39</v>
      </c>
      <c r="C190" s="49"/>
      <c r="D190" s="65"/>
      <c r="E190" s="41"/>
      <c r="F190" s="52" t="s">
        <v>40</v>
      </c>
      <c r="G190" s="79"/>
      <c r="H190" s="115" t="s">
        <v>108</v>
      </c>
      <c r="I190" s="69"/>
      <c r="J190" s="70">
        <v>0.0</v>
      </c>
      <c r="K190" s="71">
        <v>5.0</v>
      </c>
      <c r="L190" s="70">
        <v>0.0</v>
      </c>
      <c r="M190" s="71">
        <v>10.0</v>
      </c>
      <c r="N190" s="70">
        <v>0.0</v>
      </c>
      <c r="O190" s="71">
        <v>10.0</v>
      </c>
      <c r="P190" s="70">
        <v>0.0</v>
      </c>
      <c r="Q190" s="71">
        <v>10.0</v>
      </c>
      <c r="R190" s="72"/>
      <c r="S190" s="73"/>
      <c r="T190" s="72"/>
      <c r="U190" s="73"/>
      <c r="V190" s="72"/>
      <c r="W190" s="73"/>
      <c r="X190" s="72"/>
      <c r="Y190" s="73"/>
      <c r="Z190" s="74" t="b">
        <v>0</v>
      </c>
      <c r="AA190" s="130">
        <f t="shared" si="73"/>
        <v>0</v>
      </c>
      <c r="AB190" s="131">
        <f t="shared" si="74"/>
        <v>0</v>
      </c>
      <c r="AC190" s="132">
        <f t="shared" si="75"/>
        <v>0</v>
      </c>
      <c r="AD190" s="133">
        <f t="shared" si="76"/>
        <v>0</v>
      </c>
      <c r="AE190" s="131">
        <f t="shared" si="77"/>
        <v>0</v>
      </c>
      <c r="AF190" s="133">
        <f t="shared" si="78"/>
        <v>10</v>
      </c>
      <c r="AG190" s="1"/>
    </row>
    <row r="191" ht="21.0" customHeight="1">
      <c r="A191" s="1"/>
      <c r="B191" s="48" t="s">
        <v>41</v>
      </c>
      <c r="C191" s="81"/>
      <c r="D191" s="82" t="b">
        <v>0</v>
      </c>
      <c r="E191" s="51" t="s">
        <v>42</v>
      </c>
      <c r="F191" s="52" t="s">
        <v>34</v>
      </c>
      <c r="G191" s="83"/>
      <c r="H191" s="142" t="s">
        <v>86</v>
      </c>
      <c r="I191" s="85"/>
      <c r="J191" s="70">
        <v>40.0</v>
      </c>
      <c r="K191" s="71">
        <v>15.0</v>
      </c>
      <c r="L191" s="70">
        <v>47.0</v>
      </c>
      <c r="M191" s="71">
        <v>15.0</v>
      </c>
      <c r="N191" s="70">
        <v>47.0</v>
      </c>
      <c r="O191" s="71">
        <v>12.0</v>
      </c>
      <c r="P191" s="70">
        <v>47.0</v>
      </c>
      <c r="Q191" s="71">
        <v>12.0</v>
      </c>
      <c r="R191" s="72"/>
      <c r="S191" s="73"/>
      <c r="T191" s="72"/>
      <c r="U191" s="73"/>
      <c r="V191" s="72"/>
      <c r="W191" s="73"/>
      <c r="X191" s="72"/>
      <c r="Y191" s="73"/>
      <c r="Z191" s="74" t="b">
        <v>0</v>
      </c>
      <c r="AA191" s="130">
        <f t="shared" si="73"/>
        <v>2433</v>
      </c>
      <c r="AB191" s="131">
        <f t="shared" si="74"/>
        <v>64.625</v>
      </c>
      <c r="AC191" s="132">
        <f t="shared" si="75"/>
        <v>56.22375</v>
      </c>
      <c r="AD191" s="133">
        <f t="shared" si="76"/>
        <v>43.29875</v>
      </c>
      <c r="AE191" s="131">
        <f t="shared" si="77"/>
        <v>47</v>
      </c>
      <c r="AF191" s="133">
        <f t="shared" si="78"/>
        <v>15</v>
      </c>
      <c r="AG191" s="1"/>
    </row>
    <row r="192" ht="21.0" customHeight="1">
      <c r="A192" s="1"/>
      <c r="B192" s="48" t="s">
        <v>43</v>
      </c>
      <c r="C192" s="49"/>
      <c r="D192" s="86" t="b">
        <v>0</v>
      </c>
      <c r="E192" s="66"/>
      <c r="F192" s="52" t="s">
        <v>37</v>
      </c>
      <c r="G192" s="67"/>
      <c r="H192" s="80"/>
      <c r="I192" s="69"/>
      <c r="J192" s="72"/>
      <c r="K192" s="73"/>
      <c r="L192" s="72"/>
      <c r="M192" s="73"/>
      <c r="N192" s="72"/>
      <c r="O192" s="73"/>
      <c r="P192" s="72"/>
      <c r="Q192" s="73"/>
      <c r="R192" s="72"/>
      <c r="S192" s="73"/>
      <c r="T192" s="72"/>
      <c r="U192" s="73"/>
      <c r="V192" s="72"/>
      <c r="W192" s="73"/>
      <c r="X192" s="72"/>
      <c r="Y192" s="73"/>
      <c r="Z192" s="74" t="b">
        <v>0</v>
      </c>
      <c r="AA192" s="130">
        <f t="shared" si="73"/>
        <v>0</v>
      </c>
      <c r="AB192" s="131">
        <f t="shared" si="74"/>
        <v>0</v>
      </c>
      <c r="AC192" s="132">
        <f t="shared" si="75"/>
        <v>0</v>
      </c>
      <c r="AD192" s="133">
        <f t="shared" si="76"/>
        <v>0</v>
      </c>
      <c r="AE192" s="131">
        <f t="shared" si="77"/>
        <v>0</v>
      </c>
      <c r="AF192" s="133">
        <f t="shared" si="78"/>
        <v>0</v>
      </c>
      <c r="AG192" s="1"/>
    </row>
    <row r="193" ht="21.0" customHeight="1">
      <c r="A193" s="1"/>
      <c r="B193" s="87" t="str">
        <f t="array" ref="B193">"📌최근 인바디 결과 : "&amp;text(xlookup(B185,'현황'!O:O,'현황'!O:O,,-1,-1),"m/d(ddd)")</f>
        <v>#REF!</v>
      </c>
      <c r="C193" s="88"/>
      <c r="D193" s="49"/>
      <c r="E193" s="41"/>
      <c r="F193" s="52" t="s">
        <v>40</v>
      </c>
      <c r="G193" s="79"/>
      <c r="H193" s="80"/>
      <c r="I193" s="69"/>
      <c r="J193" s="72"/>
      <c r="K193" s="73"/>
      <c r="L193" s="72"/>
      <c r="M193" s="73"/>
      <c r="N193" s="72"/>
      <c r="O193" s="73"/>
      <c r="P193" s="72"/>
      <c r="Q193" s="73"/>
      <c r="R193" s="72"/>
      <c r="S193" s="73"/>
      <c r="T193" s="72"/>
      <c r="U193" s="73"/>
      <c r="V193" s="72"/>
      <c r="W193" s="73"/>
      <c r="X193" s="72"/>
      <c r="Y193" s="73"/>
      <c r="Z193" s="74" t="b">
        <v>0</v>
      </c>
      <c r="AA193" s="130">
        <f t="shared" si="73"/>
        <v>0</v>
      </c>
      <c r="AB193" s="131">
        <f t="shared" si="74"/>
        <v>0</v>
      </c>
      <c r="AC193" s="132">
        <f t="shared" si="75"/>
        <v>0</v>
      </c>
      <c r="AD193" s="133">
        <f t="shared" si="76"/>
        <v>0</v>
      </c>
      <c r="AE193" s="131">
        <f t="shared" si="77"/>
        <v>0</v>
      </c>
      <c r="AF193" s="133">
        <f t="shared" si="78"/>
        <v>0</v>
      </c>
      <c r="AG193" s="1"/>
    </row>
    <row r="194" ht="21.0" customHeight="1">
      <c r="A194" s="1"/>
      <c r="B194" s="89" t="s">
        <v>44</v>
      </c>
      <c r="C194" s="49"/>
      <c r="D194" s="90">
        <f t="array" ref="D194">iferror(vlookup(xlookup(B185,'현황'!O:O,'현황'!O:O,,-1,-1),'현황'!O:S,2,false),0)</f>
        <v>0</v>
      </c>
      <c r="E194" s="51" t="s">
        <v>45</v>
      </c>
      <c r="F194" s="52" t="s">
        <v>34</v>
      </c>
      <c r="G194" s="83"/>
      <c r="H194" s="84"/>
      <c r="I194" s="85"/>
      <c r="J194" s="72"/>
      <c r="K194" s="73"/>
      <c r="L194" s="72"/>
      <c r="M194" s="73"/>
      <c r="N194" s="72"/>
      <c r="O194" s="73"/>
      <c r="P194" s="72"/>
      <c r="Q194" s="73"/>
      <c r="R194" s="72"/>
      <c r="S194" s="73"/>
      <c r="T194" s="72"/>
      <c r="U194" s="73"/>
      <c r="V194" s="72"/>
      <c r="W194" s="73"/>
      <c r="X194" s="72"/>
      <c r="Y194" s="73"/>
      <c r="Z194" s="74" t="b">
        <v>0</v>
      </c>
      <c r="AA194" s="130">
        <f t="shared" si="73"/>
        <v>0</v>
      </c>
      <c r="AB194" s="131">
        <f t="shared" si="74"/>
        <v>0</v>
      </c>
      <c r="AC194" s="132">
        <f t="shared" si="75"/>
        <v>0</v>
      </c>
      <c r="AD194" s="133">
        <f t="shared" si="76"/>
        <v>0</v>
      </c>
      <c r="AE194" s="131">
        <f t="shared" si="77"/>
        <v>0</v>
      </c>
      <c r="AF194" s="133">
        <f t="shared" si="78"/>
        <v>0</v>
      </c>
      <c r="AG194" s="1"/>
    </row>
    <row r="195" ht="21.0" customHeight="1">
      <c r="A195" s="1"/>
      <c r="B195" s="48" t="s">
        <v>46</v>
      </c>
      <c r="C195" s="49"/>
      <c r="D195" s="91">
        <f t="array" ref="D195">iferror(vlookup(xlookup(B185,'현황'!O:O,'현황'!O:O,,-1,-1),'현황'!O:S,3,false),0)</f>
        <v>0</v>
      </c>
      <c r="E195" s="66"/>
      <c r="F195" s="52" t="s">
        <v>37</v>
      </c>
      <c r="G195" s="67"/>
      <c r="H195" s="80"/>
      <c r="I195" s="69"/>
      <c r="J195" s="72"/>
      <c r="K195" s="73"/>
      <c r="L195" s="72"/>
      <c r="M195" s="73"/>
      <c r="N195" s="72"/>
      <c r="O195" s="73"/>
      <c r="P195" s="72"/>
      <c r="Q195" s="73"/>
      <c r="R195" s="72"/>
      <c r="S195" s="73"/>
      <c r="T195" s="72"/>
      <c r="U195" s="73"/>
      <c r="V195" s="72"/>
      <c r="W195" s="73"/>
      <c r="X195" s="72"/>
      <c r="Y195" s="73"/>
      <c r="Z195" s="74" t="b">
        <v>0</v>
      </c>
      <c r="AA195" s="130">
        <f t="shared" si="73"/>
        <v>0</v>
      </c>
      <c r="AB195" s="131">
        <f t="shared" si="74"/>
        <v>0</v>
      </c>
      <c r="AC195" s="132">
        <f t="shared" si="75"/>
        <v>0</v>
      </c>
      <c r="AD195" s="133">
        <f t="shared" si="76"/>
        <v>0</v>
      </c>
      <c r="AE195" s="131">
        <f t="shared" si="77"/>
        <v>0</v>
      </c>
      <c r="AF195" s="133">
        <f t="shared" si="78"/>
        <v>0</v>
      </c>
      <c r="AG195" s="1"/>
    </row>
    <row r="196" ht="21.0" customHeight="1">
      <c r="A196" s="1"/>
      <c r="B196" s="48" t="s">
        <v>47</v>
      </c>
      <c r="C196" s="49"/>
      <c r="D196" s="91">
        <f t="array" ref="D196">iferror(vlookup(xlookup(B185,'현황'!O:O,'현황'!O:O,,-1,-1),'현황'!O:S,4,false),0)</f>
        <v>0</v>
      </c>
      <c r="E196" s="41"/>
      <c r="F196" s="92" t="s">
        <v>40</v>
      </c>
      <c r="G196" s="79"/>
      <c r="H196" s="93"/>
      <c r="I196" s="94"/>
      <c r="J196" s="95"/>
      <c r="K196" s="96"/>
      <c r="L196" s="95"/>
      <c r="M196" s="96"/>
      <c r="N196" s="95"/>
      <c r="O196" s="96"/>
      <c r="P196" s="95"/>
      <c r="Q196" s="96"/>
      <c r="R196" s="95"/>
      <c r="S196" s="96"/>
      <c r="T196" s="95"/>
      <c r="U196" s="96"/>
      <c r="V196" s="95"/>
      <c r="W196" s="96"/>
      <c r="X196" s="95"/>
      <c r="Y196" s="96"/>
      <c r="Z196" s="97" t="b">
        <v>0</v>
      </c>
      <c r="AA196" s="135">
        <f t="shared" si="73"/>
        <v>0</v>
      </c>
      <c r="AB196" s="136">
        <f t="shared" si="74"/>
        <v>0</v>
      </c>
      <c r="AC196" s="137">
        <f t="shared" si="75"/>
        <v>0</v>
      </c>
      <c r="AD196" s="138">
        <f t="shared" si="76"/>
        <v>0</v>
      </c>
      <c r="AE196" s="136">
        <f t="shared" si="77"/>
        <v>0</v>
      </c>
      <c r="AF196" s="138">
        <f t="shared" si="78"/>
        <v>0</v>
      </c>
      <c r="AG196" s="1"/>
    </row>
    <row r="197" ht="21.0" customHeight="1">
      <c r="A197" s="1"/>
      <c r="B197" s="102" t="s">
        <v>48</v>
      </c>
      <c r="C197" s="103"/>
      <c r="D197" s="104">
        <f>iferror(D196/D194,0)</f>
        <v>0</v>
      </c>
      <c r="E197" s="102" t="s">
        <v>49</v>
      </c>
      <c r="F197" s="103"/>
      <c r="G197" s="105"/>
      <c r="H197" s="106" t="s">
        <v>50</v>
      </c>
      <c r="I197" s="107"/>
      <c r="J197" s="11"/>
      <c r="K197" s="11"/>
      <c r="L197" s="11"/>
      <c r="M197" s="11"/>
      <c r="N197" s="11"/>
      <c r="O197" s="11"/>
      <c r="P197" s="108" t="s">
        <v>51</v>
      </c>
      <c r="Q197" s="12"/>
      <c r="R197" s="109"/>
      <c r="S197" s="11"/>
      <c r="T197" s="11"/>
      <c r="U197" s="11"/>
      <c r="V197" s="11"/>
      <c r="W197" s="11"/>
      <c r="X197" s="11"/>
      <c r="Y197" s="11"/>
      <c r="Z197" s="12"/>
      <c r="AA197" s="139">
        <f>SUM(AA188:AA196)</f>
        <v>4699</v>
      </c>
      <c r="AB197" s="140" t="s">
        <v>109</v>
      </c>
      <c r="AG197" s="1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1"/>
      <c r="AA198" s="1"/>
      <c r="AB198" s="1"/>
      <c r="AC198" s="3"/>
      <c r="AD198" s="1"/>
      <c r="AE198" s="1"/>
      <c r="AF198" s="1"/>
      <c r="AG198" s="1"/>
    </row>
    <row r="199" ht="21.0" customHeight="1">
      <c r="A199" s="1"/>
      <c r="B199" s="4" t="s">
        <v>1</v>
      </c>
      <c r="C199" s="5"/>
      <c r="D199" s="6" t="s">
        <v>2</v>
      </c>
      <c r="E199" s="7"/>
      <c r="F199" s="7"/>
      <c r="G199" s="5"/>
      <c r="H199" s="8" t="s">
        <v>3</v>
      </c>
      <c r="I199" s="8" t="s">
        <v>4</v>
      </c>
      <c r="J199" s="9" t="s">
        <v>5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5"/>
      <c r="AA199" s="117" t="s">
        <v>6</v>
      </c>
      <c r="AB199" s="11"/>
      <c r="AC199" s="11"/>
      <c r="AD199" s="11"/>
      <c r="AE199" s="11"/>
      <c r="AF199" s="12"/>
      <c r="AG199" s="1"/>
    </row>
    <row r="200" ht="21.0" customHeight="1">
      <c r="A200" s="1"/>
      <c r="B200" s="13">
        <v>46078.0</v>
      </c>
      <c r="C200" s="14" t="str">
        <f>if(B200="0/0","",choose(weekday(B200),"(일)","(월)","(화)","(수)","(목)","(금)","(토)"))</f>
        <v>(수)</v>
      </c>
      <c r="D200" s="15" t="s">
        <v>7</v>
      </c>
      <c r="E200" s="16" t="s">
        <v>8</v>
      </c>
      <c r="F200" s="17"/>
      <c r="G200" s="18" t="s">
        <v>9</v>
      </c>
      <c r="H200" s="19" t="s">
        <v>10</v>
      </c>
      <c r="I200" s="20" t="s">
        <v>110</v>
      </c>
      <c r="J200" s="21" t="s">
        <v>12</v>
      </c>
      <c r="K200" s="22"/>
      <c r="L200" s="21" t="s">
        <v>13</v>
      </c>
      <c r="M200" s="22"/>
      <c r="N200" s="21" t="s">
        <v>14</v>
      </c>
      <c r="O200" s="22"/>
      <c r="P200" s="21" t="s">
        <v>15</v>
      </c>
      <c r="Q200" s="22"/>
      <c r="R200" s="23" t="s">
        <v>16</v>
      </c>
      <c r="S200" s="22"/>
      <c r="T200" s="23" t="s">
        <v>17</v>
      </c>
      <c r="U200" s="22"/>
      <c r="V200" s="23" t="s">
        <v>18</v>
      </c>
      <c r="W200" s="22"/>
      <c r="X200" s="23" t="s">
        <v>19</v>
      </c>
      <c r="Y200" s="22"/>
      <c r="Z200" s="24" t="s">
        <v>111</v>
      </c>
      <c r="AA200" s="118" t="s">
        <v>21</v>
      </c>
      <c r="AB200" s="119" t="s">
        <v>22</v>
      </c>
      <c r="AC200" s="7"/>
      <c r="AD200" s="22"/>
      <c r="AE200" s="120" t="s">
        <v>23</v>
      </c>
      <c r="AF200" s="22"/>
      <c r="AG200" s="1"/>
    </row>
    <row r="201" ht="21.0" customHeight="1">
      <c r="A201" s="1"/>
      <c r="B201" s="27">
        <f>iferror(B200-'현황'!$C$4+1,0)</f>
        <v>0</v>
      </c>
      <c r="C201" s="28"/>
      <c r="D201" s="29">
        <v>0.0</v>
      </c>
      <c r="E201" s="30">
        <v>0.0</v>
      </c>
      <c r="F201" s="31"/>
      <c r="G201" s="32">
        <v>0.0</v>
      </c>
      <c r="H201" s="33">
        <v>0.0</v>
      </c>
      <c r="I201" s="34"/>
      <c r="J201" s="35"/>
      <c r="K201" s="36"/>
      <c r="L201" s="35"/>
      <c r="M201" s="36"/>
      <c r="N201" s="35"/>
      <c r="O201" s="36"/>
      <c r="P201" s="35"/>
      <c r="Q201" s="36"/>
      <c r="R201" s="35"/>
      <c r="S201" s="36"/>
      <c r="T201" s="35"/>
      <c r="U201" s="36"/>
      <c r="V201" s="35"/>
      <c r="W201" s="36"/>
      <c r="X201" s="35"/>
      <c r="Y201" s="36"/>
      <c r="Z201" s="37"/>
      <c r="AA201" s="37"/>
      <c r="AB201" s="35"/>
      <c r="AC201" s="38"/>
      <c r="AD201" s="36"/>
      <c r="AE201" s="35"/>
      <c r="AF201" s="36"/>
      <c r="AG201" s="1"/>
    </row>
    <row r="202" ht="21.0" customHeight="1">
      <c r="A202" s="1"/>
      <c r="B202" s="39" t="s">
        <v>24</v>
      </c>
      <c r="C202" s="40"/>
      <c r="D202" s="41"/>
      <c r="E202" s="42" t="s">
        <v>25</v>
      </c>
      <c r="F202" s="40"/>
      <c r="G202" s="41"/>
      <c r="H202" s="43" t="s">
        <v>26</v>
      </c>
      <c r="J202" s="44" t="s">
        <v>27</v>
      </c>
      <c r="K202" s="45" t="s">
        <v>28</v>
      </c>
      <c r="L202" s="44" t="s">
        <v>27</v>
      </c>
      <c r="M202" s="45" t="s">
        <v>28</v>
      </c>
      <c r="N202" s="44" t="s">
        <v>27</v>
      </c>
      <c r="O202" s="45" t="s">
        <v>28</v>
      </c>
      <c r="P202" s="44" t="s">
        <v>27</v>
      </c>
      <c r="Q202" s="45" t="s">
        <v>28</v>
      </c>
      <c r="R202" s="44" t="s">
        <v>27</v>
      </c>
      <c r="S202" s="45" t="s">
        <v>28</v>
      </c>
      <c r="T202" s="44" t="s">
        <v>27</v>
      </c>
      <c r="U202" s="45" t="s">
        <v>28</v>
      </c>
      <c r="V202" s="44" t="s">
        <v>27</v>
      </c>
      <c r="W202" s="45" t="s">
        <v>28</v>
      </c>
      <c r="X202" s="44" t="s">
        <v>27</v>
      </c>
      <c r="Y202" s="45" t="s">
        <v>28</v>
      </c>
      <c r="Z202" s="46"/>
      <c r="AA202" s="46"/>
      <c r="AB202" s="121" t="s">
        <v>29</v>
      </c>
      <c r="AC202" s="122" t="s">
        <v>30</v>
      </c>
      <c r="AD202" s="123" t="s">
        <v>31</v>
      </c>
      <c r="AE202" s="121" t="s">
        <v>27</v>
      </c>
      <c r="AF202" s="123" t="s">
        <v>28</v>
      </c>
      <c r="AG202" s="1"/>
    </row>
    <row r="203" ht="21.0" customHeight="1">
      <c r="A203" s="1"/>
      <c r="B203" s="48" t="s">
        <v>32</v>
      </c>
      <c r="C203" s="49"/>
      <c r="D203" s="50"/>
      <c r="E203" s="51" t="s">
        <v>33</v>
      </c>
      <c r="F203" s="52" t="s">
        <v>34</v>
      </c>
      <c r="G203" s="53"/>
      <c r="H203" s="54" t="s">
        <v>112</v>
      </c>
      <c r="I203" s="55"/>
      <c r="J203" s="56">
        <v>2.0</v>
      </c>
      <c r="K203" s="57">
        <v>15.0</v>
      </c>
      <c r="L203" s="56">
        <v>2.0</v>
      </c>
      <c r="M203" s="57">
        <v>15.0</v>
      </c>
      <c r="N203" s="56">
        <v>2.0</v>
      </c>
      <c r="O203" s="57">
        <v>12.0</v>
      </c>
      <c r="P203" s="56">
        <v>2.0</v>
      </c>
      <c r="Q203" s="57">
        <v>15.0</v>
      </c>
      <c r="R203" s="58"/>
      <c r="S203" s="59"/>
      <c r="T203" s="58"/>
      <c r="U203" s="59"/>
      <c r="V203" s="58"/>
      <c r="W203" s="59"/>
      <c r="X203" s="58"/>
      <c r="Y203" s="59"/>
      <c r="Z203" s="60" t="b">
        <v>0</v>
      </c>
      <c r="AA203" s="125">
        <f t="shared" ref="AA203:AA211" si="79">(J203*K203+L203*M203+N203*O203+P203*Q203+R203*S203+T203*U203+V203*W203+X203*Y203)*if(Z203=true,0.453592,1)</f>
        <v>114</v>
      </c>
      <c r="AB203" s="126">
        <f t="shared" ref="AB203:AB211" si="80">SUM(AE203*AF203*0.025,AE203)</f>
        <v>2.75</v>
      </c>
      <c r="AC203" s="127">
        <f t="shared" ref="AC203:AC211" si="81">AB203*87%</f>
        <v>2.3925</v>
      </c>
      <c r="AD203" s="128">
        <f t="shared" ref="AD203:AD211" si="82">AB203*67%</f>
        <v>1.8425</v>
      </c>
      <c r="AE203" s="126">
        <f t="shared" ref="AE203:AE211" si="83">MAX(J203,L203,N203,P203,R203,T203,V203,X203)*if(Z203=true,0.453592,1)</f>
        <v>2</v>
      </c>
      <c r="AF203" s="128">
        <f t="shared" ref="AF203:AF211" si="84">MAX(IF(J203*if(Z203=true,0.453592,1)=$AE203,K203,0),IF(L203*if(Z203=true,0.453592,1)=$AE203,M203,0),IF(N203*if(Z203=true,0.453592,1)=$AE203,O203,0),IF(P203*if(Z203=true,0.453592,1)=$AE203,Q203,0),IF(R203*if(Z203=true,0.453592,1)=$AE203,S203,0),IF(T203*if(Z203=true,0.453592,1)=$AE203,U203,0),IF(V203*if(Z203=true,0.453592,1)=$AE203,W203,0),IF(X203*if(Z203=true,0.453592,1)=$AE203,Y203,0))</f>
        <v>15</v>
      </c>
      <c r="AG203" s="1"/>
    </row>
    <row r="204" ht="21.0" customHeight="1">
      <c r="A204" s="1"/>
      <c r="B204" s="48" t="s">
        <v>36</v>
      </c>
      <c r="C204" s="49"/>
      <c r="D204" s="65"/>
      <c r="E204" s="66"/>
      <c r="F204" s="52" t="s">
        <v>37</v>
      </c>
      <c r="G204" s="67"/>
      <c r="H204" s="68" t="s">
        <v>113</v>
      </c>
      <c r="I204" s="69"/>
      <c r="J204" s="70">
        <v>1.0</v>
      </c>
      <c r="K204" s="71">
        <v>12.0</v>
      </c>
      <c r="L204" s="70">
        <v>1.0</v>
      </c>
      <c r="M204" s="71">
        <v>12.0</v>
      </c>
      <c r="N204" s="70">
        <v>1.0</v>
      </c>
      <c r="O204" s="71">
        <v>15.0</v>
      </c>
      <c r="P204" s="70">
        <v>1.0</v>
      </c>
      <c r="Q204" s="71">
        <v>12.0</v>
      </c>
      <c r="R204" s="72"/>
      <c r="S204" s="73"/>
      <c r="T204" s="72"/>
      <c r="U204" s="73"/>
      <c r="V204" s="72"/>
      <c r="W204" s="73"/>
      <c r="X204" s="72"/>
      <c r="Y204" s="73"/>
      <c r="Z204" s="74" t="b">
        <v>0</v>
      </c>
      <c r="AA204" s="130">
        <f t="shared" si="79"/>
        <v>51</v>
      </c>
      <c r="AB204" s="131">
        <f t="shared" si="80"/>
        <v>1.375</v>
      </c>
      <c r="AC204" s="132">
        <f t="shared" si="81"/>
        <v>1.19625</v>
      </c>
      <c r="AD204" s="133">
        <f t="shared" si="82"/>
        <v>0.92125</v>
      </c>
      <c r="AE204" s="131">
        <f t="shared" si="83"/>
        <v>1</v>
      </c>
      <c r="AF204" s="133">
        <f t="shared" si="84"/>
        <v>15</v>
      </c>
      <c r="AG204" s="1"/>
    </row>
    <row r="205" ht="21.0" customHeight="1">
      <c r="A205" s="1"/>
      <c r="B205" s="48" t="s">
        <v>39</v>
      </c>
      <c r="C205" s="49"/>
      <c r="D205" s="65"/>
      <c r="E205" s="41"/>
      <c r="F205" s="52" t="s">
        <v>40</v>
      </c>
      <c r="G205" s="79"/>
      <c r="H205" s="80"/>
      <c r="I205" s="69"/>
      <c r="J205" s="72"/>
      <c r="K205" s="73"/>
      <c r="L205" s="72"/>
      <c r="M205" s="73"/>
      <c r="N205" s="72"/>
      <c r="O205" s="73"/>
      <c r="P205" s="72"/>
      <c r="Q205" s="73"/>
      <c r="R205" s="72"/>
      <c r="S205" s="73"/>
      <c r="T205" s="72"/>
      <c r="U205" s="73"/>
      <c r="V205" s="72"/>
      <c r="W205" s="73"/>
      <c r="X205" s="72"/>
      <c r="Y205" s="73"/>
      <c r="Z205" s="74" t="b">
        <v>0</v>
      </c>
      <c r="AA205" s="130">
        <f t="shared" si="79"/>
        <v>0</v>
      </c>
      <c r="AB205" s="131">
        <f t="shared" si="80"/>
        <v>0</v>
      </c>
      <c r="AC205" s="132">
        <f t="shared" si="81"/>
        <v>0</v>
      </c>
      <c r="AD205" s="133">
        <f t="shared" si="82"/>
        <v>0</v>
      </c>
      <c r="AE205" s="131">
        <f t="shared" si="83"/>
        <v>0</v>
      </c>
      <c r="AF205" s="133">
        <f t="shared" si="84"/>
        <v>0</v>
      </c>
      <c r="AG205" s="1"/>
    </row>
    <row r="206" ht="21.0" customHeight="1">
      <c r="A206" s="1"/>
      <c r="B206" s="48" t="s">
        <v>41</v>
      </c>
      <c r="C206" s="81"/>
      <c r="D206" s="82" t="b">
        <v>0</v>
      </c>
      <c r="E206" s="51" t="s">
        <v>42</v>
      </c>
      <c r="F206" s="52" t="s">
        <v>34</v>
      </c>
      <c r="G206" s="83"/>
      <c r="H206" s="142" t="s">
        <v>97</v>
      </c>
      <c r="I206" s="85"/>
      <c r="J206" s="70">
        <v>5.0</v>
      </c>
      <c r="K206" s="71">
        <v>15.0</v>
      </c>
      <c r="L206" s="70">
        <v>5.0</v>
      </c>
      <c r="M206" s="71">
        <v>15.0</v>
      </c>
      <c r="N206" s="70">
        <v>5.0</v>
      </c>
      <c r="O206" s="71">
        <v>15.0</v>
      </c>
      <c r="P206" s="72"/>
      <c r="Q206" s="73"/>
      <c r="R206" s="72"/>
      <c r="S206" s="73"/>
      <c r="T206" s="72"/>
      <c r="U206" s="73"/>
      <c r="V206" s="72"/>
      <c r="W206" s="73"/>
      <c r="X206" s="72"/>
      <c r="Y206" s="73"/>
      <c r="Z206" s="74" t="b">
        <v>0</v>
      </c>
      <c r="AA206" s="130">
        <f t="shared" si="79"/>
        <v>225</v>
      </c>
      <c r="AB206" s="131">
        <f t="shared" si="80"/>
        <v>6.875</v>
      </c>
      <c r="AC206" s="132">
        <f t="shared" si="81"/>
        <v>5.98125</v>
      </c>
      <c r="AD206" s="133">
        <f t="shared" si="82"/>
        <v>4.60625</v>
      </c>
      <c r="AE206" s="131">
        <f t="shared" si="83"/>
        <v>5</v>
      </c>
      <c r="AF206" s="133">
        <f t="shared" si="84"/>
        <v>15</v>
      </c>
      <c r="AG206" s="1"/>
    </row>
    <row r="207" ht="21.0" customHeight="1">
      <c r="A207" s="1"/>
      <c r="B207" s="48" t="s">
        <v>43</v>
      </c>
      <c r="C207" s="49"/>
      <c r="D207" s="86" t="b">
        <v>0</v>
      </c>
      <c r="E207" s="66"/>
      <c r="F207" s="52" t="s">
        <v>37</v>
      </c>
      <c r="G207" s="67"/>
      <c r="H207" s="80"/>
      <c r="I207" s="69"/>
      <c r="J207" s="72"/>
      <c r="K207" s="73"/>
      <c r="L207" s="72"/>
      <c r="M207" s="73"/>
      <c r="N207" s="72"/>
      <c r="O207" s="73"/>
      <c r="P207" s="72"/>
      <c r="Q207" s="73"/>
      <c r="R207" s="72"/>
      <c r="S207" s="73"/>
      <c r="T207" s="72"/>
      <c r="U207" s="73"/>
      <c r="V207" s="72"/>
      <c r="W207" s="73"/>
      <c r="X207" s="72"/>
      <c r="Y207" s="73"/>
      <c r="Z207" s="74" t="b">
        <v>0</v>
      </c>
      <c r="AA207" s="130">
        <f t="shared" si="79"/>
        <v>0</v>
      </c>
      <c r="AB207" s="131">
        <f t="shared" si="80"/>
        <v>0</v>
      </c>
      <c r="AC207" s="132">
        <f t="shared" si="81"/>
        <v>0</v>
      </c>
      <c r="AD207" s="133">
        <f t="shared" si="82"/>
        <v>0</v>
      </c>
      <c r="AE207" s="131">
        <f t="shared" si="83"/>
        <v>0</v>
      </c>
      <c r="AF207" s="133">
        <f t="shared" si="84"/>
        <v>0</v>
      </c>
      <c r="AG207" s="1"/>
    </row>
    <row r="208" ht="21.0" customHeight="1">
      <c r="A208" s="1"/>
      <c r="B208" s="87" t="str">
        <f t="array" ref="B208">"📌최근 인바디 결과 : "&amp;text(xlookup(B200,'현황'!O:O,'현황'!O:O,,-1,-1),"m/d(ddd)")</f>
        <v>#REF!</v>
      </c>
      <c r="C208" s="88"/>
      <c r="D208" s="49"/>
      <c r="E208" s="41"/>
      <c r="F208" s="52" t="s">
        <v>40</v>
      </c>
      <c r="G208" s="79"/>
      <c r="H208" s="115" t="s">
        <v>114</v>
      </c>
      <c r="I208" s="69"/>
      <c r="J208" s="72"/>
      <c r="K208" s="71">
        <v>35.0</v>
      </c>
      <c r="L208" s="72"/>
      <c r="M208" s="71">
        <v>40.0</v>
      </c>
      <c r="N208" s="72"/>
      <c r="O208" s="71">
        <v>40.0</v>
      </c>
      <c r="P208" s="72"/>
      <c r="Q208" s="73"/>
      <c r="R208" s="72"/>
      <c r="S208" s="73"/>
      <c r="T208" s="72"/>
      <c r="U208" s="73"/>
      <c r="V208" s="72"/>
      <c r="W208" s="73"/>
      <c r="X208" s="72"/>
      <c r="Y208" s="73"/>
      <c r="Z208" s="74" t="b">
        <v>0</v>
      </c>
      <c r="AA208" s="130">
        <f t="shared" si="79"/>
        <v>0</v>
      </c>
      <c r="AB208" s="131">
        <f t="shared" si="80"/>
        <v>0</v>
      </c>
      <c r="AC208" s="132">
        <f t="shared" si="81"/>
        <v>0</v>
      </c>
      <c r="AD208" s="133">
        <f t="shared" si="82"/>
        <v>0</v>
      </c>
      <c r="AE208" s="131">
        <f t="shared" si="83"/>
        <v>0</v>
      </c>
      <c r="AF208" s="133">
        <f t="shared" si="84"/>
        <v>40</v>
      </c>
      <c r="AG208" s="1"/>
    </row>
    <row r="209" ht="21.0" customHeight="1">
      <c r="A209" s="1"/>
      <c r="B209" s="89" t="s">
        <v>44</v>
      </c>
      <c r="C209" s="49"/>
      <c r="D209" s="90">
        <f t="array" ref="D209">iferror(vlookup(xlookup(B200,'현황'!O:O,'현황'!O:O,,-1,-1),'현황'!O:S,2,false),0)</f>
        <v>0</v>
      </c>
      <c r="E209" s="51" t="s">
        <v>45</v>
      </c>
      <c r="F209" s="52" t="s">
        <v>34</v>
      </c>
      <c r="G209" s="83"/>
      <c r="H209" s="84"/>
      <c r="I209" s="85"/>
      <c r="J209" s="72"/>
      <c r="K209" s="73"/>
      <c r="L209" s="72"/>
      <c r="M209" s="73"/>
      <c r="N209" s="72"/>
      <c r="O209" s="73"/>
      <c r="P209" s="72"/>
      <c r="Q209" s="73"/>
      <c r="R209" s="72"/>
      <c r="S209" s="73"/>
      <c r="T209" s="72"/>
      <c r="U209" s="73"/>
      <c r="V209" s="72"/>
      <c r="W209" s="73"/>
      <c r="X209" s="72"/>
      <c r="Y209" s="73"/>
      <c r="Z209" s="74" t="b">
        <v>0</v>
      </c>
      <c r="AA209" s="130">
        <f t="shared" si="79"/>
        <v>0</v>
      </c>
      <c r="AB209" s="131">
        <f t="shared" si="80"/>
        <v>0</v>
      </c>
      <c r="AC209" s="132">
        <f t="shared" si="81"/>
        <v>0</v>
      </c>
      <c r="AD209" s="133">
        <f t="shared" si="82"/>
        <v>0</v>
      </c>
      <c r="AE209" s="131">
        <f t="shared" si="83"/>
        <v>0</v>
      </c>
      <c r="AF209" s="133">
        <f t="shared" si="84"/>
        <v>0</v>
      </c>
      <c r="AG209" s="1"/>
    </row>
    <row r="210" ht="21.0" customHeight="1">
      <c r="A210" s="1"/>
      <c r="B210" s="48" t="s">
        <v>46</v>
      </c>
      <c r="C210" s="49"/>
      <c r="D210" s="91">
        <f t="array" ref="D210">iferror(vlookup(xlookup(B200,'현황'!O:O,'현황'!O:O,,-1,-1),'현황'!O:S,3,false),0)</f>
        <v>0</v>
      </c>
      <c r="E210" s="66"/>
      <c r="F210" s="52" t="s">
        <v>37</v>
      </c>
      <c r="G210" s="67"/>
      <c r="H210" s="80"/>
      <c r="I210" s="69"/>
      <c r="J210" s="72"/>
      <c r="K210" s="73"/>
      <c r="L210" s="72"/>
      <c r="M210" s="73"/>
      <c r="N210" s="72"/>
      <c r="O210" s="73"/>
      <c r="P210" s="72"/>
      <c r="Q210" s="73"/>
      <c r="R210" s="72"/>
      <c r="S210" s="73"/>
      <c r="T210" s="72"/>
      <c r="U210" s="73"/>
      <c r="V210" s="72"/>
      <c r="W210" s="73"/>
      <c r="X210" s="72"/>
      <c r="Y210" s="73"/>
      <c r="Z210" s="74" t="b">
        <v>0</v>
      </c>
      <c r="AA210" s="130">
        <f t="shared" si="79"/>
        <v>0</v>
      </c>
      <c r="AB210" s="131">
        <f t="shared" si="80"/>
        <v>0</v>
      </c>
      <c r="AC210" s="132">
        <f t="shared" si="81"/>
        <v>0</v>
      </c>
      <c r="AD210" s="133">
        <f t="shared" si="82"/>
        <v>0</v>
      </c>
      <c r="AE210" s="131">
        <f t="shared" si="83"/>
        <v>0</v>
      </c>
      <c r="AF210" s="133">
        <f t="shared" si="84"/>
        <v>0</v>
      </c>
      <c r="AG210" s="1"/>
    </row>
    <row r="211" ht="21.0" customHeight="1">
      <c r="A211" s="1"/>
      <c r="B211" s="48" t="s">
        <v>47</v>
      </c>
      <c r="C211" s="49"/>
      <c r="D211" s="91">
        <f t="array" ref="D211">iferror(vlookup(xlookup(B200,'현황'!O:O,'현황'!O:O,,-1,-1),'현황'!O:S,4,false),0)</f>
        <v>0</v>
      </c>
      <c r="E211" s="41"/>
      <c r="F211" s="92" t="s">
        <v>40</v>
      </c>
      <c r="G211" s="79"/>
      <c r="H211" s="93"/>
      <c r="I211" s="94"/>
      <c r="J211" s="95"/>
      <c r="K211" s="96"/>
      <c r="L211" s="95"/>
      <c r="M211" s="96"/>
      <c r="N211" s="95"/>
      <c r="O211" s="96"/>
      <c r="P211" s="95"/>
      <c r="Q211" s="96"/>
      <c r="R211" s="95"/>
      <c r="S211" s="96"/>
      <c r="T211" s="95"/>
      <c r="U211" s="96"/>
      <c r="V211" s="95"/>
      <c r="W211" s="96"/>
      <c r="X211" s="95"/>
      <c r="Y211" s="96"/>
      <c r="Z211" s="97" t="b">
        <v>0</v>
      </c>
      <c r="AA211" s="135">
        <f t="shared" si="79"/>
        <v>0</v>
      </c>
      <c r="AB211" s="136">
        <f t="shared" si="80"/>
        <v>0</v>
      </c>
      <c r="AC211" s="137">
        <f t="shared" si="81"/>
        <v>0</v>
      </c>
      <c r="AD211" s="138">
        <f t="shared" si="82"/>
        <v>0</v>
      </c>
      <c r="AE211" s="136">
        <f t="shared" si="83"/>
        <v>0</v>
      </c>
      <c r="AF211" s="138">
        <f t="shared" si="84"/>
        <v>0</v>
      </c>
      <c r="AG211" s="1"/>
    </row>
    <row r="212" ht="21.0" customHeight="1">
      <c r="A212" s="1"/>
      <c r="B212" s="102" t="s">
        <v>48</v>
      </c>
      <c r="C212" s="103"/>
      <c r="D212" s="104">
        <f>iferror(D211/D209,0)</f>
        <v>0</v>
      </c>
      <c r="E212" s="102" t="s">
        <v>49</v>
      </c>
      <c r="F212" s="103"/>
      <c r="G212" s="105"/>
      <c r="H212" s="106" t="s">
        <v>50</v>
      </c>
      <c r="I212" s="107"/>
      <c r="J212" s="11"/>
      <c r="K212" s="11"/>
      <c r="L212" s="11"/>
      <c r="M212" s="11"/>
      <c r="N212" s="11"/>
      <c r="O212" s="11"/>
      <c r="P212" s="108" t="s">
        <v>51</v>
      </c>
      <c r="Q212" s="12"/>
      <c r="R212" s="109"/>
      <c r="S212" s="11"/>
      <c r="T212" s="11"/>
      <c r="U212" s="11"/>
      <c r="V212" s="11"/>
      <c r="W212" s="11"/>
      <c r="X212" s="11"/>
      <c r="Y212" s="11"/>
      <c r="Z212" s="12"/>
      <c r="AA212" s="139">
        <f>SUM(AA203:AA211)</f>
        <v>390</v>
      </c>
      <c r="AB212" s="140" t="s">
        <v>115</v>
      </c>
      <c r="AG212" s="1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1"/>
      <c r="AA213" s="1"/>
      <c r="AB213" s="1"/>
      <c r="AC213" s="3"/>
      <c r="AD213" s="1"/>
      <c r="AE213" s="1"/>
      <c r="AF213" s="1"/>
      <c r="AG213" s="1"/>
    </row>
    <row r="214" ht="21.0" customHeight="1">
      <c r="A214" s="1"/>
      <c r="B214" s="4" t="s">
        <v>1</v>
      </c>
      <c r="C214" s="5"/>
      <c r="D214" s="6" t="s">
        <v>2</v>
      </c>
      <c r="E214" s="7"/>
      <c r="F214" s="7"/>
      <c r="G214" s="5"/>
      <c r="H214" s="8" t="s">
        <v>3</v>
      </c>
      <c r="I214" s="8" t="s">
        <v>4</v>
      </c>
      <c r="J214" s="9" t="s">
        <v>5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5"/>
      <c r="AA214" s="117" t="s">
        <v>6</v>
      </c>
      <c r="AB214" s="11"/>
      <c r="AC214" s="11"/>
      <c r="AD214" s="11"/>
      <c r="AE214" s="11"/>
      <c r="AF214" s="12"/>
      <c r="AG214" s="1"/>
    </row>
    <row r="215" ht="21.0" customHeight="1">
      <c r="A215" s="1"/>
      <c r="B215" s="13">
        <v>46079.0</v>
      </c>
      <c r="C215" s="14" t="str">
        <f>if(B215="0/0","",choose(weekday(B215),"(일)","(월)","(화)","(수)","(목)","(금)","(토)"))</f>
        <v>(목)</v>
      </c>
      <c r="D215" s="15" t="s">
        <v>7</v>
      </c>
      <c r="E215" s="16" t="s">
        <v>8</v>
      </c>
      <c r="F215" s="17"/>
      <c r="G215" s="18" t="s">
        <v>9</v>
      </c>
      <c r="H215" s="19" t="s">
        <v>10</v>
      </c>
      <c r="I215" s="20" t="s">
        <v>11</v>
      </c>
      <c r="J215" s="21" t="s">
        <v>12</v>
      </c>
      <c r="K215" s="22"/>
      <c r="L215" s="21" t="s">
        <v>13</v>
      </c>
      <c r="M215" s="22"/>
      <c r="N215" s="21" t="s">
        <v>14</v>
      </c>
      <c r="O215" s="22"/>
      <c r="P215" s="21" t="s">
        <v>15</v>
      </c>
      <c r="Q215" s="22"/>
      <c r="R215" s="23" t="s">
        <v>16</v>
      </c>
      <c r="S215" s="22"/>
      <c r="T215" s="23" t="s">
        <v>17</v>
      </c>
      <c r="U215" s="22"/>
      <c r="V215" s="23" t="s">
        <v>18</v>
      </c>
      <c r="W215" s="22"/>
      <c r="X215" s="23" t="s">
        <v>19</v>
      </c>
      <c r="Y215" s="22"/>
      <c r="Z215" s="24" t="s">
        <v>116</v>
      </c>
      <c r="AA215" s="118" t="s">
        <v>21</v>
      </c>
      <c r="AB215" s="119" t="s">
        <v>22</v>
      </c>
      <c r="AC215" s="7"/>
      <c r="AD215" s="22"/>
      <c r="AE215" s="120" t="s">
        <v>23</v>
      </c>
      <c r="AF215" s="22"/>
      <c r="AG215" s="1"/>
    </row>
    <row r="216" ht="21.0" customHeight="1">
      <c r="A216" s="1"/>
      <c r="B216" s="27">
        <f>iferror(B215-'현황'!$C$4+1,0)</f>
        <v>0</v>
      </c>
      <c r="C216" s="28"/>
      <c r="D216" s="29">
        <v>0.0</v>
      </c>
      <c r="E216" s="30">
        <v>0.0</v>
      </c>
      <c r="F216" s="31"/>
      <c r="G216" s="32">
        <v>0.0</v>
      </c>
      <c r="H216" s="33">
        <v>0.0</v>
      </c>
      <c r="I216" s="34"/>
      <c r="J216" s="35"/>
      <c r="K216" s="36"/>
      <c r="L216" s="35"/>
      <c r="M216" s="36"/>
      <c r="N216" s="35"/>
      <c r="O216" s="36"/>
      <c r="P216" s="35"/>
      <c r="Q216" s="36"/>
      <c r="R216" s="35"/>
      <c r="S216" s="36"/>
      <c r="T216" s="35"/>
      <c r="U216" s="36"/>
      <c r="V216" s="35"/>
      <c r="W216" s="36"/>
      <c r="X216" s="35"/>
      <c r="Y216" s="36"/>
      <c r="Z216" s="37"/>
      <c r="AA216" s="37"/>
      <c r="AB216" s="35"/>
      <c r="AC216" s="38"/>
      <c r="AD216" s="36"/>
      <c r="AE216" s="35"/>
      <c r="AF216" s="36"/>
      <c r="AG216" s="1"/>
    </row>
    <row r="217" ht="21.0" customHeight="1">
      <c r="A217" s="1"/>
      <c r="B217" s="39" t="s">
        <v>24</v>
      </c>
      <c r="C217" s="40"/>
      <c r="D217" s="41"/>
      <c r="E217" s="42" t="s">
        <v>25</v>
      </c>
      <c r="F217" s="40"/>
      <c r="G217" s="41"/>
      <c r="H217" s="43" t="s">
        <v>26</v>
      </c>
      <c r="J217" s="44" t="s">
        <v>27</v>
      </c>
      <c r="K217" s="45" t="s">
        <v>28</v>
      </c>
      <c r="L217" s="44" t="s">
        <v>27</v>
      </c>
      <c r="M217" s="45" t="s">
        <v>28</v>
      </c>
      <c r="N217" s="44" t="s">
        <v>27</v>
      </c>
      <c r="O217" s="45" t="s">
        <v>28</v>
      </c>
      <c r="P217" s="44" t="s">
        <v>27</v>
      </c>
      <c r="Q217" s="45" t="s">
        <v>28</v>
      </c>
      <c r="R217" s="44" t="s">
        <v>27</v>
      </c>
      <c r="S217" s="45" t="s">
        <v>28</v>
      </c>
      <c r="T217" s="44" t="s">
        <v>27</v>
      </c>
      <c r="U217" s="45" t="s">
        <v>28</v>
      </c>
      <c r="V217" s="44" t="s">
        <v>27</v>
      </c>
      <c r="W217" s="45" t="s">
        <v>28</v>
      </c>
      <c r="X217" s="44" t="s">
        <v>27</v>
      </c>
      <c r="Y217" s="45" t="s">
        <v>28</v>
      </c>
      <c r="Z217" s="46"/>
      <c r="AA217" s="46"/>
      <c r="AB217" s="121" t="s">
        <v>29</v>
      </c>
      <c r="AC217" s="122" t="s">
        <v>30</v>
      </c>
      <c r="AD217" s="123" t="s">
        <v>31</v>
      </c>
      <c r="AE217" s="121" t="s">
        <v>27</v>
      </c>
      <c r="AF217" s="123" t="s">
        <v>28</v>
      </c>
      <c r="AG217" s="1"/>
    </row>
    <row r="218" ht="21.0" customHeight="1">
      <c r="A218" s="1"/>
      <c r="B218" s="48" t="s">
        <v>32</v>
      </c>
      <c r="C218" s="49"/>
      <c r="D218" s="50"/>
      <c r="E218" s="51" t="s">
        <v>33</v>
      </c>
      <c r="F218" s="52" t="s">
        <v>34</v>
      </c>
      <c r="G218" s="53"/>
      <c r="H218" s="54" t="s">
        <v>35</v>
      </c>
      <c r="I218" s="55"/>
      <c r="J218" s="56">
        <v>15.0</v>
      </c>
      <c r="K218" s="57">
        <v>15.0</v>
      </c>
      <c r="L218" s="56">
        <v>15.0</v>
      </c>
      <c r="M218" s="57">
        <v>15.0</v>
      </c>
      <c r="N218" s="56">
        <v>15.0</v>
      </c>
      <c r="O218" s="57">
        <v>15.0</v>
      </c>
      <c r="P218" s="56">
        <v>15.0</v>
      </c>
      <c r="Q218" s="57">
        <v>15.0</v>
      </c>
      <c r="R218" s="58"/>
      <c r="S218" s="59"/>
      <c r="T218" s="58"/>
      <c r="U218" s="59"/>
      <c r="V218" s="58"/>
      <c r="W218" s="59"/>
      <c r="X218" s="58"/>
      <c r="Y218" s="59"/>
      <c r="Z218" s="60" t="b">
        <v>0</v>
      </c>
      <c r="AA218" s="125">
        <f t="shared" ref="AA218:AA226" si="85">(J218*K218+L218*M218+N218*O218+P218*Q218+R218*S218+T218*U218+V218*W218+X218*Y218)*if(Z218=true,0.453592,1)</f>
        <v>900</v>
      </c>
      <c r="AB218" s="126">
        <f t="shared" ref="AB218:AB226" si="86">SUM(AE218*AF218*0.025,AE218)</f>
        <v>20.625</v>
      </c>
      <c r="AC218" s="127">
        <f t="shared" ref="AC218:AC226" si="87">AB218*87%</f>
        <v>17.94375</v>
      </c>
      <c r="AD218" s="128">
        <f t="shared" ref="AD218:AD226" si="88">AB218*67%</f>
        <v>13.81875</v>
      </c>
      <c r="AE218" s="126">
        <f t="shared" ref="AE218:AE226" si="89">MAX(J218,L218,N218,P218,R218,T218,V218,X218)*if(Z218=true,0.453592,1)</f>
        <v>15</v>
      </c>
      <c r="AF218" s="128">
        <f t="shared" ref="AF218:AF226" si="90">MAX(IF(J218*if(Z218=true,0.453592,1)=$AE218,K218,0),IF(L218*if(Z218=true,0.453592,1)=$AE218,M218,0),IF(N218*if(Z218=true,0.453592,1)=$AE218,O218,0),IF(P218*if(Z218=true,0.453592,1)=$AE218,Q218,0),IF(R218*if(Z218=true,0.453592,1)=$AE218,S218,0),IF(T218*if(Z218=true,0.453592,1)=$AE218,U218,0),IF(V218*if(Z218=true,0.453592,1)=$AE218,W218,0),IF(X218*if(Z218=true,0.453592,1)=$AE218,Y218,0))</f>
        <v>15</v>
      </c>
      <c r="AG218" s="1"/>
    </row>
    <row r="219" ht="21.0" customHeight="1">
      <c r="A219" s="1"/>
      <c r="B219" s="48" t="s">
        <v>36</v>
      </c>
      <c r="C219" s="49"/>
      <c r="D219" s="65"/>
      <c r="E219" s="66"/>
      <c r="F219" s="52" t="s">
        <v>37</v>
      </c>
      <c r="G219" s="67"/>
      <c r="H219" s="54" t="s">
        <v>79</v>
      </c>
      <c r="I219" s="55"/>
      <c r="J219" s="56">
        <v>5.0</v>
      </c>
      <c r="K219" s="57">
        <v>15.0</v>
      </c>
      <c r="L219" s="116">
        <v>7.5</v>
      </c>
      <c r="M219" s="71">
        <v>12.0</v>
      </c>
      <c r="N219" s="116">
        <v>7.5</v>
      </c>
      <c r="O219" s="71">
        <v>12.0</v>
      </c>
      <c r="P219" s="116">
        <v>7.5</v>
      </c>
      <c r="Q219" s="71">
        <v>12.0</v>
      </c>
      <c r="R219" s="72"/>
      <c r="S219" s="73"/>
      <c r="T219" s="72"/>
      <c r="U219" s="73"/>
      <c r="V219" s="72"/>
      <c r="W219" s="73"/>
      <c r="X219" s="72"/>
      <c r="Y219" s="73"/>
      <c r="Z219" s="74" t="b">
        <v>0</v>
      </c>
      <c r="AA219" s="130">
        <f t="shared" si="85"/>
        <v>345</v>
      </c>
      <c r="AB219" s="131">
        <f t="shared" si="86"/>
        <v>9.75</v>
      </c>
      <c r="AC219" s="132">
        <f t="shared" si="87"/>
        <v>8.4825</v>
      </c>
      <c r="AD219" s="133">
        <f t="shared" si="88"/>
        <v>6.5325</v>
      </c>
      <c r="AE219" s="131">
        <f t="shared" si="89"/>
        <v>7.5</v>
      </c>
      <c r="AF219" s="133">
        <f t="shared" si="90"/>
        <v>12</v>
      </c>
      <c r="AG219" s="1"/>
    </row>
    <row r="220" ht="21.0" customHeight="1">
      <c r="A220" s="1"/>
      <c r="B220" s="48" t="s">
        <v>39</v>
      </c>
      <c r="C220" s="49"/>
      <c r="D220" s="65"/>
      <c r="E220" s="41"/>
      <c r="F220" s="52" t="s">
        <v>40</v>
      </c>
      <c r="G220" s="79"/>
      <c r="H220" s="115" t="s">
        <v>117</v>
      </c>
      <c r="I220" s="69"/>
      <c r="J220" s="70">
        <v>12.0</v>
      </c>
      <c r="K220" s="71">
        <v>15.0</v>
      </c>
      <c r="L220" s="70">
        <v>12.0</v>
      </c>
      <c r="M220" s="71">
        <v>15.0</v>
      </c>
      <c r="N220" s="70">
        <v>12.0</v>
      </c>
      <c r="O220" s="71">
        <v>15.0</v>
      </c>
      <c r="P220" s="70">
        <v>12.0</v>
      </c>
      <c r="Q220" s="71">
        <v>15.0</v>
      </c>
      <c r="R220" s="72"/>
      <c r="S220" s="73"/>
      <c r="T220" s="72"/>
      <c r="U220" s="73"/>
      <c r="V220" s="72"/>
      <c r="W220" s="73"/>
      <c r="X220" s="72"/>
      <c r="Y220" s="73"/>
      <c r="Z220" s="74" t="b">
        <v>0</v>
      </c>
      <c r="AA220" s="130">
        <f t="shared" si="85"/>
        <v>720</v>
      </c>
      <c r="AB220" s="131">
        <f t="shared" si="86"/>
        <v>16.5</v>
      </c>
      <c r="AC220" s="132">
        <f t="shared" si="87"/>
        <v>14.355</v>
      </c>
      <c r="AD220" s="133">
        <f t="shared" si="88"/>
        <v>11.055</v>
      </c>
      <c r="AE220" s="131">
        <f t="shared" si="89"/>
        <v>12</v>
      </c>
      <c r="AF220" s="133">
        <f t="shared" si="90"/>
        <v>15</v>
      </c>
      <c r="AG220" s="1"/>
    </row>
    <row r="221" ht="21.0" customHeight="1">
      <c r="A221" s="1"/>
      <c r="B221" s="48" t="s">
        <v>41</v>
      </c>
      <c r="C221" s="81"/>
      <c r="D221" s="82" t="b">
        <v>0</v>
      </c>
      <c r="E221" s="51" t="s">
        <v>42</v>
      </c>
      <c r="F221" s="52" t="s">
        <v>34</v>
      </c>
      <c r="G221" s="83"/>
      <c r="H221" s="142" t="s">
        <v>102</v>
      </c>
      <c r="I221" s="85"/>
      <c r="J221" s="116">
        <v>7.5</v>
      </c>
      <c r="K221" s="71">
        <v>15.0</v>
      </c>
      <c r="L221" s="116">
        <v>7.5</v>
      </c>
      <c r="M221" s="71">
        <v>15.0</v>
      </c>
      <c r="N221" s="116">
        <v>7.5</v>
      </c>
      <c r="O221" s="71">
        <v>15.0</v>
      </c>
      <c r="P221" s="72"/>
      <c r="Q221" s="73"/>
      <c r="R221" s="72"/>
      <c r="S221" s="73"/>
      <c r="T221" s="72"/>
      <c r="U221" s="73"/>
      <c r="V221" s="72"/>
      <c r="W221" s="73"/>
      <c r="X221" s="72"/>
      <c r="Y221" s="73"/>
      <c r="Z221" s="74" t="b">
        <v>0</v>
      </c>
      <c r="AA221" s="130">
        <f t="shared" si="85"/>
        <v>337.5</v>
      </c>
      <c r="AB221" s="131">
        <f t="shared" si="86"/>
        <v>10.3125</v>
      </c>
      <c r="AC221" s="132">
        <f t="shared" si="87"/>
        <v>8.971875</v>
      </c>
      <c r="AD221" s="133">
        <f t="shared" si="88"/>
        <v>6.909375</v>
      </c>
      <c r="AE221" s="131">
        <f t="shared" si="89"/>
        <v>7.5</v>
      </c>
      <c r="AF221" s="133">
        <f t="shared" si="90"/>
        <v>15</v>
      </c>
      <c r="AG221" s="1"/>
    </row>
    <row r="222" ht="21.0" customHeight="1">
      <c r="A222" s="1"/>
      <c r="B222" s="48" t="s">
        <v>43</v>
      </c>
      <c r="C222" s="49"/>
      <c r="D222" s="86" t="b">
        <v>0</v>
      </c>
      <c r="E222" s="66"/>
      <c r="F222" s="52" t="s">
        <v>37</v>
      </c>
      <c r="G222" s="67"/>
      <c r="H222" s="80"/>
      <c r="I222" s="69"/>
      <c r="J222" s="72"/>
      <c r="K222" s="73"/>
      <c r="L222" s="72"/>
      <c r="M222" s="73"/>
      <c r="N222" s="72"/>
      <c r="O222" s="73"/>
      <c r="P222" s="72"/>
      <c r="Q222" s="73"/>
      <c r="R222" s="72"/>
      <c r="S222" s="73"/>
      <c r="T222" s="72"/>
      <c r="U222" s="73"/>
      <c r="V222" s="72"/>
      <c r="W222" s="73"/>
      <c r="X222" s="72"/>
      <c r="Y222" s="73"/>
      <c r="Z222" s="74" t="b">
        <v>0</v>
      </c>
      <c r="AA222" s="130">
        <f t="shared" si="85"/>
        <v>0</v>
      </c>
      <c r="AB222" s="131">
        <f t="shared" si="86"/>
        <v>0</v>
      </c>
      <c r="AC222" s="132">
        <f t="shared" si="87"/>
        <v>0</v>
      </c>
      <c r="AD222" s="133">
        <f t="shared" si="88"/>
        <v>0</v>
      </c>
      <c r="AE222" s="131">
        <f t="shared" si="89"/>
        <v>0</v>
      </c>
      <c r="AF222" s="133">
        <f t="shared" si="90"/>
        <v>0</v>
      </c>
      <c r="AG222" s="1"/>
    </row>
    <row r="223" ht="21.0" customHeight="1">
      <c r="A223" s="1"/>
      <c r="B223" s="87" t="str">
        <f t="array" ref="B223">"📌최근 인바디 결과 : "&amp;text(xlookup(B215,'현황'!O:O,'현황'!O:O,,-1,-1),"m/d(ddd)")</f>
        <v>#REF!</v>
      </c>
      <c r="C223" s="88"/>
      <c r="D223" s="49"/>
      <c r="E223" s="41"/>
      <c r="F223" s="52" t="s">
        <v>40</v>
      </c>
      <c r="G223" s="79"/>
      <c r="H223" s="80"/>
      <c r="I223" s="69"/>
      <c r="J223" s="72"/>
      <c r="K223" s="73"/>
      <c r="L223" s="72"/>
      <c r="M223" s="73"/>
      <c r="N223" s="72"/>
      <c r="O223" s="73"/>
      <c r="P223" s="72"/>
      <c r="Q223" s="73"/>
      <c r="R223" s="72"/>
      <c r="S223" s="73"/>
      <c r="T223" s="72"/>
      <c r="U223" s="73"/>
      <c r="V223" s="72"/>
      <c r="W223" s="73"/>
      <c r="X223" s="72"/>
      <c r="Y223" s="73"/>
      <c r="Z223" s="74" t="b">
        <v>0</v>
      </c>
      <c r="AA223" s="130">
        <f t="shared" si="85"/>
        <v>0</v>
      </c>
      <c r="AB223" s="131">
        <f t="shared" si="86"/>
        <v>0</v>
      </c>
      <c r="AC223" s="132">
        <f t="shared" si="87"/>
        <v>0</v>
      </c>
      <c r="AD223" s="133">
        <f t="shared" si="88"/>
        <v>0</v>
      </c>
      <c r="AE223" s="131">
        <f t="shared" si="89"/>
        <v>0</v>
      </c>
      <c r="AF223" s="133">
        <f t="shared" si="90"/>
        <v>0</v>
      </c>
      <c r="AG223" s="1"/>
    </row>
    <row r="224" ht="21.0" customHeight="1">
      <c r="A224" s="1"/>
      <c r="B224" s="89" t="s">
        <v>44</v>
      </c>
      <c r="C224" s="49"/>
      <c r="D224" s="90">
        <f t="array" ref="D224">iferror(vlookup(xlookup(B215,'현황'!O:O,'현황'!O:O,,-1,-1),'현황'!O:S,2,false),0)</f>
        <v>0</v>
      </c>
      <c r="E224" s="51" t="s">
        <v>45</v>
      </c>
      <c r="F224" s="52" t="s">
        <v>34</v>
      </c>
      <c r="G224" s="83"/>
      <c r="H224" s="84"/>
      <c r="I224" s="85"/>
      <c r="J224" s="72"/>
      <c r="K224" s="73"/>
      <c r="L224" s="72"/>
      <c r="M224" s="73"/>
      <c r="N224" s="72"/>
      <c r="O224" s="73"/>
      <c r="P224" s="72"/>
      <c r="Q224" s="73"/>
      <c r="R224" s="72"/>
      <c r="S224" s="73"/>
      <c r="T224" s="72"/>
      <c r="U224" s="73"/>
      <c r="V224" s="72"/>
      <c r="W224" s="73"/>
      <c r="X224" s="72"/>
      <c r="Y224" s="73"/>
      <c r="Z224" s="74" t="b">
        <v>0</v>
      </c>
      <c r="AA224" s="130">
        <f t="shared" si="85"/>
        <v>0</v>
      </c>
      <c r="AB224" s="131">
        <f t="shared" si="86"/>
        <v>0</v>
      </c>
      <c r="AC224" s="132">
        <f t="shared" si="87"/>
        <v>0</v>
      </c>
      <c r="AD224" s="133">
        <f t="shared" si="88"/>
        <v>0</v>
      </c>
      <c r="AE224" s="131">
        <f t="shared" si="89"/>
        <v>0</v>
      </c>
      <c r="AF224" s="133">
        <f t="shared" si="90"/>
        <v>0</v>
      </c>
      <c r="AG224" s="1"/>
    </row>
    <row r="225" ht="21.0" customHeight="1">
      <c r="A225" s="1"/>
      <c r="B225" s="48" t="s">
        <v>46</v>
      </c>
      <c r="C225" s="49"/>
      <c r="D225" s="91">
        <f t="array" ref="D225">iferror(vlookup(xlookup(B215,'현황'!O:O,'현황'!O:O,,-1,-1),'현황'!O:S,3,false),0)</f>
        <v>0</v>
      </c>
      <c r="E225" s="66"/>
      <c r="F225" s="52" t="s">
        <v>37</v>
      </c>
      <c r="G225" s="67"/>
      <c r="H225" s="80"/>
      <c r="I225" s="69"/>
      <c r="J225" s="72"/>
      <c r="K225" s="73"/>
      <c r="L225" s="72"/>
      <c r="M225" s="73"/>
      <c r="N225" s="72"/>
      <c r="O225" s="73"/>
      <c r="P225" s="72"/>
      <c r="Q225" s="73"/>
      <c r="R225" s="72"/>
      <c r="S225" s="73"/>
      <c r="T225" s="72"/>
      <c r="U225" s="73"/>
      <c r="V225" s="72"/>
      <c r="W225" s="73"/>
      <c r="X225" s="72"/>
      <c r="Y225" s="73"/>
      <c r="Z225" s="74" t="b">
        <v>0</v>
      </c>
      <c r="AA225" s="130">
        <f t="shared" si="85"/>
        <v>0</v>
      </c>
      <c r="AB225" s="131">
        <f t="shared" si="86"/>
        <v>0</v>
      </c>
      <c r="AC225" s="132">
        <f t="shared" si="87"/>
        <v>0</v>
      </c>
      <c r="AD225" s="133">
        <f t="shared" si="88"/>
        <v>0</v>
      </c>
      <c r="AE225" s="131">
        <f t="shared" si="89"/>
        <v>0</v>
      </c>
      <c r="AF225" s="133">
        <f t="shared" si="90"/>
        <v>0</v>
      </c>
      <c r="AG225" s="1"/>
    </row>
    <row r="226" ht="21.0" customHeight="1">
      <c r="A226" s="1"/>
      <c r="B226" s="48" t="s">
        <v>47</v>
      </c>
      <c r="C226" s="49"/>
      <c r="D226" s="91">
        <f t="array" ref="D226">iferror(vlookup(xlookup(B215,'현황'!O:O,'현황'!O:O,,-1,-1),'현황'!O:S,4,false),0)</f>
        <v>0</v>
      </c>
      <c r="E226" s="41"/>
      <c r="F226" s="92" t="s">
        <v>40</v>
      </c>
      <c r="G226" s="79"/>
      <c r="H226" s="93"/>
      <c r="I226" s="94"/>
      <c r="J226" s="95"/>
      <c r="K226" s="96"/>
      <c r="L226" s="95"/>
      <c r="M226" s="96"/>
      <c r="N226" s="95"/>
      <c r="O226" s="96"/>
      <c r="P226" s="95"/>
      <c r="Q226" s="96"/>
      <c r="R226" s="95"/>
      <c r="S226" s="96"/>
      <c r="T226" s="95"/>
      <c r="U226" s="96"/>
      <c r="V226" s="95"/>
      <c r="W226" s="96"/>
      <c r="X226" s="95"/>
      <c r="Y226" s="96"/>
      <c r="Z226" s="97" t="b">
        <v>0</v>
      </c>
      <c r="AA226" s="135">
        <f t="shared" si="85"/>
        <v>0</v>
      </c>
      <c r="AB226" s="136">
        <f t="shared" si="86"/>
        <v>0</v>
      </c>
      <c r="AC226" s="137">
        <f t="shared" si="87"/>
        <v>0</v>
      </c>
      <c r="AD226" s="138">
        <f t="shared" si="88"/>
        <v>0</v>
      </c>
      <c r="AE226" s="136">
        <f t="shared" si="89"/>
        <v>0</v>
      </c>
      <c r="AF226" s="138">
        <f t="shared" si="90"/>
        <v>0</v>
      </c>
      <c r="AG226" s="1"/>
    </row>
    <row r="227" ht="21.0" customHeight="1">
      <c r="A227" s="1"/>
      <c r="B227" s="102" t="s">
        <v>48</v>
      </c>
      <c r="C227" s="103"/>
      <c r="D227" s="104">
        <f>iferror(D226/D224,0)</f>
        <v>0</v>
      </c>
      <c r="E227" s="102" t="s">
        <v>49</v>
      </c>
      <c r="F227" s="103"/>
      <c r="G227" s="105"/>
      <c r="H227" s="106" t="s">
        <v>50</v>
      </c>
      <c r="I227" s="107"/>
      <c r="J227" s="11"/>
      <c r="K227" s="11"/>
      <c r="L227" s="11"/>
      <c r="M227" s="11"/>
      <c r="N227" s="11"/>
      <c r="O227" s="11"/>
      <c r="P227" s="108" t="s">
        <v>51</v>
      </c>
      <c r="Q227" s="12"/>
      <c r="R227" s="109"/>
      <c r="S227" s="11"/>
      <c r="T227" s="11"/>
      <c r="U227" s="11"/>
      <c r="V227" s="11"/>
      <c r="W227" s="11"/>
      <c r="X227" s="11"/>
      <c r="Y227" s="11"/>
      <c r="Z227" s="12"/>
      <c r="AA227" s="139">
        <f>SUM(AA218:AA226)</f>
        <v>2302.5</v>
      </c>
      <c r="AB227" s="140" t="s">
        <v>118</v>
      </c>
      <c r="AG227" s="1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1"/>
      <c r="AA228" s="1"/>
      <c r="AB228" s="1"/>
      <c r="AC228" s="3"/>
      <c r="AD228" s="1"/>
      <c r="AE228" s="1"/>
      <c r="AF228" s="1"/>
      <c r="AG228" s="1"/>
    </row>
    <row r="229" ht="21.0" customHeight="1">
      <c r="A229" s="1"/>
      <c r="B229" s="4" t="s">
        <v>1</v>
      </c>
      <c r="C229" s="5"/>
      <c r="D229" s="6" t="s">
        <v>2</v>
      </c>
      <c r="E229" s="7"/>
      <c r="F229" s="7"/>
      <c r="G229" s="5"/>
      <c r="H229" s="8" t="s">
        <v>3</v>
      </c>
      <c r="I229" s="8" t="s">
        <v>4</v>
      </c>
      <c r="J229" s="9" t="s">
        <v>5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5"/>
      <c r="AA229" s="117" t="s">
        <v>6</v>
      </c>
      <c r="AB229" s="11"/>
      <c r="AC229" s="11"/>
      <c r="AD229" s="11"/>
      <c r="AE229" s="11"/>
      <c r="AF229" s="12"/>
      <c r="AG229" s="1"/>
    </row>
    <row r="230" ht="21.0" customHeight="1">
      <c r="A230" s="1"/>
      <c r="B230" s="13">
        <v>46086.0</v>
      </c>
      <c r="C230" s="14" t="str">
        <f>if(B230="0/0","",choose(weekday(B230),"(일)","(월)","(화)","(수)","(목)","(금)","(토)"))</f>
        <v>(목)</v>
      </c>
      <c r="D230" s="15" t="s">
        <v>7</v>
      </c>
      <c r="E230" s="16" t="s">
        <v>8</v>
      </c>
      <c r="F230" s="17"/>
      <c r="G230" s="18" t="s">
        <v>9</v>
      </c>
      <c r="H230" s="19" t="s">
        <v>10</v>
      </c>
      <c r="I230" s="20" t="s">
        <v>53</v>
      </c>
      <c r="J230" s="21" t="s">
        <v>12</v>
      </c>
      <c r="K230" s="22"/>
      <c r="L230" s="21" t="s">
        <v>13</v>
      </c>
      <c r="M230" s="22"/>
      <c r="N230" s="21" t="s">
        <v>14</v>
      </c>
      <c r="O230" s="22"/>
      <c r="P230" s="21" t="s">
        <v>15</v>
      </c>
      <c r="Q230" s="22"/>
      <c r="R230" s="23" t="s">
        <v>16</v>
      </c>
      <c r="S230" s="22"/>
      <c r="T230" s="23" t="s">
        <v>17</v>
      </c>
      <c r="U230" s="22"/>
      <c r="V230" s="23" t="s">
        <v>18</v>
      </c>
      <c r="W230" s="22"/>
      <c r="X230" s="23" t="s">
        <v>19</v>
      </c>
      <c r="Y230" s="22"/>
      <c r="Z230" s="24" t="s">
        <v>119</v>
      </c>
      <c r="AA230" s="118" t="s">
        <v>21</v>
      </c>
      <c r="AB230" s="119" t="s">
        <v>22</v>
      </c>
      <c r="AC230" s="7"/>
      <c r="AD230" s="22"/>
      <c r="AE230" s="120" t="s">
        <v>23</v>
      </c>
      <c r="AF230" s="22"/>
      <c r="AG230" s="1"/>
    </row>
    <row r="231" ht="21.0" customHeight="1">
      <c r="A231" s="1"/>
      <c r="B231" s="27">
        <f>iferror(B230-'현황'!$C$4+1,0)</f>
        <v>0</v>
      </c>
      <c r="C231" s="28"/>
      <c r="D231" s="29">
        <v>0.0</v>
      </c>
      <c r="E231" s="30">
        <v>0.0</v>
      </c>
      <c r="F231" s="31"/>
      <c r="G231" s="32">
        <v>0.0</v>
      </c>
      <c r="H231" s="33">
        <v>0.0</v>
      </c>
      <c r="I231" s="34"/>
      <c r="J231" s="35"/>
      <c r="K231" s="36"/>
      <c r="L231" s="35"/>
      <c r="M231" s="36"/>
      <c r="N231" s="35"/>
      <c r="O231" s="36"/>
      <c r="P231" s="35"/>
      <c r="Q231" s="36"/>
      <c r="R231" s="35"/>
      <c r="S231" s="36"/>
      <c r="T231" s="35"/>
      <c r="U231" s="36"/>
      <c r="V231" s="35"/>
      <c r="W231" s="36"/>
      <c r="X231" s="35"/>
      <c r="Y231" s="36"/>
      <c r="Z231" s="37"/>
      <c r="AA231" s="37"/>
      <c r="AB231" s="35"/>
      <c r="AC231" s="38"/>
      <c r="AD231" s="36"/>
      <c r="AE231" s="35"/>
      <c r="AF231" s="36"/>
      <c r="AG231" s="1"/>
    </row>
    <row r="232" ht="21.0" customHeight="1">
      <c r="A232" s="1"/>
      <c r="B232" s="39" t="s">
        <v>24</v>
      </c>
      <c r="C232" s="40"/>
      <c r="D232" s="41"/>
      <c r="E232" s="42" t="s">
        <v>25</v>
      </c>
      <c r="F232" s="40"/>
      <c r="G232" s="41"/>
      <c r="H232" s="43" t="s">
        <v>26</v>
      </c>
      <c r="J232" s="44" t="s">
        <v>27</v>
      </c>
      <c r="K232" s="45" t="s">
        <v>28</v>
      </c>
      <c r="L232" s="44" t="s">
        <v>27</v>
      </c>
      <c r="M232" s="45" t="s">
        <v>28</v>
      </c>
      <c r="N232" s="44" t="s">
        <v>27</v>
      </c>
      <c r="O232" s="45" t="s">
        <v>28</v>
      </c>
      <c r="P232" s="44" t="s">
        <v>27</v>
      </c>
      <c r="Q232" s="45" t="s">
        <v>28</v>
      </c>
      <c r="R232" s="44" t="s">
        <v>27</v>
      </c>
      <c r="S232" s="45" t="s">
        <v>28</v>
      </c>
      <c r="T232" s="44" t="s">
        <v>27</v>
      </c>
      <c r="U232" s="45" t="s">
        <v>28</v>
      </c>
      <c r="V232" s="44" t="s">
        <v>27</v>
      </c>
      <c r="W232" s="45" t="s">
        <v>28</v>
      </c>
      <c r="X232" s="44" t="s">
        <v>27</v>
      </c>
      <c r="Y232" s="45" t="s">
        <v>28</v>
      </c>
      <c r="Z232" s="46"/>
      <c r="AA232" s="46"/>
      <c r="AB232" s="121" t="s">
        <v>29</v>
      </c>
      <c r="AC232" s="122" t="s">
        <v>30</v>
      </c>
      <c r="AD232" s="123" t="s">
        <v>31</v>
      </c>
      <c r="AE232" s="121" t="s">
        <v>27</v>
      </c>
      <c r="AF232" s="123" t="s">
        <v>28</v>
      </c>
      <c r="AG232" s="1"/>
    </row>
    <row r="233" ht="21.0" customHeight="1">
      <c r="A233" s="1"/>
      <c r="B233" s="48" t="s">
        <v>32</v>
      </c>
      <c r="C233" s="49"/>
      <c r="D233" s="50"/>
      <c r="E233" s="51" t="s">
        <v>33</v>
      </c>
      <c r="F233" s="52" t="s">
        <v>34</v>
      </c>
      <c r="G233" s="53"/>
      <c r="H233" s="54" t="s">
        <v>83</v>
      </c>
      <c r="I233" s="55"/>
      <c r="J233" s="56">
        <v>5.0</v>
      </c>
      <c r="K233" s="57">
        <v>15.0</v>
      </c>
      <c r="L233" s="56">
        <v>5.0</v>
      </c>
      <c r="M233" s="57">
        <v>15.0</v>
      </c>
      <c r="N233" s="124">
        <v>7.5</v>
      </c>
      <c r="O233" s="57">
        <v>5.0</v>
      </c>
      <c r="P233" s="58"/>
      <c r="Q233" s="59"/>
      <c r="R233" s="58"/>
      <c r="S233" s="59"/>
      <c r="T233" s="58"/>
      <c r="U233" s="59"/>
      <c r="V233" s="58"/>
      <c r="W233" s="59"/>
      <c r="X233" s="58"/>
      <c r="Y233" s="59"/>
      <c r="Z233" s="60" t="b">
        <v>0</v>
      </c>
      <c r="AA233" s="125">
        <f t="shared" ref="AA233:AA241" si="91">(J233*K233+L233*M233+N233*O233+P233*Q233+R233*S233+T233*U233+V233*W233+X233*Y233)*if(Z233=true,0.453592,1)</f>
        <v>187.5</v>
      </c>
      <c r="AB233" s="126">
        <f t="shared" ref="AB233:AB241" si="92">SUM(AE233*AF233*0.025,AE233)</f>
        <v>8.4375</v>
      </c>
      <c r="AC233" s="127">
        <f t="shared" ref="AC233:AC241" si="93">AB233*87%</f>
        <v>7.340625</v>
      </c>
      <c r="AD233" s="128">
        <f t="shared" ref="AD233:AD241" si="94">AB233*67%</f>
        <v>5.653125</v>
      </c>
      <c r="AE233" s="126">
        <f t="shared" ref="AE233:AE241" si="95">MAX(J233,L233,N233,P233,R233,T233,V233,X233)*if(Z233=true,0.453592,1)</f>
        <v>7.5</v>
      </c>
      <c r="AF233" s="128">
        <f t="shared" ref="AF233:AF241" si="96">MAX(IF(J233*if(Z233=true,0.453592,1)=$AE233,K233,0),IF(L233*if(Z233=true,0.453592,1)=$AE233,M233,0),IF(N233*if(Z233=true,0.453592,1)=$AE233,O233,0),IF(P233*if(Z233=true,0.453592,1)=$AE233,Q233,0),IF(R233*if(Z233=true,0.453592,1)=$AE233,S233,0),IF(T233*if(Z233=true,0.453592,1)=$AE233,U233,0),IF(V233*if(Z233=true,0.453592,1)=$AE233,W233,0),IF(X233*if(Z233=true,0.453592,1)=$AE233,Y233,0))</f>
        <v>5</v>
      </c>
      <c r="AG233" s="1"/>
    </row>
    <row r="234" ht="21.0" customHeight="1">
      <c r="A234" s="1"/>
      <c r="B234" s="48" t="s">
        <v>36</v>
      </c>
      <c r="C234" s="49"/>
      <c r="D234" s="65"/>
      <c r="E234" s="66"/>
      <c r="F234" s="52" t="s">
        <v>37</v>
      </c>
      <c r="G234" s="67"/>
      <c r="H234" s="129"/>
      <c r="I234" s="69"/>
      <c r="J234" s="72"/>
      <c r="K234" s="73"/>
      <c r="L234" s="72"/>
      <c r="M234" s="73"/>
      <c r="N234" s="70">
        <v>5.0</v>
      </c>
      <c r="O234" s="71">
        <v>5.0</v>
      </c>
      <c r="P234" s="72"/>
      <c r="Q234" s="73"/>
      <c r="R234" s="72"/>
      <c r="S234" s="73"/>
      <c r="T234" s="72"/>
      <c r="U234" s="73"/>
      <c r="V234" s="72"/>
      <c r="W234" s="73"/>
      <c r="X234" s="72"/>
      <c r="Y234" s="73"/>
      <c r="Z234" s="74" t="b">
        <v>0</v>
      </c>
      <c r="AA234" s="130">
        <f t="shared" si="91"/>
        <v>25</v>
      </c>
      <c r="AB234" s="131">
        <f t="shared" si="92"/>
        <v>5.625</v>
      </c>
      <c r="AC234" s="132">
        <f t="shared" si="93"/>
        <v>4.89375</v>
      </c>
      <c r="AD234" s="133">
        <f t="shared" si="94"/>
        <v>3.76875</v>
      </c>
      <c r="AE234" s="131">
        <f t="shared" si="95"/>
        <v>5</v>
      </c>
      <c r="AF234" s="133">
        <f t="shared" si="96"/>
        <v>5</v>
      </c>
      <c r="AG234" s="1"/>
    </row>
    <row r="235" ht="21.0" customHeight="1">
      <c r="A235" s="1"/>
      <c r="B235" s="48" t="s">
        <v>39</v>
      </c>
      <c r="C235" s="49"/>
      <c r="D235" s="65"/>
      <c r="E235" s="41"/>
      <c r="F235" s="52" t="s">
        <v>40</v>
      </c>
      <c r="G235" s="79"/>
      <c r="H235" s="115" t="s">
        <v>120</v>
      </c>
      <c r="I235" s="69"/>
      <c r="J235" s="70">
        <v>2.0</v>
      </c>
      <c r="K235" s="71">
        <v>15.0</v>
      </c>
      <c r="L235" s="70">
        <v>2.0</v>
      </c>
      <c r="M235" s="71">
        <v>15.0</v>
      </c>
      <c r="N235" s="70">
        <v>2.0</v>
      </c>
      <c r="O235" s="71">
        <v>15.0</v>
      </c>
      <c r="P235" s="72"/>
      <c r="Q235" s="73"/>
      <c r="R235" s="72"/>
      <c r="S235" s="73"/>
      <c r="T235" s="72"/>
      <c r="U235" s="73"/>
      <c r="V235" s="72"/>
      <c r="W235" s="73"/>
      <c r="X235" s="72"/>
      <c r="Y235" s="73"/>
      <c r="Z235" s="74" t="b">
        <v>0</v>
      </c>
      <c r="AA235" s="130">
        <f t="shared" si="91"/>
        <v>90</v>
      </c>
      <c r="AB235" s="131">
        <f t="shared" si="92"/>
        <v>2.75</v>
      </c>
      <c r="AC235" s="132">
        <f t="shared" si="93"/>
        <v>2.3925</v>
      </c>
      <c r="AD235" s="133">
        <f t="shared" si="94"/>
        <v>1.8425</v>
      </c>
      <c r="AE235" s="131">
        <f t="shared" si="95"/>
        <v>2</v>
      </c>
      <c r="AF235" s="133">
        <f t="shared" si="96"/>
        <v>15</v>
      </c>
      <c r="AG235" s="1"/>
    </row>
    <row r="236" ht="21.0" customHeight="1">
      <c r="A236" s="1"/>
      <c r="B236" s="48" t="s">
        <v>41</v>
      </c>
      <c r="C236" s="81"/>
      <c r="D236" s="82" t="b">
        <v>0</v>
      </c>
      <c r="E236" s="51" t="s">
        <v>42</v>
      </c>
      <c r="F236" s="52" t="s">
        <v>34</v>
      </c>
      <c r="G236" s="83"/>
      <c r="H236" s="142" t="s">
        <v>55</v>
      </c>
      <c r="I236" s="85"/>
      <c r="J236" s="70">
        <v>5.0</v>
      </c>
      <c r="K236" s="71">
        <v>15.0</v>
      </c>
      <c r="L236" s="70">
        <v>5.0</v>
      </c>
      <c r="M236" s="71">
        <v>15.0</v>
      </c>
      <c r="N236" s="70">
        <v>5.0</v>
      </c>
      <c r="O236" s="71">
        <v>12.0</v>
      </c>
      <c r="P236" s="70">
        <v>5.0</v>
      </c>
      <c r="Q236" s="71">
        <v>12.0</v>
      </c>
      <c r="R236" s="72"/>
      <c r="S236" s="73"/>
      <c r="T236" s="72"/>
      <c r="U236" s="73"/>
      <c r="V236" s="72"/>
      <c r="W236" s="73"/>
      <c r="X236" s="72"/>
      <c r="Y236" s="73"/>
      <c r="Z236" s="74" t="b">
        <v>0</v>
      </c>
      <c r="AA236" s="130">
        <f t="shared" si="91"/>
        <v>270</v>
      </c>
      <c r="AB236" s="131">
        <f t="shared" si="92"/>
        <v>6.875</v>
      </c>
      <c r="AC236" s="132">
        <f t="shared" si="93"/>
        <v>5.98125</v>
      </c>
      <c r="AD236" s="133">
        <f t="shared" si="94"/>
        <v>4.60625</v>
      </c>
      <c r="AE236" s="131">
        <f t="shared" si="95"/>
        <v>5</v>
      </c>
      <c r="AF236" s="133">
        <f t="shared" si="96"/>
        <v>15</v>
      </c>
      <c r="AG236" s="1"/>
    </row>
    <row r="237" ht="21.0" customHeight="1">
      <c r="A237" s="1"/>
      <c r="B237" s="48" t="s">
        <v>43</v>
      </c>
      <c r="C237" s="49"/>
      <c r="D237" s="86" t="b">
        <v>0</v>
      </c>
      <c r="E237" s="66"/>
      <c r="F237" s="52" t="s">
        <v>37</v>
      </c>
      <c r="G237" s="67"/>
      <c r="H237" s="115" t="s">
        <v>105</v>
      </c>
      <c r="I237" s="69"/>
      <c r="J237" s="70">
        <v>2.0</v>
      </c>
      <c r="K237" s="71">
        <v>15.0</v>
      </c>
      <c r="L237" s="70">
        <v>2.0</v>
      </c>
      <c r="M237" s="71">
        <v>15.0</v>
      </c>
      <c r="N237" s="70">
        <v>2.0</v>
      </c>
      <c r="O237" s="71">
        <v>10.0</v>
      </c>
      <c r="P237" s="72"/>
      <c r="Q237" s="73"/>
      <c r="R237" s="72"/>
      <c r="S237" s="73"/>
      <c r="T237" s="72"/>
      <c r="U237" s="73"/>
      <c r="V237" s="72"/>
      <c r="W237" s="73"/>
      <c r="X237" s="72"/>
      <c r="Y237" s="73"/>
      <c r="Z237" s="74" t="b">
        <v>0</v>
      </c>
      <c r="AA237" s="130">
        <f t="shared" si="91"/>
        <v>80</v>
      </c>
      <c r="AB237" s="131">
        <f t="shared" si="92"/>
        <v>2.75</v>
      </c>
      <c r="AC237" s="132">
        <f t="shared" si="93"/>
        <v>2.3925</v>
      </c>
      <c r="AD237" s="133">
        <f t="shared" si="94"/>
        <v>1.8425</v>
      </c>
      <c r="AE237" s="131">
        <f t="shared" si="95"/>
        <v>2</v>
      </c>
      <c r="AF237" s="133">
        <f t="shared" si="96"/>
        <v>15</v>
      </c>
      <c r="AG237" s="1"/>
    </row>
    <row r="238" ht="21.0" customHeight="1">
      <c r="A238" s="1"/>
      <c r="B238" s="87" t="str">
        <f t="array" ref="B238">"📌최근 인바디 결과 : "&amp;text(xlookup(B230,'현황'!O:O,'현황'!O:O,,-1,-1),"m/d(ddd)")</f>
        <v>#REF!</v>
      </c>
      <c r="C238" s="88"/>
      <c r="D238" s="49"/>
      <c r="E238" s="41"/>
      <c r="F238" s="52" t="s">
        <v>40</v>
      </c>
      <c r="G238" s="79"/>
      <c r="H238" s="115" t="s">
        <v>70</v>
      </c>
      <c r="I238" s="69"/>
      <c r="J238" s="72"/>
      <c r="K238" s="71">
        <v>40.0</v>
      </c>
      <c r="L238" s="72"/>
      <c r="M238" s="71">
        <v>40.0</v>
      </c>
      <c r="N238" s="72"/>
      <c r="O238" s="73"/>
      <c r="P238" s="72"/>
      <c r="Q238" s="73"/>
      <c r="R238" s="72"/>
      <c r="S238" s="73"/>
      <c r="T238" s="72"/>
      <c r="U238" s="73"/>
      <c r="V238" s="72"/>
      <c r="W238" s="73"/>
      <c r="X238" s="72"/>
      <c r="Y238" s="73"/>
      <c r="Z238" s="74" t="b">
        <v>0</v>
      </c>
      <c r="AA238" s="130">
        <f t="shared" si="91"/>
        <v>0</v>
      </c>
      <c r="AB238" s="131">
        <f t="shared" si="92"/>
        <v>0</v>
      </c>
      <c r="AC238" s="132">
        <f t="shared" si="93"/>
        <v>0</v>
      </c>
      <c r="AD238" s="133">
        <f t="shared" si="94"/>
        <v>0</v>
      </c>
      <c r="AE238" s="131">
        <f t="shared" si="95"/>
        <v>0</v>
      </c>
      <c r="AF238" s="133">
        <f t="shared" si="96"/>
        <v>40</v>
      </c>
      <c r="AG238" s="1"/>
    </row>
    <row r="239" ht="21.0" customHeight="1">
      <c r="A239" s="1"/>
      <c r="B239" s="89" t="s">
        <v>44</v>
      </c>
      <c r="C239" s="49"/>
      <c r="D239" s="90">
        <f t="array" ref="D239">iferror(vlookup(xlookup(B230,'현황'!O:O,'현황'!O:O,,-1,-1),'현황'!O:S,2,false),0)</f>
        <v>0</v>
      </c>
      <c r="E239" s="51" t="s">
        <v>45</v>
      </c>
      <c r="F239" s="52" t="s">
        <v>34</v>
      </c>
      <c r="G239" s="83"/>
      <c r="H239" s="84"/>
      <c r="I239" s="85"/>
      <c r="J239" s="72"/>
      <c r="K239" s="73"/>
      <c r="L239" s="72"/>
      <c r="M239" s="73"/>
      <c r="N239" s="72"/>
      <c r="O239" s="73"/>
      <c r="P239" s="72"/>
      <c r="Q239" s="73"/>
      <c r="R239" s="72"/>
      <c r="S239" s="73"/>
      <c r="T239" s="72"/>
      <c r="U239" s="73"/>
      <c r="V239" s="72"/>
      <c r="W239" s="73"/>
      <c r="X239" s="72"/>
      <c r="Y239" s="73"/>
      <c r="Z239" s="74" t="b">
        <v>0</v>
      </c>
      <c r="AA239" s="130">
        <f t="shared" si="91"/>
        <v>0</v>
      </c>
      <c r="AB239" s="131">
        <f t="shared" si="92"/>
        <v>0</v>
      </c>
      <c r="AC239" s="132">
        <f t="shared" si="93"/>
        <v>0</v>
      </c>
      <c r="AD239" s="133">
        <f t="shared" si="94"/>
        <v>0</v>
      </c>
      <c r="AE239" s="131">
        <f t="shared" si="95"/>
        <v>0</v>
      </c>
      <c r="AF239" s="133">
        <f t="shared" si="96"/>
        <v>0</v>
      </c>
      <c r="AG239" s="1"/>
    </row>
    <row r="240" ht="21.0" customHeight="1">
      <c r="A240" s="1"/>
      <c r="B240" s="48" t="s">
        <v>46</v>
      </c>
      <c r="C240" s="49"/>
      <c r="D240" s="91">
        <f t="array" ref="D240">iferror(vlookup(xlookup(B230,'현황'!O:O,'현황'!O:O,,-1,-1),'현황'!O:S,3,false),0)</f>
        <v>0</v>
      </c>
      <c r="E240" s="66"/>
      <c r="F240" s="52" t="s">
        <v>37</v>
      </c>
      <c r="G240" s="67"/>
      <c r="H240" s="80"/>
      <c r="I240" s="69"/>
      <c r="J240" s="72"/>
      <c r="K240" s="73"/>
      <c r="L240" s="72"/>
      <c r="M240" s="73"/>
      <c r="N240" s="72"/>
      <c r="O240" s="73"/>
      <c r="P240" s="72"/>
      <c r="Q240" s="73"/>
      <c r="R240" s="72"/>
      <c r="S240" s="73"/>
      <c r="T240" s="72"/>
      <c r="U240" s="73"/>
      <c r="V240" s="72"/>
      <c r="W240" s="73"/>
      <c r="X240" s="72"/>
      <c r="Y240" s="73"/>
      <c r="Z240" s="74" t="b">
        <v>0</v>
      </c>
      <c r="AA240" s="130">
        <f t="shared" si="91"/>
        <v>0</v>
      </c>
      <c r="AB240" s="131">
        <f t="shared" si="92"/>
        <v>0</v>
      </c>
      <c r="AC240" s="132">
        <f t="shared" si="93"/>
        <v>0</v>
      </c>
      <c r="AD240" s="133">
        <f t="shared" si="94"/>
        <v>0</v>
      </c>
      <c r="AE240" s="131">
        <f t="shared" si="95"/>
        <v>0</v>
      </c>
      <c r="AF240" s="133">
        <f t="shared" si="96"/>
        <v>0</v>
      </c>
      <c r="AG240" s="1"/>
    </row>
    <row r="241" ht="21.0" customHeight="1">
      <c r="A241" s="1"/>
      <c r="B241" s="48" t="s">
        <v>47</v>
      </c>
      <c r="C241" s="49"/>
      <c r="D241" s="91">
        <f t="array" ref="D241">iferror(vlookup(xlookup(B230,'현황'!O:O,'현황'!O:O,,-1,-1),'현황'!O:S,4,false),0)</f>
        <v>0</v>
      </c>
      <c r="E241" s="41"/>
      <c r="F241" s="92" t="s">
        <v>40</v>
      </c>
      <c r="G241" s="79"/>
      <c r="H241" s="93"/>
      <c r="I241" s="94"/>
      <c r="J241" s="95"/>
      <c r="K241" s="96"/>
      <c r="L241" s="95"/>
      <c r="M241" s="96"/>
      <c r="N241" s="95"/>
      <c r="O241" s="96"/>
      <c r="P241" s="95"/>
      <c r="Q241" s="96"/>
      <c r="R241" s="95"/>
      <c r="S241" s="96"/>
      <c r="T241" s="95"/>
      <c r="U241" s="96"/>
      <c r="V241" s="95"/>
      <c r="W241" s="96"/>
      <c r="X241" s="95"/>
      <c r="Y241" s="96"/>
      <c r="Z241" s="97" t="b">
        <v>0</v>
      </c>
      <c r="AA241" s="135">
        <f t="shared" si="91"/>
        <v>0</v>
      </c>
      <c r="AB241" s="136">
        <f t="shared" si="92"/>
        <v>0</v>
      </c>
      <c r="AC241" s="137">
        <f t="shared" si="93"/>
        <v>0</v>
      </c>
      <c r="AD241" s="138">
        <f t="shared" si="94"/>
        <v>0</v>
      </c>
      <c r="AE241" s="136">
        <f t="shared" si="95"/>
        <v>0</v>
      </c>
      <c r="AF241" s="138">
        <f t="shared" si="96"/>
        <v>0</v>
      </c>
      <c r="AG241" s="1"/>
    </row>
    <row r="242" ht="21.0" customHeight="1">
      <c r="A242" s="1"/>
      <c r="B242" s="102" t="s">
        <v>48</v>
      </c>
      <c r="C242" s="103"/>
      <c r="D242" s="104">
        <f>iferror(D241/D239,0)</f>
        <v>0</v>
      </c>
      <c r="E242" s="102" t="s">
        <v>49</v>
      </c>
      <c r="F242" s="103"/>
      <c r="G242" s="105"/>
      <c r="H242" s="143" t="s">
        <v>50</v>
      </c>
      <c r="I242" s="144"/>
      <c r="J242" s="11"/>
      <c r="K242" s="11"/>
      <c r="L242" s="11"/>
      <c r="M242" s="11"/>
      <c r="N242" s="11"/>
      <c r="O242" s="11"/>
      <c r="P242" s="145" t="s">
        <v>51</v>
      </c>
      <c r="Q242" s="12"/>
      <c r="R242" s="146"/>
      <c r="S242" s="11"/>
      <c r="T242" s="11"/>
      <c r="U242" s="11"/>
      <c r="V242" s="11"/>
      <c r="W242" s="11"/>
      <c r="X242" s="11"/>
      <c r="Y242" s="11"/>
      <c r="Z242" s="12"/>
      <c r="AA242" s="139">
        <f>SUM(AA233:AA241)</f>
        <v>652.5</v>
      </c>
      <c r="AB242" s="140" t="s">
        <v>121</v>
      </c>
      <c r="AG242" s="1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1"/>
      <c r="AA243" s="1"/>
      <c r="AB243" s="1"/>
      <c r="AC243" s="3"/>
      <c r="AD243" s="1"/>
      <c r="AE243" s="1"/>
      <c r="AF243" s="1"/>
      <c r="AG243" s="1"/>
    </row>
    <row r="244" ht="21.0" customHeight="1">
      <c r="A244" s="1"/>
      <c r="B244" s="4" t="s">
        <v>1</v>
      </c>
      <c r="C244" s="5"/>
      <c r="D244" s="6" t="s">
        <v>2</v>
      </c>
      <c r="E244" s="7"/>
      <c r="F244" s="7"/>
      <c r="G244" s="5"/>
      <c r="H244" s="8" t="s">
        <v>3</v>
      </c>
      <c r="I244" s="8" t="s">
        <v>4</v>
      </c>
      <c r="J244" s="9" t="s">
        <v>5</v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5"/>
      <c r="AA244" s="117" t="s">
        <v>6</v>
      </c>
      <c r="AB244" s="11"/>
      <c r="AC244" s="11"/>
      <c r="AD244" s="11"/>
      <c r="AE244" s="11"/>
      <c r="AF244" s="12"/>
      <c r="AG244" s="1"/>
    </row>
    <row r="245" ht="21.0" customHeight="1">
      <c r="A245" s="1"/>
      <c r="B245" s="13">
        <v>46087.0</v>
      </c>
      <c r="C245" s="14" t="str">
        <f>if(B245="0/0","",choose(weekday(B245),"(일)","(월)","(화)","(수)","(목)","(금)","(토)"))</f>
        <v>(금)</v>
      </c>
      <c r="D245" s="15" t="s">
        <v>7</v>
      </c>
      <c r="E245" s="16" t="s">
        <v>8</v>
      </c>
      <c r="F245" s="17"/>
      <c r="G245" s="18" t="s">
        <v>9</v>
      </c>
      <c r="H245" s="19" t="s">
        <v>10</v>
      </c>
      <c r="I245" s="20" t="s">
        <v>59</v>
      </c>
      <c r="J245" s="21" t="s">
        <v>12</v>
      </c>
      <c r="K245" s="22"/>
      <c r="L245" s="21" t="s">
        <v>13</v>
      </c>
      <c r="M245" s="22"/>
      <c r="N245" s="21" t="s">
        <v>14</v>
      </c>
      <c r="O245" s="22"/>
      <c r="P245" s="21" t="s">
        <v>15</v>
      </c>
      <c r="Q245" s="22"/>
      <c r="R245" s="23" t="s">
        <v>16</v>
      </c>
      <c r="S245" s="22"/>
      <c r="T245" s="23" t="s">
        <v>17</v>
      </c>
      <c r="U245" s="22"/>
      <c r="V245" s="23" t="s">
        <v>18</v>
      </c>
      <c r="W245" s="22"/>
      <c r="X245" s="23" t="s">
        <v>19</v>
      </c>
      <c r="Y245" s="22"/>
      <c r="Z245" s="24" t="s">
        <v>122</v>
      </c>
      <c r="AA245" s="118" t="s">
        <v>21</v>
      </c>
      <c r="AB245" s="119" t="s">
        <v>22</v>
      </c>
      <c r="AC245" s="7"/>
      <c r="AD245" s="22"/>
      <c r="AE245" s="120" t="s">
        <v>23</v>
      </c>
      <c r="AF245" s="22"/>
      <c r="AG245" s="1"/>
    </row>
    <row r="246" ht="21.0" customHeight="1">
      <c r="A246" s="1"/>
      <c r="B246" s="27">
        <f>iferror(B245-'현황'!$C$4+1,0)</f>
        <v>0</v>
      </c>
      <c r="C246" s="28"/>
      <c r="D246" s="29">
        <v>0.0</v>
      </c>
      <c r="E246" s="30">
        <v>0.0</v>
      </c>
      <c r="F246" s="31"/>
      <c r="G246" s="32">
        <v>0.0</v>
      </c>
      <c r="H246" s="33">
        <v>0.0</v>
      </c>
      <c r="I246" s="34"/>
      <c r="J246" s="35"/>
      <c r="K246" s="36"/>
      <c r="L246" s="35"/>
      <c r="M246" s="36"/>
      <c r="N246" s="35"/>
      <c r="O246" s="36"/>
      <c r="P246" s="35"/>
      <c r="Q246" s="36"/>
      <c r="R246" s="35"/>
      <c r="S246" s="36"/>
      <c r="T246" s="35"/>
      <c r="U246" s="36"/>
      <c r="V246" s="35"/>
      <c r="W246" s="36"/>
      <c r="X246" s="35"/>
      <c r="Y246" s="36"/>
      <c r="Z246" s="37"/>
      <c r="AA246" s="37"/>
      <c r="AB246" s="35"/>
      <c r="AC246" s="38"/>
      <c r="AD246" s="36"/>
      <c r="AE246" s="35"/>
      <c r="AF246" s="36"/>
      <c r="AG246" s="1"/>
    </row>
    <row r="247" ht="21.0" customHeight="1">
      <c r="A247" s="1"/>
      <c r="B247" s="39" t="s">
        <v>24</v>
      </c>
      <c r="C247" s="40"/>
      <c r="D247" s="41"/>
      <c r="E247" s="42" t="s">
        <v>25</v>
      </c>
      <c r="F247" s="40"/>
      <c r="G247" s="41"/>
      <c r="H247" s="43" t="s">
        <v>26</v>
      </c>
      <c r="J247" s="44" t="s">
        <v>27</v>
      </c>
      <c r="K247" s="45" t="s">
        <v>28</v>
      </c>
      <c r="L247" s="44" t="s">
        <v>27</v>
      </c>
      <c r="M247" s="45" t="s">
        <v>28</v>
      </c>
      <c r="N247" s="44" t="s">
        <v>27</v>
      </c>
      <c r="O247" s="45" t="s">
        <v>28</v>
      </c>
      <c r="P247" s="44" t="s">
        <v>27</v>
      </c>
      <c r="Q247" s="45" t="s">
        <v>28</v>
      </c>
      <c r="R247" s="44" t="s">
        <v>27</v>
      </c>
      <c r="S247" s="45" t="s">
        <v>28</v>
      </c>
      <c r="T247" s="44" t="s">
        <v>27</v>
      </c>
      <c r="U247" s="45" t="s">
        <v>28</v>
      </c>
      <c r="V247" s="44" t="s">
        <v>27</v>
      </c>
      <c r="W247" s="45" t="s">
        <v>28</v>
      </c>
      <c r="X247" s="44" t="s">
        <v>27</v>
      </c>
      <c r="Y247" s="45" t="s">
        <v>28</v>
      </c>
      <c r="Z247" s="46"/>
      <c r="AA247" s="46"/>
      <c r="AB247" s="121" t="s">
        <v>29</v>
      </c>
      <c r="AC247" s="122" t="s">
        <v>30</v>
      </c>
      <c r="AD247" s="123" t="s">
        <v>31</v>
      </c>
      <c r="AE247" s="121" t="s">
        <v>27</v>
      </c>
      <c r="AF247" s="123" t="s">
        <v>28</v>
      </c>
      <c r="AG247" s="1"/>
    </row>
    <row r="248" ht="21.0" customHeight="1">
      <c r="A248" s="1"/>
      <c r="B248" s="48" t="s">
        <v>32</v>
      </c>
      <c r="C248" s="49"/>
      <c r="D248" s="50"/>
      <c r="E248" s="51" t="s">
        <v>33</v>
      </c>
      <c r="F248" s="52" t="s">
        <v>34</v>
      </c>
      <c r="G248" s="53"/>
      <c r="H248" s="54" t="s">
        <v>123</v>
      </c>
      <c r="I248" s="55"/>
      <c r="J248" s="56">
        <v>0.0</v>
      </c>
      <c r="K248" s="57">
        <v>10.0</v>
      </c>
      <c r="L248" s="56">
        <v>0.0</v>
      </c>
      <c r="M248" s="57">
        <v>12.0</v>
      </c>
      <c r="N248" s="56">
        <v>0.0</v>
      </c>
      <c r="O248" s="57">
        <v>14.0</v>
      </c>
      <c r="P248" s="56">
        <v>0.0</v>
      </c>
      <c r="Q248" s="57">
        <v>10.0</v>
      </c>
      <c r="R248" s="58"/>
      <c r="S248" s="59"/>
      <c r="T248" s="58"/>
      <c r="U248" s="59"/>
      <c r="V248" s="58"/>
      <c r="W248" s="59"/>
      <c r="X248" s="58"/>
      <c r="Y248" s="59"/>
      <c r="Z248" s="60" t="b">
        <v>0</v>
      </c>
      <c r="AA248" s="125">
        <f t="shared" ref="AA248:AA256" si="97">(J248*K248+L248*M248+N248*O248+P248*Q248+R248*S248+T248*U248+V248*W248+X248*Y248)*if(Z248=true,0.453592,1)</f>
        <v>0</v>
      </c>
      <c r="AB248" s="126">
        <f t="shared" ref="AB248:AB256" si="98">SUM(AE248*AF248*0.025,AE248)</f>
        <v>0</v>
      </c>
      <c r="AC248" s="127">
        <f t="shared" ref="AC248:AC256" si="99">AB248*87%</f>
        <v>0</v>
      </c>
      <c r="AD248" s="128">
        <f t="shared" ref="AD248:AD256" si="100">AB248*67%</f>
        <v>0</v>
      </c>
      <c r="AE248" s="126">
        <f t="shared" ref="AE248:AE256" si="101">MAX(J248,L248,N248,P248,R248,T248,V248,X248)*if(Z248=true,0.453592,1)</f>
        <v>0</v>
      </c>
      <c r="AF248" s="128">
        <f t="shared" ref="AF248:AF256" si="102">MAX(IF(J248*if(Z248=true,0.453592,1)=$AE248,K248,0),IF(L248*if(Z248=true,0.453592,1)=$AE248,M248,0),IF(N248*if(Z248=true,0.453592,1)=$AE248,O248,0),IF(P248*if(Z248=true,0.453592,1)=$AE248,Q248,0),IF(R248*if(Z248=true,0.453592,1)=$AE248,S248,0),IF(T248*if(Z248=true,0.453592,1)=$AE248,U248,0),IF(V248*if(Z248=true,0.453592,1)=$AE248,W248,0),IF(X248*if(Z248=true,0.453592,1)=$AE248,Y248,0))</f>
        <v>14</v>
      </c>
      <c r="AG248" s="1"/>
    </row>
    <row r="249" ht="21.0" customHeight="1">
      <c r="A249" s="1"/>
      <c r="B249" s="48" t="s">
        <v>36</v>
      </c>
      <c r="C249" s="49"/>
      <c r="D249" s="65"/>
      <c r="E249" s="66"/>
      <c r="F249" s="52" t="s">
        <v>37</v>
      </c>
      <c r="G249" s="67"/>
      <c r="H249" s="68" t="s">
        <v>124</v>
      </c>
      <c r="I249" s="69"/>
      <c r="J249" s="70">
        <v>5.0</v>
      </c>
      <c r="K249" s="71">
        <v>15.0</v>
      </c>
      <c r="L249" s="70">
        <v>5.0</v>
      </c>
      <c r="M249" s="71">
        <v>15.0</v>
      </c>
      <c r="N249" s="72"/>
      <c r="O249" s="73"/>
      <c r="P249" s="72"/>
      <c r="Q249" s="73"/>
      <c r="R249" s="72"/>
      <c r="S249" s="73"/>
      <c r="T249" s="72"/>
      <c r="U249" s="73"/>
      <c r="V249" s="72"/>
      <c r="W249" s="73"/>
      <c r="X249" s="72"/>
      <c r="Y249" s="73"/>
      <c r="Z249" s="74" t="b">
        <v>0</v>
      </c>
      <c r="AA249" s="130">
        <f t="shared" si="97"/>
        <v>150</v>
      </c>
      <c r="AB249" s="131">
        <f t="shared" si="98"/>
        <v>6.875</v>
      </c>
      <c r="AC249" s="132">
        <f t="shared" si="99"/>
        <v>5.98125</v>
      </c>
      <c r="AD249" s="133">
        <f t="shared" si="100"/>
        <v>4.60625</v>
      </c>
      <c r="AE249" s="131">
        <f t="shared" si="101"/>
        <v>5</v>
      </c>
      <c r="AF249" s="133">
        <f t="shared" si="102"/>
        <v>15</v>
      </c>
      <c r="AG249" s="1"/>
    </row>
    <row r="250" ht="21.0" customHeight="1">
      <c r="A250" s="1"/>
      <c r="B250" s="48" t="s">
        <v>39</v>
      </c>
      <c r="C250" s="49"/>
      <c r="D250" s="65"/>
      <c r="E250" s="41"/>
      <c r="F250" s="52" t="s">
        <v>40</v>
      </c>
      <c r="G250" s="79"/>
      <c r="H250" s="80"/>
      <c r="I250" s="69"/>
      <c r="J250" s="72"/>
      <c r="K250" s="73"/>
      <c r="L250" s="72"/>
      <c r="M250" s="73"/>
      <c r="N250" s="72"/>
      <c r="O250" s="73"/>
      <c r="P250" s="72"/>
      <c r="Q250" s="73"/>
      <c r="R250" s="72"/>
      <c r="S250" s="73"/>
      <c r="T250" s="72"/>
      <c r="U250" s="73"/>
      <c r="V250" s="72"/>
      <c r="W250" s="73"/>
      <c r="X250" s="72"/>
      <c r="Y250" s="73"/>
      <c r="Z250" s="74" t="b">
        <v>0</v>
      </c>
      <c r="AA250" s="130">
        <f t="shared" si="97"/>
        <v>0</v>
      </c>
      <c r="AB250" s="131">
        <f t="shared" si="98"/>
        <v>0</v>
      </c>
      <c r="AC250" s="132">
        <f t="shared" si="99"/>
        <v>0</v>
      </c>
      <c r="AD250" s="133">
        <f t="shared" si="100"/>
        <v>0</v>
      </c>
      <c r="AE250" s="131">
        <f t="shared" si="101"/>
        <v>0</v>
      </c>
      <c r="AF250" s="133">
        <f t="shared" si="102"/>
        <v>0</v>
      </c>
      <c r="AG250" s="1"/>
    </row>
    <row r="251" ht="21.0" customHeight="1">
      <c r="A251" s="1"/>
      <c r="B251" s="48" t="s">
        <v>41</v>
      </c>
      <c r="C251" s="81"/>
      <c r="D251" s="82" t="b">
        <v>0</v>
      </c>
      <c r="E251" s="51" t="s">
        <v>42</v>
      </c>
      <c r="F251" s="52" t="s">
        <v>34</v>
      </c>
      <c r="G251" s="83"/>
      <c r="H251" s="84"/>
      <c r="I251" s="85"/>
      <c r="J251" s="72"/>
      <c r="K251" s="73"/>
      <c r="L251" s="72"/>
      <c r="M251" s="73"/>
      <c r="N251" s="72"/>
      <c r="O251" s="73"/>
      <c r="P251" s="72"/>
      <c r="Q251" s="73"/>
      <c r="R251" s="72"/>
      <c r="S251" s="73"/>
      <c r="T251" s="72"/>
      <c r="U251" s="73"/>
      <c r="V251" s="72"/>
      <c r="W251" s="73"/>
      <c r="X251" s="72"/>
      <c r="Y251" s="73"/>
      <c r="Z251" s="74" t="b">
        <v>0</v>
      </c>
      <c r="AA251" s="130">
        <f t="shared" si="97"/>
        <v>0</v>
      </c>
      <c r="AB251" s="131">
        <f t="shared" si="98"/>
        <v>0</v>
      </c>
      <c r="AC251" s="132">
        <f t="shared" si="99"/>
        <v>0</v>
      </c>
      <c r="AD251" s="133">
        <f t="shared" si="100"/>
        <v>0</v>
      </c>
      <c r="AE251" s="131">
        <f t="shared" si="101"/>
        <v>0</v>
      </c>
      <c r="AF251" s="133">
        <f t="shared" si="102"/>
        <v>0</v>
      </c>
      <c r="AG251" s="1"/>
    </row>
    <row r="252" ht="21.0" customHeight="1">
      <c r="A252" s="1"/>
      <c r="B252" s="48" t="s">
        <v>43</v>
      </c>
      <c r="C252" s="49"/>
      <c r="D252" s="86" t="b">
        <v>0</v>
      </c>
      <c r="E252" s="66"/>
      <c r="F252" s="52" t="s">
        <v>37</v>
      </c>
      <c r="G252" s="67"/>
      <c r="H252" s="80"/>
      <c r="I252" s="69"/>
      <c r="J252" s="72"/>
      <c r="K252" s="73"/>
      <c r="L252" s="72"/>
      <c r="M252" s="73"/>
      <c r="N252" s="72"/>
      <c r="O252" s="73"/>
      <c r="P252" s="72"/>
      <c r="Q252" s="73"/>
      <c r="R252" s="72"/>
      <c r="S252" s="73"/>
      <c r="T252" s="72"/>
      <c r="U252" s="73"/>
      <c r="V252" s="72"/>
      <c r="W252" s="73"/>
      <c r="X252" s="72"/>
      <c r="Y252" s="73"/>
      <c r="Z252" s="74" t="b">
        <v>0</v>
      </c>
      <c r="AA252" s="130">
        <f t="shared" si="97"/>
        <v>0</v>
      </c>
      <c r="AB252" s="131">
        <f t="shared" si="98"/>
        <v>0</v>
      </c>
      <c r="AC252" s="132">
        <f t="shared" si="99"/>
        <v>0</v>
      </c>
      <c r="AD252" s="133">
        <f t="shared" si="100"/>
        <v>0</v>
      </c>
      <c r="AE252" s="131">
        <f t="shared" si="101"/>
        <v>0</v>
      </c>
      <c r="AF252" s="133">
        <f t="shared" si="102"/>
        <v>0</v>
      </c>
      <c r="AG252" s="1"/>
    </row>
    <row r="253" ht="21.0" customHeight="1">
      <c r="A253" s="1"/>
      <c r="B253" s="87" t="str">
        <f t="array" ref="B253">"📌최근 인바디 결과 : "&amp;text(xlookup(B245,'현황'!O:O,'현황'!O:O,,-1,-1),"m/d(ddd)")</f>
        <v>#REF!</v>
      </c>
      <c r="C253" s="88"/>
      <c r="D253" s="49"/>
      <c r="E253" s="41"/>
      <c r="F253" s="52" t="s">
        <v>40</v>
      </c>
      <c r="G253" s="79"/>
      <c r="H253" s="80"/>
      <c r="I253" s="69"/>
      <c r="J253" s="72"/>
      <c r="K253" s="73"/>
      <c r="L253" s="72"/>
      <c r="M253" s="73"/>
      <c r="N253" s="72"/>
      <c r="O253" s="73"/>
      <c r="P253" s="72"/>
      <c r="Q253" s="73"/>
      <c r="R253" s="72"/>
      <c r="S253" s="73"/>
      <c r="T253" s="72"/>
      <c r="U253" s="73"/>
      <c r="V253" s="72"/>
      <c r="W253" s="73"/>
      <c r="X253" s="72"/>
      <c r="Y253" s="73"/>
      <c r="Z253" s="74" t="b">
        <v>0</v>
      </c>
      <c r="AA253" s="130">
        <f t="shared" si="97"/>
        <v>0</v>
      </c>
      <c r="AB253" s="131">
        <f t="shared" si="98"/>
        <v>0</v>
      </c>
      <c r="AC253" s="132">
        <f t="shared" si="99"/>
        <v>0</v>
      </c>
      <c r="AD253" s="133">
        <f t="shared" si="100"/>
        <v>0</v>
      </c>
      <c r="AE253" s="131">
        <f t="shared" si="101"/>
        <v>0</v>
      </c>
      <c r="AF253" s="133">
        <f t="shared" si="102"/>
        <v>0</v>
      </c>
      <c r="AG253" s="1"/>
    </row>
    <row r="254" ht="21.0" customHeight="1">
      <c r="A254" s="1"/>
      <c r="B254" s="89" t="s">
        <v>44</v>
      </c>
      <c r="C254" s="49"/>
      <c r="D254" s="90">
        <f t="array" ref="D254">iferror(vlookup(xlookup(B245,'현황'!O:O,'현황'!O:O,,-1,-1),'현황'!O:S,2,false),0)</f>
        <v>0</v>
      </c>
      <c r="E254" s="51" t="s">
        <v>45</v>
      </c>
      <c r="F254" s="52" t="s">
        <v>34</v>
      </c>
      <c r="G254" s="83"/>
      <c r="H254" s="84"/>
      <c r="I254" s="85"/>
      <c r="J254" s="72"/>
      <c r="K254" s="73"/>
      <c r="L254" s="72"/>
      <c r="M254" s="73"/>
      <c r="N254" s="72"/>
      <c r="O254" s="73"/>
      <c r="P254" s="72"/>
      <c r="Q254" s="73"/>
      <c r="R254" s="72"/>
      <c r="S254" s="73"/>
      <c r="T254" s="72"/>
      <c r="U254" s="73"/>
      <c r="V254" s="72"/>
      <c r="W254" s="73"/>
      <c r="X254" s="72"/>
      <c r="Y254" s="73"/>
      <c r="Z254" s="74" t="b">
        <v>0</v>
      </c>
      <c r="AA254" s="130">
        <f t="shared" si="97"/>
        <v>0</v>
      </c>
      <c r="AB254" s="131">
        <f t="shared" si="98"/>
        <v>0</v>
      </c>
      <c r="AC254" s="132">
        <f t="shared" si="99"/>
        <v>0</v>
      </c>
      <c r="AD254" s="133">
        <f t="shared" si="100"/>
        <v>0</v>
      </c>
      <c r="AE254" s="131">
        <f t="shared" si="101"/>
        <v>0</v>
      </c>
      <c r="AF254" s="133">
        <f t="shared" si="102"/>
        <v>0</v>
      </c>
      <c r="AG254" s="1"/>
    </row>
    <row r="255" ht="21.0" customHeight="1">
      <c r="A255" s="1"/>
      <c r="B255" s="48" t="s">
        <v>46</v>
      </c>
      <c r="C255" s="49"/>
      <c r="D255" s="91">
        <f t="array" ref="D255">iferror(vlookup(xlookup(B245,'현황'!O:O,'현황'!O:O,,-1,-1),'현황'!O:S,3,false),0)</f>
        <v>0</v>
      </c>
      <c r="E255" s="66"/>
      <c r="F255" s="52" t="s">
        <v>37</v>
      </c>
      <c r="G255" s="67"/>
      <c r="H255" s="80"/>
      <c r="I255" s="69"/>
      <c r="J255" s="72"/>
      <c r="K255" s="73"/>
      <c r="L255" s="72"/>
      <c r="M255" s="73"/>
      <c r="N255" s="72"/>
      <c r="O255" s="73"/>
      <c r="P255" s="72"/>
      <c r="Q255" s="73"/>
      <c r="R255" s="72"/>
      <c r="S255" s="73"/>
      <c r="T255" s="72"/>
      <c r="U255" s="73"/>
      <c r="V255" s="72"/>
      <c r="W255" s="73"/>
      <c r="X255" s="72"/>
      <c r="Y255" s="73"/>
      <c r="Z255" s="74" t="b">
        <v>0</v>
      </c>
      <c r="AA255" s="130">
        <f t="shared" si="97"/>
        <v>0</v>
      </c>
      <c r="AB255" s="131">
        <f t="shared" si="98"/>
        <v>0</v>
      </c>
      <c r="AC255" s="132">
        <f t="shared" si="99"/>
        <v>0</v>
      </c>
      <c r="AD255" s="133">
        <f t="shared" si="100"/>
        <v>0</v>
      </c>
      <c r="AE255" s="131">
        <f t="shared" si="101"/>
        <v>0</v>
      </c>
      <c r="AF255" s="133">
        <f t="shared" si="102"/>
        <v>0</v>
      </c>
      <c r="AG255" s="1"/>
    </row>
    <row r="256" ht="21.0" customHeight="1">
      <c r="A256" s="1"/>
      <c r="B256" s="48" t="s">
        <v>47</v>
      </c>
      <c r="C256" s="49"/>
      <c r="D256" s="91">
        <f t="array" ref="D256">iferror(vlookup(xlookup(B245,'현황'!O:O,'현황'!O:O,,-1,-1),'현황'!O:S,4,false),0)</f>
        <v>0</v>
      </c>
      <c r="E256" s="41"/>
      <c r="F256" s="92" t="s">
        <v>40</v>
      </c>
      <c r="G256" s="79"/>
      <c r="H256" s="93"/>
      <c r="I256" s="94"/>
      <c r="J256" s="95"/>
      <c r="K256" s="96"/>
      <c r="L256" s="95"/>
      <c r="M256" s="96"/>
      <c r="N256" s="95"/>
      <c r="O256" s="96"/>
      <c r="P256" s="95"/>
      <c r="Q256" s="96"/>
      <c r="R256" s="95"/>
      <c r="S256" s="96"/>
      <c r="T256" s="95"/>
      <c r="U256" s="96"/>
      <c r="V256" s="95"/>
      <c r="W256" s="96"/>
      <c r="X256" s="95"/>
      <c r="Y256" s="96"/>
      <c r="Z256" s="97" t="b">
        <v>0</v>
      </c>
      <c r="AA256" s="135">
        <f t="shared" si="97"/>
        <v>0</v>
      </c>
      <c r="AB256" s="136">
        <f t="shared" si="98"/>
        <v>0</v>
      </c>
      <c r="AC256" s="137">
        <f t="shared" si="99"/>
        <v>0</v>
      </c>
      <c r="AD256" s="138">
        <f t="shared" si="100"/>
        <v>0</v>
      </c>
      <c r="AE256" s="136">
        <f t="shared" si="101"/>
        <v>0</v>
      </c>
      <c r="AF256" s="138">
        <f t="shared" si="102"/>
        <v>0</v>
      </c>
      <c r="AG256" s="1"/>
    </row>
    <row r="257" ht="21.0" customHeight="1">
      <c r="A257" s="1"/>
      <c r="B257" s="102" t="s">
        <v>48</v>
      </c>
      <c r="C257" s="103"/>
      <c r="D257" s="104">
        <f>iferror(D256/D254,0)</f>
        <v>0</v>
      </c>
      <c r="E257" s="102" t="s">
        <v>49</v>
      </c>
      <c r="F257" s="103"/>
      <c r="G257" s="105"/>
      <c r="H257" s="106" t="s">
        <v>50</v>
      </c>
      <c r="I257" s="107"/>
      <c r="J257" s="11"/>
      <c r="K257" s="11"/>
      <c r="L257" s="11"/>
      <c r="M257" s="11"/>
      <c r="N257" s="11"/>
      <c r="O257" s="11"/>
      <c r="P257" s="108" t="s">
        <v>51</v>
      </c>
      <c r="Q257" s="12"/>
      <c r="R257" s="109"/>
      <c r="S257" s="11"/>
      <c r="T257" s="11"/>
      <c r="U257" s="11"/>
      <c r="V257" s="11"/>
      <c r="W257" s="11"/>
      <c r="X257" s="11"/>
      <c r="Y257" s="11"/>
      <c r="Z257" s="12"/>
      <c r="AA257" s="139">
        <f>SUM(AA248:AA256)</f>
        <v>150</v>
      </c>
      <c r="AB257" s="140" t="s">
        <v>125</v>
      </c>
      <c r="AG257" s="1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1"/>
      <c r="AA258" s="1"/>
      <c r="AB258" s="1"/>
      <c r="AC258" s="3"/>
      <c r="AD258" s="1"/>
      <c r="AE258" s="1"/>
      <c r="AF258" s="1"/>
      <c r="AG258" s="1"/>
    </row>
    <row r="259" ht="21.0" customHeight="1">
      <c r="A259" s="1"/>
      <c r="B259" s="4" t="s">
        <v>1</v>
      </c>
      <c r="C259" s="5"/>
      <c r="D259" s="6" t="s">
        <v>2</v>
      </c>
      <c r="E259" s="7"/>
      <c r="F259" s="7"/>
      <c r="G259" s="5"/>
      <c r="H259" s="8" t="s">
        <v>3</v>
      </c>
      <c r="I259" s="8" t="s">
        <v>4</v>
      </c>
      <c r="J259" s="9" t="s">
        <v>5</v>
      </c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5"/>
      <c r="AA259" s="117" t="s">
        <v>6</v>
      </c>
      <c r="AB259" s="11"/>
      <c r="AC259" s="11"/>
      <c r="AD259" s="11"/>
      <c r="AE259" s="11"/>
      <c r="AF259" s="12"/>
      <c r="AG259" s="1"/>
    </row>
    <row r="260" ht="21.0" customHeight="1">
      <c r="A260" s="1"/>
      <c r="B260" s="13">
        <v>46090.0</v>
      </c>
      <c r="C260" s="14" t="str">
        <f>if(B260="0/0","",choose(weekday(B260),"(일)","(월)","(화)","(수)","(목)","(금)","(토)"))</f>
        <v>(월)</v>
      </c>
      <c r="D260" s="15" t="s">
        <v>7</v>
      </c>
      <c r="E260" s="16" t="s">
        <v>8</v>
      </c>
      <c r="F260" s="17"/>
      <c r="G260" s="18" t="s">
        <v>9</v>
      </c>
      <c r="H260" s="19" t="s">
        <v>10</v>
      </c>
      <c r="I260" s="20" t="s">
        <v>11</v>
      </c>
      <c r="J260" s="21" t="s">
        <v>12</v>
      </c>
      <c r="K260" s="22"/>
      <c r="L260" s="21" t="s">
        <v>13</v>
      </c>
      <c r="M260" s="22"/>
      <c r="N260" s="21" t="s">
        <v>14</v>
      </c>
      <c r="O260" s="22"/>
      <c r="P260" s="21" t="s">
        <v>15</v>
      </c>
      <c r="Q260" s="22"/>
      <c r="R260" s="23" t="s">
        <v>16</v>
      </c>
      <c r="S260" s="22"/>
      <c r="T260" s="23" t="s">
        <v>17</v>
      </c>
      <c r="U260" s="22"/>
      <c r="V260" s="23" t="s">
        <v>18</v>
      </c>
      <c r="W260" s="22"/>
      <c r="X260" s="23" t="s">
        <v>19</v>
      </c>
      <c r="Y260" s="22"/>
      <c r="Z260" s="24" t="s">
        <v>126</v>
      </c>
      <c r="AA260" s="118" t="s">
        <v>21</v>
      </c>
      <c r="AB260" s="119" t="s">
        <v>22</v>
      </c>
      <c r="AC260" s="7"/>
      <c r="AD260" s="22"/>
      <c r="AE260" s="120" t="s">
        <v>23</v>
      </c>
      <c r="AF260" s="22"/>
      <c r="AG260" s="1"/>
    </row>
    <row r="261" ht="21.0" customHeight="1">
      <c r="A261" s="1"/>
      <c r="B261" s="27">
        <f>iferror(B260-'현황'!$C$4+1,0)</f>
        <v>0</v>
      </c>
      <c r="C261" s="28"/>
      <c r="D261" s="29">
        <v>0.0</v>
      </c>
      <c r="E261" s="30">
        <v>0.0</v>
      </c>
      <c r="F261" s="31"/>
      <c r="G261" s="32">
        <v>0.0</v>
      </c>
      <c r="H261" s="33">
        <v>0.0</v>
      </c>
      <c r="I261" s="34"/>
      <c r="J261" s="35"/>
      <c r="K261" s="36"/>
      <c r="L261" s="35"/>
      <c r="M261" s="36"/>
      <c r="N261" s="35"/>
      <c r="O261" s="36"/>
      <c r="P261" s="35"/>
      <c r="Q261" s="36"/>
      <c r="R261" s="35"/>
      <c r="S261" s="36"/>
      <c r="T261" s="35"/>
      <c r="U261" s="36"/>
      <c r="V261" s="35"/>
      <c r="W261" s="36"/>
      <c r="X261" s="35"/>
      <c r="Y261" s="36"/>
      <c r="Z261" s="37"/>
      <c r="AA261" s="37"/>
      <c r="AB261" s="35"/>
      <c r="AC261" s="38"/>
      <c r="AD261" s="36"/>
      <c r="AE261" s="35"/>
      <c r="AF261" s="36"/>
      <c r="AG261" s="1"/>
    </row>
    <row r="262" ht="21.0" customHeight="1">
      <c r="A262" s="1"/>
      <c r="B262" s="39" t="s">
        <v>24</v>
      </c>
      <c r="C262" s="40"/>
      <c r="D262" s="41"/>
      <c r="E262" s="42" t="s">
        <v>25</v>
      </c>
      <c r="F262" s="40"/>
      <c r="G262" s="41"/>
      <c r="H262" s="43" t="s">
        <v>26</v>
      </c>
      <c r="J262" s="44" t="s">
        <v>27</v>
      </c>
      <c r="K262" s="45" t="s">
        <v>28</v>
      </c>
      <c r="L262" s="44" t="s">
        <v>27</v>
      </c>
      <c r="M262" s="45" t="s">
        <v>28</v>
      </c>
      <c r="N262" s="44" t="s">
        <v>27</v>
      </c>
      <c r="O262" s="45" t="s">
        <v>28</v>
      </c>
      <c r="P262" s="44" t="s">
        <v>27</v>
      </c>
      <c r="Q262" s="45" t="s">
        <v>28</v>
      </c>
      <c r="R262" s="44" t="s">
        <v>27</v>
      </c>
      <c r="S262" s="45" t="s">
        <v>28</v>
      </c>
      <c r="T262" s="44" t="s">
        <v>27</v>
      </c>
      <c r="U262" s="45" t="s">
        <v>28</v>
      </c>
      <c r="V262" s="44" t="s">
        <v>27</v>
      </c>
      <c r="W262" s="45" t="s">
        <v>28</v>
      </c>
      <c r="X262" s="44" t="s">
        <v>27</v>
      </c>
      <c r="Y262" s="45" t="s">
        <v>28</v>
      </c>
      <c r="Z262" s="46"/>
      <c r="AA262" s="46"/>
      <c r="AB262" s="121" t="s">
        <v>29</v>
      </c>
      <c r="AC262" s="122" t="s">
        <v>30</v>
      </c>
      <c r="AD262" s="123" t="s">
        <v>31</v>
      </c>
      <c r="AE262" s="121" t="s">
        <v>27</v>
      </c>
      <c r="AF262" s="123" t="s">
        <v>28</v>
      </c>
      <c r="AG262" s="1"/>
    </row>
    <row r="263" ht="21.0" customHeight="1">
      <c r="A263" s="1"/>
      <c r="B263" s="48" t="s">
        <v>32</v>
      </c>
      <c r="C263" s="49"/>
      <c r="D263" s="50"/>
      <c r="E263" s="51" t="s">
        <v>33</v>
      </c>
      <c r="F263" s="52" t="s">
        <v>34</v>
      </c>
      <c r="G263" s="53"/>
      <c r="H263" s="54" t="s">
        <v>127</v>
      </c>
      <c r="I263" s="55"/>
      <c r="J263" s="56">
        <v>5.0</v>
      </c>
      <c r="K263" s="57">
        <v>15.0</v>
      </c>
      <c r="L263" s="56">
        <v>5.0</v>
      </c>
      <c r="M263" s="57">
        <v>15.0</v>
      </c>
      <c r="N263" s="56">
        <v>5.0</v>
      </c>
      <c r="O263" s="57">
        <v>15.0</v>
      </c>
      <c r="P263" s="56">
        <v>5.0</v>
      </c>
      <c r="Q263" s="57">
        <v>15.0</v>
      </c>
      <c r="R263" s="58"/>
      <c r="S263" s="59"/>
      <c r="T263" s="58"/>
      <c r="U263" s="59"/>
      <c r="V263" s="58"/>
      <c r="W263" s="59"/>
      <c r="X263" s="58"/>
      <c r="Y263" s="59"/>
      <c r="Z263" s="60" t="b">
        <v>0</v>
      </c>
      <c r="AA263" s="125">
        <f t="shared" ref="AA263:AA271" si="103">(J263*K263+L263*M263+N263*O263+P263*Q263+R263*S263+T263*U263+V263*W263+X263*Y263)*if(Z263=true,0.453592,1)</f>
        <v>300</v>
      </c>
      <c r="AB263" s="126">
        <f t="shared" ref="AB263:AB271" si="104">SUM(AE263*AF263*0.025,AE263)</f>
        <v>6.875</v>
      </c>
      <c r="AC263" s="127">
        <f t="shared" ref="AC263:AC271" si="105">AB263*87%</f>
        <v>5.98125</v>
      </c>
      <c r="AD263" s="128">
        <f t="shared" ref="AD263:AD271" si="106">AB263*67%</f>
        <v>4.60625</v>
      </c>
      <c r="AE263" s="126">
        <f t="shared" ref="AE263:AE271" si="107">MAX(J263,L263,N263,P263,R263,T263,V263,X263)*if(Z263=true,0.453592,1)</f>
        <v>5</v>
      </c>
      <c r="AF263" s="128">
        <f t="shared" ref="AF263:AF271" si="108">MAX(IF(J263*if(Z263=true,0.453592,1)=$AE263,K263,0),IF(L263*if(Z263=true,0.453592,1)=$AE263,M263,0),IF(N263*if(Z263=true,0.453592,1)=$AE263,O263,0),IF(P263*if(Z263=true,0.453592,1)=$AE263,Q263,0),IF(R263*if(Z263=true,0.453592,1)=$AE263,S263,0),IF(T263*if(Z263=true,0.453592,1)=$AE263,U263,0),IF(V263*if(Z263=true,0.453592,1)=$AE263,W263,0),IF(X263*if(Z263=true,0.453592,1)=$AE263,Y263,0))</f>
        <v>15</v>
      </c>
      <c r="AG263" s="1"/>
    </row>
    <row r="264" ht="21.0" customHeight="1">
      <c r="A264" s="1"/>
      <c r="B264" s="48" t="s">
        <v>36</v>
      </c>
      <c r="C264" s="49"/>
      <c r="D264" s="65"/>
      <c r="E264" s="66"/>
      <c r="F264" s="52" t="s">
        <v>37</v>
      </c>
      <c r="G264" s="67"/>
      <c r="H264" s="68" t="s">
        <v>128</v>
      </c>
      <c r="I264" s="69"/>
      <c r="J264" s="70">
        <v>0.0</v>
      </c>
      <c r="K264" s="71">
        <v>15.0</v>
      </c>
      <c r="L264" s="116">
        <v>2.5</v>
      </c>
      <c r="M264" s="71">
        <v>15.0</v>
      </c>
      <c r="N264" s="116">
        <v>2.5</v>
      </c>
      <c r="O264" s="71">
        <v>15.0</v>
      </c>
      <c r="P264" s="116">
        <v>2.5</v>
      </c>
      <c r="Q264" s="71">
        <v>15.0</v>
      </c>
      <c r="R264" s="72"/>
      <c r="S264" s="73"/>
      <c r="T264" s="72"/>
      <c r="U264" s="73"/>
      <c r="V264" s="72"/>
      <c r="W264" s="73"/>
      <c r="X264" s="72"/>
      <c r="Y264" s="73"/>
      <c r="Z264" s="74" t="b">
        <v>0</v>
      </c>
      <c r="AA264" s="130">
        <f t="shared" si="103"/>
        <v>112.5</v>
      </c>
      <c r="AB264" s="131">
        <f t="shared" si="104"/>
        <v>3.4375</v>
      </c>
      <c r="AC264" s="132">
        <f t="shared" si="105"/>
        <v>2.990625</v>
      </c>
      <c r="AD264" s="133">
        <f t="shared" si="106"/>
        <v>2.303125</v>
      </c>
      <c r="AE264" s="131">
        <f t="shared" si="107"/>
        <v>2.5</v>
      </c>
      <c r="AF264" s="133">
        <f t="shared" si="108"/>
        <v>15</v>
      </c>
      <c r="AG264" s="1"/>
    </row>
    <row r="265" ht="21.0" customHeight="1">
      <c r="A265" s="1"/>
      <c r="B265" s="48" t="s">
        <v>39</v>
      </c>
      <c r="C265" s="49"/>
      <c r="D265" s="65"/>
      <c r="E265" s="41"/>
      <c r="F265" s="52" t="s">
        <v>40</v>
      </c>
      <c r="G265" s="79"/>
      <c r="H265" s="115" t="s">
        <v>79</v>
      </c>
      <c r="I265" s="69"/>
      <c r="J265" s="70">
        <v>5.0</v>
      </c>
      <c r="K265" s="71">
        <v>15.0</v>
      </c>
      <c r="L265" s="70">
        <v>5.0</v>
      </c>
      <c r="M265" s="71">
        <v>12.0</v>
      </c>
      <c r="N265" s="70">
        <v>5.0</v>
      </c>
      <c r="O265" s="71">
        <v>12.0</v>
      </c>
      <c r="P265" s="70">
        <v>5.0</v>
      </c>
      <c r="Q265" s="71">
        <v>10.0</v>
      </c>
      <c r="R265" s="72"/>
      <c r="S265" s="73"/>
      <c r="T265" s="72"/>
      <c r="U265" s="73"/>
      <c r="V265" s="72"/>
      <c r="W265" s="73"/>
      <c r="X265" s="72"/>
      <c r="Y265" s="73"/>
      <c r="Z265" s="74" t="b">
        <v>0</v>
      </c>
      <c r="AA265" s="130">
        <f t="shared" si="103"/>
        <v>245</v>
      </c>
      <c r="AB265" s="131">
        <f t="shared" si="104"/>
        <v>6.875</v>
      </c>
      <c r="AC265" s="132">
        <f t="shared" si="105"/>
        <v>5.98125</v>
      </c>
      <c r="AD265" s="133">
        <f t="shared" si="106"/>
        <v>4.60625</v>
      </c>
      <c r="AE265" s="131">
        <f t="shared" si="107"/>
        <v>5</v>
      </c>
      <c r="AF265" s="133">
        <f t="shared" si="108"/>
        <v>15</v>
      </c>
      <c r="AG265" s="1"/>
    </row>
    <row r="266" ht="21.0" customHeight="1">
      <c r="A266" s="1"/>
      <c r="B266" s="48" t="s">
        <v>41</v>
      </c>
      <c r="C266" s="81"/>
      <c r="D266" s="82" t="b">
        <v>0</v>
      </c>
      <c r="E266" s="51" t="s">
        <v>42</v>
      </c>
      <c r="F266" s="52" t="s">
        <v>34</v>
      </c>
      <c r="G266" s="83"/>
      <c r="H266" s="84"/>
      <c r="I266" s="85"/>
      <c r="J266" s="72"/>
      <c r="K266" s="73"/>
      <c r="L266" s="72"/>
      <c r="M266" s="73"/>
      <c r="N266" s="72"/>
      <c r="O266" s="73"/>
      <c r="P266" s="72"/>
      <c r="Q266" s="73"/>
      <c r="R266" s="72"/>
      <c r="S266" s="73"/>
      <c r="T266" s="72"/>
      <c r="U266" s="73"/>
      <c r="V266" s="72"/>
      <c r="W266" s="73"/>
      <c r="X266" s="72"/>
      <c r="Y266" s="73"/>
      <c r="Z266" s="74" t="b">
        <v>0</v>
      </c>
      <c r="AA266" s="130">
        <f t="shared" si="103"/>
        <v>0</v>
      </c>
      <c r="AB266" s="131">
        <f t="shared" si="104"/>
        <v>0</v>
      </c>
      <c r="AC266" s="132">
        <f t="shared" si="105"/>
        <v>0</v>
      </c>
      <c r="AD266" s="133">
        <f t="shared" si="106"/>
        <v>0</v>
      </c>
      <c r="AE266" s="131">
        <f t="shared" si="107"/>
        <v>0</v>
      </c>
      <c r="AF266" s="133">
        <f t="shared" si="108"/>
        <v>0</v>
      </c>
      <c r="AG266" s="1"/>
    </row>
    <row r="267" ht="21.0" customHeight="1">
      <c r="A267" s="1"/>
      <c r="B267" s="48" t="s">
        <v>43</v>
      </c>
      <c r="C267" s="49"/>
      <c r="D267" s="86" t="b">
        <v>0</v>
      </c>
      <c r="E267" s="66"/>
      <c r="F267" s="52" t="s">
        <v>37</v>
      </c>
      <c r="G267" s="67"/>
      <c r="H267" s="80"/>
      <c r="I267" s="69"/>
      <c r="J267" s="72"/>
      <c r="K267" s="73"/>
      <c r="L267" s="72"/>
      <c r="M267" s="73"/>
      <c r="N267" s="72"/>
      <c r="O267" s="73"/>
      <c r="P267" s="72"/>
      <c r="Q267" s="73"/>
      <c r="R267" s="72"/>
      <c r="S267" s="73"/>
      <c r="T267" s="72"/>
      <c r="U267" s="73"/>
      <c r="V267" s="72"/>
      <c r="W267" s="73"/>
      <c r="X267" s="72"/>
      <c r="Y267" s="73"/>
      <c r="Z267" s="74" t="b">
        <v>0</v>
      </c>
      <c r="AA267" s="130">
        <f t="shared" si="103"/>
        <v>0</v>
      </c>
      <c r="AB267" s="131">
        <f t="shared" si="104"/>
        <v>0</v>
      </c>
      <c r="AC267" s="132">
        <f t="shared" si="105"/>
        <v>0</v>
      </c>
      <c r="AD267" s="133">
        <f t="shared" si="106"/>
        <v>0</v>
      </c>
      <c r="AE267" s="131">
        <f t="shared" si="107"/>
        <v>0</v>
      </c>
      <c r="AF267" s="133">
        <f t="shared" si="108"/>
        <v>0</v>
      </c>
      <c r="AG267" s="1"/>
    </row>
    <row r="268" ht="21.0" customHeight="1">
      <c r="A268" s="1"/>
      <c r="B268" s="87" t="str">
        <f t="array" ref="B268">"📌최근 인바디 결과 : "&amp;text(xlookup(B260,'현황'!O:O,'현황'!O:O,,-1,-1),"m/d(ddd)")</f>
        <v>#REF!</v>
      </c>
      <c r="C268" s="88"/>
      <c r="D268" s="49"/>
      <c r="E268" s="41"/>
      <c r="F268" s="52" t="s">
        <v>40</v>
      </c>
      <c r="G268" s="79"/>
      <c r="H268" s="80"/>
      <c r="I268" s="69"/>
      <c r="J268" s="72"/>
      <c r="K268" s="73"/>
      <c r="L268" s="72"/>
      <c r="M268" s="73"/>
      <c r="N268" s="72"/>
      <c r="O268" s="73"/>
      <c r="P268" s="72"/>
      <c r="Q268" s="73"/>
      <c r="R268" s="72"/>
      <c r="S268" s="73"/>
      <c r="T268" s="72"/>
      <c r="U268" s="73"/>
      <c r="V268" s="72"/>
      <c r="W268" s="73"/>
      <c r="X268" s="72"/>
      <c r="Y268" s="73"/>
      <c r="Z268" s="74" t="b">
        <v>0</v>
      </c>
      <c r="AA268" s="130">
        <f t="shared" si="103"/>
        <v>0</v>
      </c>
      <c r="AB268" s="131">
        <f t="shared" si="104"/>
        <v>0</v>
      </c>
      <c r="AC268" s="132">
        <f t="shared" si="105"/>
        <v>0</v>
      </c>
      <c r="AD268" s="133">
        <f t="shared" si="106"/>
        <v>0</v>
      </c>
      <c r="AE268" s="131">
        <f t="shared" si="107"/>
        <v>0</v>
      </c>
      <c r="AF268" s="133">
        <f t="shared" si="108"/>
        <v>0</v>
      </c>
      <c r="AG268" s="1"/>
    </row>
    <row r="269" ht="21.0" customHeight="1">
      <c r="A269" s="1"/>
      <c r="B269" s="89" t="s">
        <v>44</v>
      </c>
      <c r="C269" s="49"/>
      <c r="D269" s="90">
        <f t="array" ref="D269">iferror(vlookup(xlookup(B260,'현황'!O:O,'현황'!O:O,,-1,-1),'현황'!O:S,2,false),0)</f>
        <v>0</v>
      </c>
      <c r="E269" s="51" t="s">
        <v>45</v>
      </c>
      <c r="F269" s="52" t="s">
        <v>34</v>
      </c>
      <c r="G269" s="83"/>
      <c r="H269" s="84"/>
      <c r="I269" s="85"/>
      <c r="J269" s="72"/>
      <c r="K269" s="73"/>
      <c r="L269" s="72"/>
      <c r="M269" s="73"/>
      <c r="N269" s="72"/>
      <c r="O269" s="73"/>
      <c r="P269" s="72"/>
      <c r="Q269" s="73"/>
      <c r="R269" s="72"/>
      <c r="S269" s="73"/>
      <c r="T269" s="72"/>
      <c r="U269" s="73"/>
      <c r="V269" s="72"/>
      <c r="W269" s="73"/>
      <c r="X269" s="72"/>
      <c r="Y269" s="73"/>
      <c r="Z269" s="74" t="b">
        <v>0</v>
      </c>
      <c r="AA269" s="130">
        <f t="shared" si="103"/>
        <v>0</v>
      </c>
      <c r="AB269" s="131">
        <f t="shared" si="104"/>
        <v>0</v>
      </c>
      <c r="AC269" s="132">
        <f t="shared" si="105"/>
        <v>0</v>
      </c>
      <c r="AD269" s="133">
        <f t="shared" si="106"/>
        <v>0</v>
      </c>
      <c r="AE269" s="131">
        <f t="shared" si="107"/>
        <v>0</v>
      </c>
      <c r="AF269" s="133">
        <f t="shared" si="108"/>
        <v>0</v>
      </c>
      <c r="AG269" s="1"/>
    </row>
    <row r="270" ht="21.0" customHeight="1">
      <c r="A270" s="1"/>
      <c r="B270" s="48" t="s">
        <v>46</v>
      </c>
      <c r="C270" s="49"/>
      <c r="D270" s="91">
        <f t="array" ref="D270">iferror(vlookup(xlookup(B260,'현황'!O:O,'현황'!O:O,,-1,-1),'현황'!O:S,3,false),0)</f>
        <v>0</v>
      </c>
      <c r="E270" s="66"/>
      <c r="F270" s="52" t="s">
        <v>37</v>
      </c>
      <c r="G270" s="67"/>
      <c r="H270" s="80"/>
      <c r="I270" s="69"/>
      <c r="J270" s="72"/>
      <c r="K270" s="73"/>
      <c r="L270" s="72"/>
      <c r="M270" s="73"/>
      <c r="N270" s="72"/>
      <c r="O270" s="73"/>
      <c r="P270" s="72"/>
      <c r="Q270" s="73"/>
      <c r="R270" s="72"/>
      <c r="S270" s="73"/>
      <c r="T270" s="72"/>
      <c r="U270" s="73"/>
      <c r="V270" s="72"/>
      <c r="W270" s="73"/>
      <c r="X270" s="72"/>
      <c r="Y270" s="73"/>
      <c r="Z270" s="74" t="b">
        <v>0</v>
      </c>
      <c r="AA270" s="130">
        <f t="shared" si="103"/>
        <v>0</v>
      </c>
      <c r="AB270" s="131">
        <f t="shared" si="104"/>
        <v>0</v>
      </c>
      <c r="AC270" s="132">
        <f t="shared" si="105"/>
        <v>0</v>
      </c>
      <c r="AD270" s="133">
        <f t="shared" si="106"/>
        <v>0</v>
      </c>
      <c r="AE270" s="131">
        <f t="shared" si="107"/>
        <v>0</v>
      </c>
      <c r="AF270" s="133">
        <f t="shared" si="108"/>
        <v>0</v>
      </c>
      <c r="AG270" s="1"/>
    </row>
    <row r="271" ht="21.0" customHeight="1">
      <c r="A271" s="1"/>
      <c r="B271" s="48" t="s">
        <v>47</v>
      </c>
      <c r="C271" s="49"/>
      <c r="D271" s="91">
        <f t="array" ref="D271">iferror(vlookup(xlookup(B260,'현황'!O:O,'현황'!O:O,,-1,-1),'현황'!O:S,4,false),0)</f>
        <v>0</v>
      </c>
      <c r="E271" s="41"/>
      <c r="F271" s="92" t="s">
        <v>40</v>
      </c>
      <c r="G271" s="79"/>
      <c r="H271" s="93"/>
      <c r="I271" s="94"/>
      <c r="J271" s="95"/>
      <c r="K271" s="96"/>
      <c r="L271" s="95"/>
      <c r="M271" s="96"/>
      <c r="N271" s="95"/>
      <c r="O271" s="96"/>
      <c r="P271" s="95"/>
      <c r="Q271" s="96"/>
      <c r="R271" s="95"/>
      <c r="S271" s="96"/>
      <c r="T271" s="95"/>
      <c r="U271" s="96"/>
      <c r="V271" s="95"/>
      <c r="W271" s="96"/>
      <c r="X271" s="95"/>
      <c r="Y271" s="96"/>
      <c r="Z271" s="97" t="b">
        <v>0</v>
      </c>
      <c r="AA271" s="135">
        <f t="shared" si="103"/>
        <v>0</v>
      </c>
      <c r="AB271" s="136">
        <f t="shared" si="104"/>
        <v>0</v>
      </c>
      <c r="AC271" s="137">
        <f t="shared" si="105"/>
        <v>0</v>
      </c>
      <c r="AD271" s="138">
        <f t="shared" si="106"/>
        <v>0</v>
      </c>
      <c r="AE271" s="136">
        <f t="shared" si="107"/>
        <v>0</v>
      </c>
      <c r="AF271" s="138">
        <f t="shared" si="108"/>
        <v>0</v>
      </c>
      <c r="AG271" s="1"/>
    </row>
    <row r="272" ht="21.0" customHeight="1">
      <c r="A272" s="1"/>
      <c r="B272" s="102" t="s">
        <v>48</v>
      </c>
      <c r="C272" s="103"/>
      <c r="D272" s="104">
        <f>iferror(D271/D269,0)</f>
        <v>0</v>
      </c>
      <c r="E272" s="102" t="s">
        <v>49</v>
      </c>
      <c r="F272" s="103"/>
      <c r="G272" s="105"/>
      <c r="H272" s="106" t="s">
        <v>50</v>
      </c>
      <c r="I272" s="107"/>
      <c r="J272" s="11"/>
      <c r="K272" s="11"/>
      <c r="L272" s="11"/>
      <c r="M272" s="11"/>
      <c r="N272" s="11"/>
      <c r="O272" s="11"/>
      <c r="P272" s="108" t="s">
        <v>51</v>
      </c>
      <c r="Q272" s="12"/>
      <c r="R272" s="109"/>
      <c r="S272" s="11"/>
      <c r="T272" s="11"/>
      <c r="U272" s="11"/>
      <c r="V272" s="11"/>
      <c r="W272" s="11"/>
      <c r="X272" s="11"/>
      <c r="Y272" s="11"/>
      <c r="Z272" s="12"/>
      <c r="AA272" s="139">
        <f>SUM(AA263:AA271)</f>
        <v>657.5</v>
      </c>
      <c r="AB272" s="140" t="s">
        <v>129</v>
      </c>
      <c r="AG272" s="1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1"/>
      <c r="AA273" s="1"/>
      <c r="AB273" s="1"/>
      <c r="AC273" s="3"/>
      <c r="AD273" s="1"/>
      <c r="AE273" s="1"/>
      <c r="AF273" s="1"/>
      <c r="AG273" s="1"/>
    </row>
    <row r="274" ht="21.0" customHeight="1">
      <c r="A274" s="1"/>
      <c r="B274" s="4" t="s">
        <v>1</v>
      </c>
      <c r="C274" s="5"/>
      <c r="D274" s="6" t="s">
        <v>2</v>
      </c>
      <c r="E274" s="7"/>
      <c r="F274" s="7"/>
      <c r="G274" s="5"/>
      <c r="H274" s="8" t="s">
        <v>3</v>
      </c>
      <c r="I274" s="8" t="s">
        <v>4</v>
      </c>
      <c r="J274" s="9" t="s">
        <v>5</v>
      </c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5"/>
      <c r="AA274" s="117" t="s">
        <v>6</v>
      </c>
      <c r="AB274" s="11"/>
      <c r="AC274" s="11"/>
      <c r="AD274" s="11"/>
      <c r="AE274" s="11"/>
      <c r="AF274" s="12"/>
      <c r="AG274" s="1"/>
    </row>
    <row r="275" ht="21.0" customHeight="1">
      <c r="A275" s="1"/>
      <c r="B275" s="13">
        <v>46092.0</v>
      </c>
      <c r="C275" s="14" t="str">
        <f>if(B275="0/0","",choose(weekday(B275),"(일)","(월)","(화)","(수)","(목)","(금)","(토)"))</f>
        <v>(수)</v>
      </c>
      <c r="D275" s="15" t="s">
        <v>7</v>
      </c>
      <c r="E275" s="16" t="s">
        <v>8</v>
      </c>
      <c r="F275" s="17"/>
      <c r="G275" s="18" t="s">
        <v>9</v>
      </c>
      <c r="H275" s="19" t="s">
        <v>10</v>
      </c>
      <c r="I275" s="20" t="s">
        <v>130</v>
      </c>
      <c r="J275" s="21" t="s">
        <v>12</v>
      </c>
      <c r="K275" s="22"/>
      <c r="L275" s="21" t="s">
        <v>13</v>
      </c>
      <c r="M275" s="22"/>
      <c r="N275" s="21" t="s">
        <v>14</v>
      </c>
      <c r="O275" s="22"/>
      <c r="P275" s="21" t="s">
        <v>15</v>
      </c>
      <c r="Q275" s="22"/>
      <c r="R275" s="23" t="s">
        <v>16</v>
      </c>
      <c r="S275" s="22"/>
      <c r="T275" s="23" t="s">
        <v>17</v>
      </c>
      <c r="U275" s="22"/>
      <c r="V275" s="23" t="s">
        <v>18</v>
      </c>
      <c r="W275" s="22"/>
      <c r="X275" s="23" t="s">
        <v>19</v>
      </c>
      <c r="Y275" s="22"/>
      <c r="Z275" s="24" t="s">
        <v>131</v>
      </c>
      <c r="AA275" s="118" t="s">
        <v>21</v>
      </c>
      <c r="AB275" s="119" t="s">
        <v>22</v>
      </c>
      <c r="AC275" s="7"/>
      <c r="AD275" s="22"/>
      <c r="AE275" s="120" t="s">
        <v>23</v>
      </c>
      <c r="AF275" s="22"/>
      <c r="AG275" s="1"/>
    </row>
    <row r="276" ht="21.0" customHeight="1">
      <c r="A276" s="1"/>
      <c r="B276" s="27">
        <f>iferror(B275-'현황'!$C$4+1,0)</f>
        <v>0</v>
      </c>
      <c r="C276" s="28"/>
      <c r="D276" s="29">
        <v>0.0</v>
      </c>
      <c r="E276" s="30">
        <v>0.0</v>
      </c>
      <c r="F276" s="31"/>
      <c r="G276" s="32">
        <v>0.0</v>
      </c>
      <c r="H276" s="33">
        <v>0.0</v>
      </c>
      <c r="I276" s="34"/>
      <c r="J276" s="35"/>
      <c r="K276" s="36"/>
      <c r="L276" s="35"/>
      <c r="M276" s="36"/>
      <c r="N276" s="35"/>
      <c r="O276" s="36"/>
      <c r="P276" s="35"/>
      <c r="Q276" s="36"/>
      <c r="R276" s="35"/>
      <c r="S276" s="36"/>
      <c r="T276" s="35"/>
      <c r="U276" s="36"/>
      <c r="V276" s="35"/>
      <c r="W276" s="36"/>
      <c r="X276" s="35"/>
      <c r="Y276" s="36"/>
      <c r="Z276" s="37"/>
      <c r="AA276" s="37"/>
      <c r="AB276" s="35"/>
      <c r="AC276" s="38"/>
      <c r="AD276" s="36"/>
      <c r="AE276" s="35"/>
      <c r="AF276" s="36"/>
      <c r="AG276" s="1"/>
    </row>
    <row r="277" ht="21.0" customHeight="1">
      <c r="A277" s="1"/>
      <c r="B277" s="39" t="s">
        <v>24</v>
      </c>
      <c r="C277" s="40"/>
      <c r="D277" s="41"/>
      <c r="E277" s="42" t="s">
        <v>25</v>
      </c>
      <c r="F277" s="40"/>
      <c r="G277" s="41"/>
      <c r="H277" s="43" t="s">
        <v>26</v>
      </c>
      <c r="J277" s="44" t="s">
        <v>27</v>
      </c>
      <c r="K277" s="45" t="s">
        <v>28</v>
      </c>
      <c r="L277" s="44" t="s">
        <v>27</v>
      </c>
      <c r="M277" s="45" t="s">
        <v>28</v>
      </c>
      <c r="N277" s="44" t="s">
        <v>27</v>
      </c>
      <c r="O277" s="45" t="s">
        <v>28</v>
      </c>
      <c r="P277" s="44" t="s">
        <v>27</v>
      </c>
      <c r="Q277" s="45" t="s">
        <v>28</v>
      </c>
      <c r="R277" s="44" t="s">
        <v>27</v>
      </c>
      <c r="S277" s="45" t="s">
        <v>28</v>
      </c>
      <c r="T277" s="44" t="s">
        <v>27</v>
      </c>
      <c r="U277" s="45" t="s">
        <v>28</v>
      </c>
      <c r="V277" s="44" t="s">
        <v>27</v>
      </c>
      <c r="W277" s="45" t="s">
        <v>28</v>
      </c>
      <c r="X277" s="44" t="s">
        <v>27</v>
      </c>
      <c r="Y277" s="45" t="s">
        <v>28</v>
      </c>
      <c r="Z277" s="46"/>
      <c r="AA277" s="46"/>
      <c r="AB277" s="121" t="s">
        <v>29</v>
      </c>
      <c r="AC277" s="122" t="s">
        <v>30</v>
      </c>
      <c r="AD277" s="123" t="s">
        <v>31</v>
      </c>
      <c r="AE277" s="121" t="s">
        <v>27</v>
      </c>
      <c r="AF277" s="123" t="s">
        <v>28</v>
      </c>
      <c r="AG277" s="1"/>
    </row>
    <row r="278" ht="21.0" customHeight="1">
      <c r="A278" s="1"/>
      <c r="B278" s="48" t="s">
        <v>32</v>
      </c>
      <c r="C278" s="49"/>
      <c r="D278" s="50"/>
      <c r="E278" s="51" t="s">
        <v>33</v>
      </c>
      <c r="F278" s="52" t="s">
        <v>34</v>
      </c>
      <c r="G278" s="53"/>
      <c r="H278" s="148"/>
      <c r="I278" s="55"/>
      <c r="J278" s="58"/>
      <c r="K278" s="59"/>
      <c r="L278" s="58"/>
      <c r="M278" s="59"/>
      <c r="N278" s="58"/>
      <c r="O278" s="59"/>
      <c r="P278" s="58"/>
      <c r="Q278" s="59"/>
      <c r="R278" s="58"/>
      <c r="S278" s="59"/>
      <c r="T278" s="58"/>
      <c r="U278" s="59"/>
      <c r="V278" s="58"/>
      <c r="W278" s="59"/>
      <c r="X278" s="58"/>
      <c r="Y278" s="59"/>
      <c r="Z278" s="60" t="b">
        <v>0</v>
      </c>
      <c r="AA278" s="125">
        <f t="shared" ref="AA278:AA286" si="109">(J278*K278+L278*M278+N278*O278+P278*Q278+R278*S278+T278*U278+V278*W278+X278*Y278)*if(Z278=true,0.453592,1)</f>
        <v>0</v>
      </c>
      <c r="AB278" s="126">
        <f t="shared" ref="AB278:AB286" si="110">SUM(AE278*AF278*0.025,AE278)</f>
        <v>0</v>
      </c>
      <c r="AC278" s="127">
        <f t="shared" ref="AC278:AC286" si="111">AB278*87%</f>
        <v>0</v>
      </c>
      <c r="AD278" s="128">
        <f t="shared" ref="AD278:AD286" si="112">AB278*67%</f>
        <v>0</v>
      </c>
      <c r="AE278" s="126">
        <f t="shared" ref="AE278:AE286" si="113">MAX(J278,L278,N278,P278,R278,T278,V278,X278)*if(Z278=true,0.453592,1)</f>
        <v>0</v>
      </c>
      <c r="AF278" s="128">
        <f t="shared" ref="AF278:AF286" si="114">MAX(IF(J278*if(Z278=true,0.453592,1)=$AE278,K278,0),IF(L278*if(Z278=true,0.453592,1)=$AE278,M278,0),IF(N278*if(Z278=true,0.453592,1)=$AE278,O278,0),IF(P278*if(Z278=true,0.453592,1)=$AE278,Q278,0),IF(R278*if(Z278=true,0.453592,1)=$AE278,S278,0),IF(T278*if(Z278=true,0.453592,1)=$AE278,U278,0),IF(V278*if(Z278=true,0.453592,1)=$AE278,W278,0),IF(X278*if(Z278=true,0.453592,1)=$AE278,Y278,0))</f>
        <v>0</v>
      </c>
      <c r="AG278" s="1"/>
    </row>
    <row r="279" ht="21.0" customHeight="1">
      <c r="A279" s="1"/>
      <c r="B279" s="48" t="s">
        <v>36</v>
      </c>
      <c r="C279" s="49"/>
      <c r="D279" s="65"/>
      <c r="E279" s="66"/>
      <c r="F279" s="52" t="s">
        <v>37</v>
      </c>
      <c r="G279" s="67"/>
      <c r="H279" s="129"/>
      <c r="I279" s="69"/>
      <c r="J279" s="72"/>
      <c r="K279" s="73"/>
      <c r="L279" s="72"/>
      <c r="M279" s="73"/>
      <c r="N279" s="72"/>
      <c r="O279" s="73"/>
      <c r="P279" s="72"/>
      <c r="Q279" s="73"/>
      <c r="R279" s="72"/>
      <c r="S279" s="73"/>
      <c r="T279" s="72"/>
      <c r="U279" s="73"/>
      <c r="V279" s="72"/>
      <c r="W279" s="73"/>
      <c r="X279" s="72"/>
      <c r="Y279" s="73"/>
      <c r="Z279" s="74" t="b">
        <v>0</v>
      </c>
      <c r="AA279" s="130">
        <f t="shared" si="109"/>
        <v>0</v>
      </c>
      <c r="AB279" s="131">
        <f t="shared" si="110"/>
        <v>0</v>
      </c>
      <c r="AC279" s="132">
        <f t="shared" si="111"/>
        <v>0</v>
      </c>
      <c r="AD279" s="133">
        <f t="shared" si="112"/>
        <v>0</v>
      </c>
      <c r="AE279" s="131">
        <f t="shared" si="113"/>
        <v>0</v>
      </c>
      <c r="AF279" s="133">
        <f t="shared" si="114"/>
        <v>0</v>
      </c>
      <c r="AG279" s="1"/>
    </row>
    <row r="280" ht="21.0" customHeight="1">
      <c r="A280" s="1"/>
      <c r="B280" s="48" t="s">
        <v>39</v>
      </c>
      <c r="C280" s="49"/>
      <c r="D280" s="65"/>
      <c r="E280" s="41"/>
      <c r="F280" s="52" t="s">
        <v>40</v>
      </c>
      <c r="G280" s="79"/>
      <c r="H280" s="80"/>
      <c r="I280" s="69"/>
      <c r="J280" s="72"/>
      <c r="K280" s="73"/>
      <c r="L280" s="72"/>
      <c r="M280" s="73"/>
      <c r="N280" s="72"/>
      <c r="O280" s="73"/>
      <c r="P280" s="72"/>
      <c r="Q280" s="73"/>
      <c r="R280" s="72"/>
      <c r="S280" s="73"/>
      <c r="T280" s="72"/>
      <c r="U280" s="73"/>
      <c r="V280" s="72"/>
      <c r="W280" s="73"/>
      <c r="X280" s="72"/>
      <c r="Y280" s="73"/>
      <c r="Z280" s="74" t="b">
        <v>0</v>
      </c>
      <c r="AA280" s="130">
        <f t="shared" si="109"/>
        <v>0</v>
      </c>
      <c r="AB280" s="131">
        <f t="shared" si="110"/>
        <v>0</v>
      </c>
      <c r="AC280" s="132">
        <f t="shared" si="111"/>
        <v>0</v>
      </c>
      <c r="AD280" s="133">
        <f t="shared" si="112"/>
        <v>0</v>
      </c>
      <c r="AE280" s="131">
        <f t="shared" si="113"/>
        <v>0</v>
      </c>
      <c r="AF280" s="133">
        <f t="shared" si="114"/>
        <v>0</v>
      </c>
      <c r="AG280" s="1"/>
    </row>
    <row r="281" ht="21.0" customHeight="1">
      <c r="A281" s="1"/>
      <c r="B281" s="48" t="s">
        <v>41</v>
      </c>
      <c r="C281" s="81"/>
      <c r="D281" s="82" t="b">
        <v>0</v>
      </c>
      <c r="E281" s="51" t="s">
        <v>42</v>
      </c>
      <c r="F281" s="52" t="s">
        <v>34</v>
      </c>
      <c r="G281" s="83"/>
      <c r="H281" s="84"/>
      <c r="I281" s="85"/>
      <c r="J281" s="72"/>
      <c r="K281" s="73"/>
      <c r="L281" s="72"/>
      <c r="M281" s="73"/>
      <c r="N281" s="72"/>
      <c r="O281" s="73"/>
      <c r="P281" s="72"/>
      <c r="Q281" s="73"/>
      <c r="R281" s="72"/>
      <c r="S281" s="73"/>
      <c r="T281" s="72"/>
      <c r="U281" s="73"/>
      <c r="V281" s="72"/>
      <c r="W281" s="73"/>
      <c r="X281" s="72"/>
      <c r="Y281" s="73"/>
      <c r="Z281" s="74" t="b">
        <v>0</v>
      </c>
      <c r="AA281" s="130">
        <f t="shared" si="109"/>
        <v>0</v>
      </c>
      <c r="AB281" s="131">
        <f t="shared" si="110"/>
        <v>0</v>
      </c>
      <c r="AC281" s="132">
        <f t="shared" si="111"/>
        <v>0</v>
      </c>
      <c r="AD281" s="133">
        <f t="shared" si="112"/>
        <v>0</v>
      </c>
      <c r="AE281" s="131">
        <f t="shared" si="113"/>
        <v>0</v>
      </c>
      <c r="AF281" s="133">
        <f t="shared" si="114"/>
        <v>0</v>
      </c>
      <c r="AG281" s="1"/>
    </row>
    <row r="282" ht="21.0" customHeight="1">
      <c r="A282" s="1"/>
      <c r="B282" s="48" t="s">
        <v>43</v>
      </c>
      <c r="C282" s="49"/>
      <c r="D282" s="86" t="b">
        <v>0</v>
      </c>
      <c r="E282" s="66"/>
      <c r="F282" s="52" t="s">
        <v>37</v>
      </c>
      <c r="G282" s="67"/>
      <c r="H282" s="80"/>
      <c r="I282" s="69"/>
      <c r="J282" s="72"/>
      <c r="K282" s="73"/>
      <c r="L282" s="72"/>
      <c r="M282" s="73"/>
      <c r="N282" s="72"/>
      <c r="O282" s="73"/>
      <c r="P282" s="72"/>
      <c r="Q282" s="73"/>
      <c r="R282" s="72"/>
      <c r="S282" s="73"/>
      <c r="T282" s="72"/>
      <c r="U282" s="73"/>
      <c r="V282" s="72"/>
      <c r="W282" s="73"/>
      <c r="X282" s="72"/>
      <c r="Y282" s="73"/>
      <c r="Z282" s="74" t="b">
        <v>0</v>
      </c>
      <c r="AA282" s="130">
        <f t="shared" si="109"/>
        <v>0</v>
      </c>
      <c r="AB282" s="131">
        <f t="shared" si="110"/>
        <v>0</v>
      </c>
      <c r="AC282" s="132">
        <f t="shared" si="111"/>
        <v>0</v>
      </c>
      <c r="AD282" s="133">
        <f t="shared" si="112"/>
        <v>0</v>
      </c>
      <c r="AE282" s="131">
        <f t="shared" si="113"/>
        <v>0</v>
      </c>
      <c r="AF282" s="133">
        <f t="shared" si="114"/>
        <v>0</v>
      </c>
      <c r="AG282" s="1"/>
    </row>
    <row r="283" ht="21.0" customHeight="1">
      <c r="A283" s="1"/>
      <c r="B283" s="87" t="str">
        <f t="array" ref="B283">"📌최근 인바디 결과 : "&amp;text(xlookup(B275,'현황'!O:O,'현황'!O:O,,-1,-1),"m/d(ddd)")</f>
        <v>#REF!</v>
      </c>
      <c r="C283" s="88"/>
      <c r="D283" s="49"/>
      <c r="E283" s="41"/>
      <c r="F283" s="52" t="s">
        <v>40</v>
      </c>
      <c r="G283" s="79"/>
      <c r="H283" s="80"/>
      <c r="I283" s="69"/>
      <c r="J283" s="72"/>
      <c r="K283" s="73"/>
      <c r="L283" s="72"/>
      <c r="M283" s="73"/>
      <c r="N283" s="72"/>
      <c r="O283" s="73"/>
      <c r="P283" s="72"/>
      <c r="Q283" s="73"/>
      <c r="R283" s="72"/>
      <c r="S283" s="73"/>
      <c r="T283" s="72"/>
      <c r="U283" s="73"/>
      <c r="V283" s="72"/>
      <c r="W283" s="73"/>
      <c r="X283" s="72"/>
      <c r="Y283" s="73"/>
      <c r="Z283" s="74" t="b">
        <v>0</v>
      </c>
      <c r="AA283" s="130">
        <f t="shared" si="109"/>
        <v>0</v>
      </c>
      <c r="AB283" s="131">
        <f t="shared" si="110"/>
        <v>0</v>
      </c>
      <c r="AC283" s="132">
        <f t="shared" si="111"/>
        <v>0</v>
      </c>
      <c r="AD283" s="133">
        <f t="shared" si="112"/>
        <v>0</v>
      </c>
      <c r="AE283" s="131">
        <f t="shared" si="113"/>
        <v>0</v>
      </c>
      <c r="AF283" s="133">
        <f t="shared" si="114"/>
        <v>0</v>
      </c>
      <c r="AG283" s="1"/>
    </row>
    <row r="284" ht="21.0" customHeight="1">
      <c r="A284" s="1"/>
      <c r="B284" s="89" t="s">
        <v>44</v>
      </c>
      <c r="C284" s="49"/>
      <c r="D284" s="90">
        <f t="array" ref="D284">iferror(vlookup(xlookup(B275,'현황'!O:O,'현황'!O:O,,-1,-1),'현황'!O:S,2,false),0)</f>
        <v>0</v>
      </c>
      <c r="E284" s="51" t="s">
        <v>45</v>
      </c>
      <c r="F284" s="52" t="s">
        <v>34</v>
      </c>
      <c r="G284" s="83"/>
      <c r="H284" s="84"/>
      <c r="I284" s="85"/>
      <c r="J284" s="72"/>
      <c r="K284" s="73"/>
      <c r="L284" s="72"/>
      <c r="M284" s="73"/>
      <c r="N284" s="72"/>
      <c r="O284" s="73"/>
      <c r="P284" s="72"/>
      <c r="Q284" s="73"/>
      <c r="R284" s="72"/>
      <c r="S284" s="73"/>
      <c r="T284" s="72"/>
      <c r="U284" s="73"/>
      <c r="V284" s="72"/>
      <c r="W284" s="73"/>
      <c r="X284" s="72"/>
      <c r="Y284" s="73"/>
      <c r="Z284" s="74" t="b">
        <v>0</v>
      </c>
      <c r="AA284" s="130">
        <f t="shared" si="109"/>
        <v>0</v>
      </c>
      <c r="AB284" s="131">
        <f t="shared" si="110"/>
        <v>0</v>
      </c>
      <c r="AC284" s="132">
        <f t="shared" si="111"/>
        <v>0</v>
      </c>
      <c r="AD284" s="133">
        <f t="shared" si="112"/>
        <v>0</v>
      </c>
      <c r="AE284" s="131">
        <f t="shared" si="113"/>
        <v>0</v>
      </c>
      <c r="AF284" s="133">
        <f t="shared" si="114"/>
        <v>0</v>
      </c>
      <c r="AG284" s="1"/>
    </row>
    <row r="285" ht="21.0" customHeight="1">
      <c r="A285" s="1"/>
      <c r="B285" s="48" t="s">
        <v>46</v>
      </c>
      <c r="C285" s="49"/>
      <c r="D285" s="91">
        <f t="array" ref="D285">iferror(vlookup(xlookup(B275,'현황'!O:O,'현황'!O:O,,-1,-1),'현황'!O:S,3,false),0)</f>
        <v>0</v>
      </c>
      <c r="E285" s="66"/>
      <c r="F285" s="52" t="s">
        <v>37</v>
      </c>
      <c r="G285" s="67"/>
      <c r="H285" s="80"/>
      <c r="I285" s="69"/>
      <c r="J285" s="72"/>
      <c r="K285" s="73"/>
      <c r="L285" s="72"/>
      <c r="M285" s="73"/>
      <c r="N285" s="72"/>
      <c r="O285" s="73"/>
      <c r="P285" s="72"/>
      <c r="Q285" s="73"/>
      <c r="R285" s="72"/>
      <c r="S285" s="73"/>
      <c r="T285" s="72"/>
      <c r="U285" s="73"/>
      <c r="V285" s="72"/>
      <c r="W285" s="73"/>
      <c r="X285" s="72"/>
      <c r="Y285" s="73"/>
      <c r="Z285" s="74" t="b">
        <v>0</v>
      </c>
      <c r="AA285" s="130">
        <f t="shared" si="109"/>
        <v>0</v>
      </c>
      <c r="AB285" s="131">
        <f t="shared" si="110"/>
        <v>0</v>
      </c>
      <c r="AC285" s="132">
        <f t="shared" si="111"/>
        <v>0</v>
      </c>
      <c r="AD285" s="133">
        <f t="shared" si="112"/>
        <v>0</v>
      </c>
      <c r="AE285" s="131">
        <f t="shared" si="113"/>
        <v>0</v>
      </c>
      <c r="AF285" s="133">
        <f t="shared" si="114"/>
        <v>0</v>
      </c>
      <c r="AG285" s="1"/>
    </row>
    <row r="286" ht="21.0" customHeight="1">
      <c r="A286" s="1"/>
      <c r="B286" s="48" t="s">
        <v>47</v>
      </c>
      <c r="C286" s="49"/>
      <c r="D286" s="91">
        <f t="array" ref="D286">iferror(vlookup(xlookup(B275,'현황'!O:O,'현황'!O:O,,-1,-1),'현황'!O:S,4,false),0)</f>
        <v>0</v>
      </c>
      <c r="E286" s="41"/>
      <c r="F286" s="92" t="s">
        <v>40</v>
      </c>
      <c r="G286" s="79"/>
      <c r="H286" s="93"/>
      <c r="I286" s="94"/>
      <c r="J286" s="95"/>
      <c r="K286" s="96"/>
      <c r="L286" s="95"/>
      <c r="M286" s="96"/>
      <c r="N286" s="95"/>
      <c r="O286" s="96"/>
      <c r="P286" s="95"/>
      <c r="Q286" s="96"/>
      <c r="R286" s="95"/>
      <c r="S286" s="96"/>
      <c r="T286" s="95"/>
      <c r="U286" s="96"/>
      <c r="V286" s="95"/>
      <c r="W286" s="96"/>
      <c r="X286" s="95"/>
      <c r="Y286" s="96"/>
      <c r="Z286" s="97" t="b">
        <v>0</v>
      </c>
      <c r="AA286" s="135">
        <f t="shared" si="109"/>
        <v>0</v>
      </c>
      <c r="AB286" s="136">
        <f t="shared" si="110"/>
        <v>0</v>
      </c>
      <c r="AC286" s="137">
        <f t="shared" si="111"/>
        <v>0</v>
      </c>
      <c r="AD286" s="138">
        <f t="shared" si="112"/>
        <v>0</v>
      </c>
      <c r="AE286" s="136">
        <f t="shared" si="113"/>
        <v>0</v>
      </c>
      <c r="AF286" s="138">
        <f t="shared" si="114"/>
        <v>0</v>
      </c>
      <c r="AG286" s="1"/>
    </row>
    <row r="287" ht="21.0" customHeight="1">
      <c r="A287" s="1"/>
      <c r="B287" s="102" t="s">
        <v>48</v>
      </c>
      <c r="C287" s="103"/>
      <c r="D287" s="104">
        <f>iferror(D286/D284,0)</f>
        <v>0</v>
      </c>
      <c r="E287" s="102" t="s">
        <v>49</v>
      </c>
      <c r="F287" s="103"/>
      <c r="G287" s="105"/>
      <c r="H287" s="106" t="s">
        <v>50</v>
      </c>
      <c r="I287" s="107"/>
      <c r="J287" s="11"/>
      <c r="K287" s="11"/>
      <c r="L287" s="11"/>
      <c r="M287" s="11"/>
      <c r="N287" s="11"/>
      <c r="O287" s="11"/>
      <c r="P287" s="108" t="s">
        <v>51</v>
      </c>
      <c r="Q287" s="12"/>
      <c r="R287" s="109"/>
      <c r="S287" s="11"/>
      <c r="T287" s="11"/>
      <c r="U287" s="11"/>
      <c r="V287" s="11"/>
      <c r="W287" s="11"/>
      <c r="X287" s="11"/>
      <c r="Y287" s="11"/>
      <c r="Z287" s="12"/>
      <c r="AA287" s="139">
        <f>SUM(AA278:AA286)</f>
        <v>0</v>
      </c>
      <c r="AB287" s="140" t="s">
        <v>132</v>
      </c>
      <c r="AG287" s="1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1"/>
      <c r="AA288" s="1"/>
      <c r="AB288" s="1"/>
      <c r="AC288" s="3"/>
      <c r="AD288" s="1"/>
      <c r="AE288" s="1"/>
      <c r="AF288" s="1"/>
      <c r="AG288" s="1"/>
    </row>
    <row r="289" ht="21.0" customHeight="1">
      <c r="A289" s="1"/>
      <c r="B289" s="4" t="s">
        <v>1</v>
      </c>
      <c r="C289" s="5"/>
      <c r="D289" s="6" t="s">
        <v>2</v>
      </c>
      <c r="E289" s="7"/>
      <c r="F289" s="7"/>
      <c r="G289" s="5"/>
      <c r="H289" s="8" t="s">
        <v>3</v>
      </c>
      <c r="I289" s="8" t="s">
        <v>4</v>
      </c>
      <c r="J289" s="9" t="s">
        <v>5</v>
      </c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5"/>
      <c r="AA289" s="117" t="s">
        <v>6</v>
      </c>
      <c r="AB289" s="11"/>
      <c r="AC289" s="11"/>
      <c r="AD289" s="11"/>
      <c r="AE289" s="11"/>
      <c r="AF289" s="12"/>
      <c r="AG289" s="1"/>
    </row>
    <row r="290" ht="21.0" customHeight="1">
      <c r="A290" s="1"/>
      <c r="B290" s="13">
        <v>46093.0</v>
      </c>
      <c r="C290" s="14" t="str">
        <f>if(B290="0/0","",choose(weekday(B290),"(일)","(월)","(화)","(수)","(목)","(금)","(토)"))</f>
        <v>(목)</v>
      </c>
      <c r="D290" s="15" t="s">
        <v>7</v>
      </c>
      <c r="E290" s="16" t="s">
        <v>8</v>
      </c>
      <c r="F290" s="17"/>
      <c r="G290" s="18" t="s">
        <v>9</v>
      </c>
      <c r="H290" s="19" t="s">
        <v>10</v>
      </c>
      <c r="I290" s="20" t="s">
        <v>59</v>
      </c>
      <c r="J290" s="21" t="s">
        <v>12</v>
      </c>
      <c r="K290" s="22"/>
      <c r="L290" s="21" t="s">
        <v>13</v>
      </c>
      <c r="M290" s="22"/>
      <c r="N290" s="21" t="s">
        <v>14</v>
      </c>
      <c r="O290" s="22"/>
      <c r="P290" s="21" t="s">
        <v>15</v>
      </c>
      <c r="Q290" s="22"/>
      <c r="R290" s="23" t="s">
        <v>16</v>
      </c>
      <c r="S290" s="22"/>
      <c r="T290" s="23" t="s">
        <v>17</v>
      </c>
      <c r="U290" s="22"/>
      <c r="V290" s="23" t="s">
        <v>18</v>
      </c>
      <c r="W290" s="22"/>
      <c r="X290" s="23" t="s">
        <v>19</v>
      </c>
      <c r="Y290" s="22"/>
      <c r="Z290" s="24" t="s">
        <v>133</v>
      </c>
      <c r="AA290" s="118" t="s">
        <v>21</v>
      </c>
      <c r="AB290" s="119" t="s">
        <v>22</v>
      </c>
      <c r="AC290" s="7"/>
      <c r="AD290" s="22"/>
      <c r="AE290" s="120" t="s">
        <v>23</v>
      </c>
      <c r="AF290" s="22"/>
      <c r="AG290" s="1"/>
    </row>
    <row r="291" ht="21.0" customHeight="1">
      <c r="A291" s="1"/>
      <c r="B291" s="27">
        <f>iferror(B290-'현황'!$C$4+1,0)</f>
        <v>0</v>
      </c>
      <c r="C291" s="28"/>
      <c r="D291" s="29">
        <v>0.0</v>
      </c>
      <c r="E291" s="30">
        <v>0.0</v>
      </c>
      <c r="F291" s="31"/>
      <c r="G291" s="32">
        <v>0.0</v>
      </c>
      <c r="H291" s="33">
        <v>0.0</v>
      </c>
      <c r="I291" s="34"/>
      <c r="J291" s="35"/>
      <c r="K291" s="36"/>
      <c r="L291" s="35"/>
      <c r="M291" s="36"/>
      <c r="N291" s="35"/>
      <c r="O291" s="36"/>
      <c r="P291" s="35"/>
      <c r="Q291" s="36"/>
      <c r="R291" s="35"/>
      <c r="S291" s="36"/>
      <c r="T291" s="35"/>
      <c r="U291" s="36"/>
      <c r="V291" s="35"/>
      <c r="W291" s="36"/>
      <c r="X291" s="35"/>
      <c r="Y291" s="36"/>
      <c r="Z291" s="37"/>
      <c r="AA291" s="37"/>
      <c r="AB291" s="35"/>
      <c r="AC291" s="38"/>
      <c r="AD291" s="36"/>
      <c r="AE291" s="35"/>
      <c r="AF291" s="36"/>
      <c r="AG291" s="1"/>
    </row>
    <row r="292" ht="21.0" customHeight="1">
      <c r="A292" s="1"/>
      <c r="B292" s="39" t="s">
        <v>24</v>
      </c>
      <c r="C292" s="40"/>
      <c r="D292" s="41"/>
      <c r="E292" s="42" t="s">
        <v>25</v>
      </c>
      <c r="F292" s="40"/>
      <c r="G292" s="41"/>
      <c r="H292" s="43" t="s">
        <v>26</v>
      </c>
      <c r="J292" s="44" t="s">
        <v>27</v>
      </c>
      <c r="K292" s="45" t="s">
        <v>28</v>
      </c>
      <c r="L292" s="44" t="s">
        <v>27</v>
      </c>
      <c r="M292" s="45" t="s">
        <v>28</v>
      </c>
      <c r="N292" s="44" t="s">
        <v>27</v>
      </c>
      <c r="O292" s="45" t="s">
        <v>28</v>
      </c>
      <c r="P292" s="44" t="s">
        <v>27</v>
      </c>
      <c r="Q292" s="45" t="s">
        <v>28</v>
      </c>
      <c r="R292" s="44" t="s">
        <v>27</v>
      </c>
      <c r="S292" s="45" t="s">
        <v>28</v>
      </c>
      <c r="T292" s="44" t="s">
        <v>27</v>
      </c>
      <c r="U292" s="45" t="s">
        <v>28</v>
      </c>
      <c r="V292" s="44" t="s">
        <v>27</v>
      </c>
      <c r="W292" s="45" t="s">
        <v>28</v>
      </c>
      <c r="X292" s="44" t="s">
        <v>27</v>
      </c>
      <c r="Y292" s="45" t="s">
        <v>28</v>
      </c>
      <c r="Z292" s="46"/>
      <c r="AA292" s="46"/>
      <c r="AB292" s="121" t="s">
        <v>29</v>
      </c>
      <c r="AC292" s="122" t="s">
        <v>30</v>
      </c>
      <c r="AD292" s="123" t="s">
        <v>31</v>
      </c>
      <c r="AE292" s="121" t="s">
        <v>27</v>
      </c>
      <c r="AF292" s="123" t="s">
        <v>28</v>
      </c>
      <c r="AG292" s="1"/>
    </row>
    <row r="293" ht="21.0" customHeight="1">
      <c r="A293" s="1"/>
      <c r="B293" s="48" t="s">
        <v>32</v>
      </c>
      <c r="C293" s="49"/>
      <c r="D293" s="50"/>
      <c r="E293" s="51" t="s">
        <v>33</v>
      </c>
      <c r="F293" s="52" t="s">
        <v>34</v>
      </c>
      <c r="G293" s="53"/>
      <c r="H293" s="54" t="s">
        <v>86</v>
      </c>
      <c r="I293" s="55"/>
      <c r="J293" s="56">
        <v>40.0</v>
      </c>
      <c r="K293" s="57">
        <v>15.0</v>
      </c>
      <c r="L293" s="56">
        <v>33.0</v>
      </c>
      <c r="M293" s="57">
        <v>15.0</v>
      </c>
      <c r="N293" s="56">
        <v>33.0</v>
      </c>
      <c r="O293" s="57">
        <v>15.0</v>
      </c>
      <c r="P293" s="56">
        <v>33.0</v>
      </c>
      <c r="Q293" s="57">
        <v>15.0</v>
      </c>
      <c r="R293" s="58"/>
      <c r="S293" s="59"/>
      <c r="T293" s="58"/>
      <c r="U293" s="59"/>
      <c r="V293" s="58"/>
      <c r="W293" s="59"/>
      <c r="X293" s="58"/>
      <c r="Y293" s="59"/>
      <c r="Z293" s="60" t="b">
        <v>0</v>
      </c>
      <c r="AA293" s="125">
        <f t="shared" ref="AA293:AA301" si="115">(J293*K293+L293*M293+N293*O293+P293*Q293+R293*S293+T293*U293+V293*W293+X293*Y293)*if(Z293=true,0.453592,1)</f>
        <v>2085</v>
      </c>
      <c r="AB293" s="126">
        <f t="shared" ref="AB293:AB301" si="116">SUM(AE293*AF293*0.025,AE293)</f>
        <v>55</v>
      </c>
      <c r="AC293" s="127">
        <f t="shared" ref="AC293:AC301" si="117">AB293*87%</f>
        <v>47.85</v>
      </c>
      <c r="AD293" s="128">
        <f t="shared" ref="AD293:AD301" si="118">AB293*67%</f>
        <v>36.85</v>
      </c>
      <c r="AE293" s="126">
        <f t="shared" ref="AE293:AE301" si="119">MAX(J293,L293,N293,P293,R293,T293,V293,X293)*if(Z293=true,0.453592,1)</f>
        <v>40</v>
      </c>
      <c r="AF293" s="128">
        <f t="shared" ref="AF293:AF301" si="120">MAX(IF(J293*if(Z293=true,0.453592,1)=$AE293,K293,0),IF(L293*if(Z293=true,0.453592,1)=$AE293,M293,0),IF(N293*if(Z293=true,0.453592,1)=$AE293,O293,0),IF(P293*if(Z293=true,0.453592,1)=$AE293,Q293,0),IF(R293*if(Z293=true,0.453592,1)=$AE293,S293,0),IF(T293*if(Z293=true,0.453592,1)=$AE293,U293,0),IF(V293*if(Z293=true,0.453592,1)=$AE293,W293,0),IF(X293*if(Z293=true,0.453592,1)=$AE293,Y293,0))</f>
        <v>15</v>
      </c>
      <c r="AG293" s="1"/>
    </row>
    <row r="294" ht="21.0" customHeight="1">
      <c r="A294" s="1"/>
      <c r="B294" s="48" t="s">
        <v>36</v>
      </c>
      <c r="C294" s="49"/>
      <c r="D294" s="65"/>
      <c r="E294" s="66"/>
      <c r="F294" s="52" t="s">
        <v>37</v>
      </c>
      <c r="G294" s="67"/>
      <c r="H294" s="68" t="s">
        <v>63</v>
      </c>
      <c r="I294" s="69"/>
      <c r="J294" s="70">
        <v>33.0</v>
      </c>
      <c r="K294" s="71">
        <v>15.0</v>
      </c>
      <c r="L294" s="70">
        <v>40.0</v>
      </c>
      <c r="M294" s="71">
        <v>15.0</v>
      </c>
      <c r="N294" s="70">
        <v>40.0</v>
      </c>
      <c r="O294" s="71">
        <v>15.0</v>
      </c>
      <c r="P294" s="70">
        <v>40.0</v>
      </c>
      <c r="Q294" s="71">
        <v>15.0</v>
      </c>
      <c r="R294" s="72"/>
      <c r="S294" s="73"/>
      <c r="T294" s="72"/>
      <c r="U294" s="73"/>
      <c r="V294" s="72"/>
      <c r="W294" s="73"/>
      <c r="X294" s="72"/>
      <c r="Y294" s="73"/>
      <c r="Z294" s="74" t="b">
        <v>0</v>
      </c>
      <c r="AA294" s="130">
        <f t="shared" si="115"/>
        <v>2295</v>
      </c>
      <c r="AB294" s="131">
        <f t="shared" si="116"/>
        <v>55</v>
      </c>
      <c r="AC294" s="132">
        <f t="shared" si="117"/>
        <v>47.85</v>
      </c>
      <c r="AD294" s="133">
        <f t="shared" si="118"/>
        <v>36.85</v>
      </c>
      <c r="AE294" s="131">
        <f t="shared" si="119"/>
        <v>40</v>
      </c>
      <c r="AF294" s="133">
        <f t="shared" si="120"/>
        <v>15</v>
      </c>
      <c r="AG294" s="1"/>
    </row>
    <row r="295" ht="21.0" customHeight="1">
      <c r="A295" s="1"/>
      <c r="B295" s="48" t="s">
        <v>39</v>
      </c>
      <c r="C295" s="49"/>
      <c r="D295" s="65"/>
      <c r="E295" s="41"/>
      <c r="F295" s="52" t="s">
        <v>40</v>
      </c>
      <c r="G295" s="79"/>
      <c r="H295" s="115" t="s">
        <v>87</v>
      </c>
      <c r="I295" s="69"/>
      <c r="J295" s="72"/>
      <c r="K295" s="71">
        <v>5.0</v>
      </c>
      <c r="L295" s="72"/>
      <c r="M295" s="71">
        <v>5.0</v>
      </c>
      <c r="N295" s="72"/>
      <c r="O295" s="73"/>
      <c r="P295" s="72"/>
      <c r="Q295" s="73"/>
      <c r="R295" s="72"/>
      <c r="S295" s="73"/>
      <c r="T295" s="72"/>
      <c r="U295" s="73"/>
      <c r="V295" s="72"/>
      <c r="W295" s="73"/>
      <c r="X295" s="72"/>
      <c r="Y295" s="73"/>
      <c r="Z295" s="74" t="b">
        <v>0</v>
      </c>
      <c r="AA295" s="130">
        <f t="shared" si="115"/>
        <v>0</v>
      </c>
      <c r="AB295" s="131">
        <f t="shared" si="116"/>
        <v>0</v>
      </c>
      <c r="AC295" s="132">
        <f t="shared" si="117"/>
        <v>0</v>
      </c>
      <c r="AD295" s="133">
        <f t="shared" si="118"/>
        <v>0</v>
      </c>
      <c r="AE295" s="131">
        <f t="shared" si="119"/>
        <v>0</v>
      </c>
      <c r="AF295" s="133">
        <f t="shared" si="120"/>
        <v>5</v>
      </c>
      <c r="AG295" s="1"/>
    </row>
    <row r="296" ht="21.0" customHeight="1">
      <c r="A296" s="1"/>
      <c r="B296" s="48" t="s">
        <v>41</v>
      </c>
      <c r="C296" s="81"/>
      <c r="D296" s="82" t="b">
        <v>0</v>
      </c>
      <c r="E296" s="51" t="s">
        <v>42</v>
      </c>
      <c r="F296" s="52" t="s">
        <v>34</v>
      </c>
      <c r="G296" s="83"/>
      <c r="H296" s="84"/>
      <c r="I296" s="85"/>
      <c r="J296" s="72"/>
      <c r="K296" s="73"/>
      <c r="L296" s="72"/>
      <c r="M296" s="73"/>
      <c r="N296" s="72"/>
      <c r="O296" s="73"/>
      <c r="P296" s="72"/>
      <c r="Q296" s="73"/>
      <c r="R296" s="72"/>
      <c r="S296" s="73"/>
      <c r="T296" s="72"/>
      <c r="U296" s="73"/>
      <c r="V296" s="72"/>
      <c r="W296" s="73"/>
      <c r="X296" s="72"/>
      <c r="Y296" s="73"/>
      <c r="Z296" s="74" t="b">
        <v>0</v>
      </c>
      <c r="AA296" s="130">
        <f t="shared" si="115"/>
        <v>0</v>
      </c>
      <c r="AB296" s="131">
        <f t="shared" si="116"/>
        <v>0</v>
      </c>
      <c r="AC296" s="132">
        <f t="shared" si="117"/>
        <v>0</v>
      </c>
      <c r="AD296" s="133">
        <f t="shared" si="118"/>
        <v>0</v>
      </c>
      <c r="AE296" s="131">
        <f t="shared" si="119"/>
        <v>0</v>
      </c>
      <c r="AF296" s="133">
        <f t="shared" si="120"/>
        <v>0</v>
      </c>
      <c r="AG296" s="1"/>
    </row>
    <row r="297" ht="21.0" customHeight="1">
      <c r="A297" s="1"/>
      <c r="B297" s="48" t="s">
        <v>43</v>
      </c>
      <c r="C297" s="49"/>
      <c r="D297" s="86" t="b">
        <v>0</v>
      </c>
      <c r="E297" s="66"/>
      <c r="F297" s="52" t="s">
        <v>37</v>
      </c>
      <c r="G297" s="67"/>
      <c r="H297" s="80"/>
      <c r="I297" s="69"/>
      <c r="J297" s="72"/>
      <c r="K297" s="73"/>
      <c r="L297" s="72"/>
      <c r="M297" s="73"/>
      <c r="N297" s="72"/>
      <c r="O297" s="73"/>
      <c r="P297" s="72"/>
      <c r="Q297" s="73"/>
      <c r="R297" s="72"/>
      <c r="S297" s="73"/>
      <c r="T297" s="72"/>
      <c r="U297" s="73"/>
      <c r="V297" s="72"/>
      <c r="W297" s="73"/>
      <c r="X297" s="72"/>
      <c r="Y297" s="73"/>
      <c r="Z297" s="74" t="b">
        <v>0</v>
      </c>
      <c r="AA297" s="130">
        <f t="shared" si="115"/>
        <v>0</v>
      </c>
      <c r="AB297" s="131">
        <f t="shared" si="116"/>
        <v>0</v>
      </c>
      <c r="AC297" s="132">
        <f t="shared" si="117"/>
        <v>0</v>
      </c>
      <c r="AD297" s="133">
        <f t="shared" si="118"/>
        <v>0</v>
      </c>
      <c r="AE297" s="131">
        <f t="shared" si="119"/>
        <v>0</v>
      </c>
      <c r="AF297" s="133">
        <f t="shared" si="120"/>
        <v>0</v>
      </c>
      <c r="AG297" s="1"/>
    </row>
    <row r="298" ht="21.0" customHeight="1">
      <c r="A298" s="1"/>
      <c r="B298" s="87" t="str">
        <f t="array" ref="B298">"📌최근 인바디 결과 : "&amp;text(xlookup(B290,'현황'!O:O,'현황'!O:O,,-1,-1),"m/d(ddd)")</f>
        <v>#REF!</v>
      </c>
      <c r="C298" s="88"/>
      <c r="D298" s="49"/>
      <c r="E298" s="41"/>
      <c r="F298" s="52" t="s">
        <v>40</v>
      </c>
      <c r="G298" s="79"/>
      <c r="H298" s="80"/>
      <c r="I298" s="69"/>
      <c r="J298" s="72"/>
      <c r="K298" s="73"/>
      <c r="L298" s="72"/>
      <c r="M298" s="73"/>
      <c r="N298" s="72"/>
      <c r="O298" s="73"/>
      <c r="P298" s="72"/>
      <c r="Q298" s="73"/>
      <c r="R298" s="72"/>
      <c r="S298" s="73"/>
      <c r="T298" s="72"/>
      <c r="U298" s="73"/>
      <c r="V298" s="72"/>
      <c r="W298" s="73"/>
      <c r="X298" s="72"/>
      <c r="Y298" s="73"/>
      <c r="Z298" s="74" t="b">
        <v>0</v>
      </c>
      <c r="AA298" s="130">
        <f t="shared" si="115"/>
        <v>0</v>
      </c>
      <c r="AB298" s="131">
        <f t="shared" si="116"/>
        <v>0</v>
      </c>
      <c r="AC298" s="132">
        <f t="shared" si="117"/>
        <v>0</v>
      </c>
      <c r="AD298" s="133">
        <f t="shared" si="118"/>
        <v>0</v>
      </c>
      <c r="AE298" s="131">
        <f t="shared" si="119"/>
        <v>0</v>
      </c>
      <c r="AF298" s="133">
        <f t="shared" si="120"/>
        <v>0</v>
      </c>
      <c r="AG298" s="1"/>
    </row>
    <row r="299" ht="21.0" customHeight="1">
      <c r="A299" s="1"/>
      <c r="B299" s="89" t="s">
        <v>44</v>
      </c>
      <c r="C299" s="49"/>
      <c r="D299" s="90">
        <f t="array" ref="D299">iferror(vlookup(xlookup(B290,'현황'!O:O,'현황'!O:O,,-1,-1),'현황'!O:S,2,false),0)</f>
        <v>0</v>
      </c>
      <c r="E299" s="51" t="s">
        <v>45</v>
      </c>
      <c r="F299" s="52" t="s">
        <v>34</v>
      </c>
      <c r="G299" s="83"/>
      <c r="H299" s="84"/>
      <c r="I299" s="85"/>
      <c r="J299" s="72"/>
      <c r="K299" s="73"/>
      <c r="L299" s="72"/>
      <c r="M299" s="73"/>
      <c r="N299" s="72"/>
      <c r="O299" s="73"/>
      <c r="P299" s="72"/>
      <c r="Q299" s="73"/>
      <c r="R299" s="72"/>
      <c r="S299" s="73"/>
      <c r="T299" s="72"/>
      <c r="U299" s="73"/>
      <c r="V299" s="72"/>
      <c r="W299" s="73"/>
      <c r="X299" s="72"/>
      <c r="Y299" s="73"/>
      <c r="Z299" s="74" t="b">
        <v>0</v>
      </c>
      <c r="AA299" s="130">
        <f t="shared" si="115"/>
        <v>0</v>
      </c>
      <c r="AB299" s="131">
        <f t="shared" si="116"/>
        <v>0</v>
      </c>
      <c r="AC299" s="132">
        <f t="shared" si="117"/>
        <v>0</v>
      </c>
      <c r="AD299" s="133">
        <f t="shared" si="118"/>
        <v>0</v>
      </c>
      <c r="AE299" s="131">
        <f t="shared" si="119"/>
        <v>0</v>
      </c>
      <c r="AF299" s="133">
        <f t="shared" si="120"/>
        <v>0</v>
      </c>
      <c r="AG299" s="1"/>
    </row>
    <row r="300" ht="21.0" customHeight="1">
      <c r="A300" s="1"/>
      <c r="B300" s="48" t="s">
        <v>46</v>
      </c>
      <c r="C300" s="49"/>
      <c r="D300" s="91">
        <f t="array" ref="D300">iferror(vlookup(xlookup(B290,'현황'!O:O,'현황'!O:O,,-1,-1),'현황'!O:S,3,false),0)</f>
        <v>0</v>
      </c>
      <c r="E300" s="66"/>
      <c r="F300" s="52" t="s">
        <v>37</v>
      </c>
      <c r="G300" s="67"/>
      <c r="H300" s="80"/>
      <c r="I300" s="69"/>
      <c r="J300" s="72"/>
      <c r="K300" s="73"/>
      <c r="L300" s="72"/>
      <c r="M300" s="73"/>
      <c r="N300" s="72"/>
      <c r="O300" s="73"/>
      <c r="P300" s="72"/>
      <c r="Q300" s="73"/>
      <c r="R300" s="72"/>
      <c r="S300" s="73"/>
      <c r="T300" s="72"/>
      <c r="U300" s="73"/>
      <c r="V300" s="72"/>
      <c r="W300" s="73"/>
      <c r="X300" s="72"/>
      <c r="Y300" s="73"/>
      <c r="Z300" s="74" t="b">
        <v>0</v>
      </c>
      <c r="AA300" s="130">
        <f t="shared" si="115"/>
        <v>0</v>
      </c>
      <c r="AB300" s="131">
        <f t="shared" si="116"/>
        <v>0</v>
      </c>
      <c r="AC300" s="132">
        <f t="shared" si="117"/>
        <v>0</v>
      </c>
      <c r="AD300" s="133">
        <f t="shared" si="118"/>
        <v>0</v>
      </c>
      <c r="AE300" s="131">
        <f t="shared" si="119"/>
        <v>0</v>
      </c>
      <c r="AF300" s="133">
        <f t="shared" si="120"/>
        <v>0</v>
      </c>
      <c r="AG300" s="1"/>
    </row>
    <row r="301" ht="21.0" customHeight="1">
      <c r="A301" s="1"/>
      <c r="B301" s="48" t="s">
        <v>47</v>
      </c>
      <c r="C301" s="49"/>
      <c r="D301" s="91">
        <f t="array" ref="D301">iferror(vlookup(xlookup(B290,'현황'!O:O,'현황'!O:O,,-1,-1),'현황'!O:S,4,false),0)</f>
        <v>0</v>
      </c>
      <c r="E301" s="41"/>
      <c r="F301" s="92" t="s">
        <v>40</v>
      </c>
      <c r="G301" s="79"/>
      <c r="H301" s="93"/>
      <c r="I301" s="94"/>
      <c r="J301" s="95"/>
      <c r="K301" s="96"/>
      <c r="L301" s="95"/>
      <c r="M301" s="96"/>
      <c r="N301" s="95"/>
      <c r="O301" s="96"/>
      <c r="P301" s="95"/>
      <c r="Q301" s="96"/>
      <c r="R301" s="95"/>
      <c r="S301" s="96"/>
      <c r="T301" s="95"/>
      <c r="U301" s="96"/>
      <c r="V301" s="95"/>
      <c r="W301" s="96"/>
      <c r="X301" s="95"/>
      <c r="Y301" s="96"/>
      <c r="Z301" s="97" t="b">
        <v>0</v>
      </c>
      <c r="AA301" s="135">
        <f t="shared" si="115"/>
        <v>0</v>
      </c>
      <c r="AB301" s="136">
        <f t="shared" si="116"/>
        <v>0</v>
      </c>
      <c r="AC301" s="137">
        <f t="shared" si="117"/>
        <v>0</v>
      </c>
      <c r="AD301" s="138">
        <f t="shared" si="118"/>
        <v>0</v>
      </c>
      <c r="AE301" s="136">
        <f t="shared" si="119"/>
        <v>0</v>
      </c>
      <c r="AF301" s="138">
        <f t="shared" si="120"/>
        <v>0</v>
      </c>
      <c r="AG301" s="1"/>
    </row>
    <row r="302" ht="21.0" customHeight="1">
      <c r="A302" s="1"/>
      <c r="B302" s="102" t="s">
        <v>48</v>
      </c>
      <c r="C302" s="103"/>
      <c r="D302" s="104">
        <f>iferror(D301/D299,0)</f>
        <v>0</v>
      </c>
      <c r="E302" s="102" t="s">
        <v>49</v>
      </c>
      <c r="F302" s="103"/>
      <c r="G302" s="105"/>
      <c r="H302" s="143" t="s">
        <v>50</v>
      </c>
      <c r="I302" s="144"/>
      <c r="J302" s="11"/>
      <c r="K302" s="11"/>
      <c r="L302" s="11"/>
      <c r="M302" s="11"/>
      <c r="N302" s="11"/>
      <c r="O302" s="11"/>
      <c r="P302" s="145" t="s">
        <v>51</v>
      </c>
      <c r="Q302" s="12"/>
      <c r="R302" s="146"/>
      <c r="S302" s="11"/>
      <c r="T302" s="11"/>
      <c r="U302" s="11"/>
      <c r="V302" s="11"/>
      <c r="W302" s="11"/>
      <c r="X302" s="11"/>
      <c r="Y302" s="11"/>
      <c r="Z302" s="12"/>
      <c r="AA302" s="139">
        <f>SUM(AA293:AA301)</f>
        <v>4380</v>
      </c>
      <c r="AB302" s="140" t="s">
        <v>134</v>
      </c>
      <c r="AG302" s="1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1"/>
      <c r="AA303" s="1"/>
      <c r="AB303" s="1"/>
      <c r="AC303" s="3"/>
      <c r="AD303" s="1"/>
      <c r="AE303" s="1"/>
      <c r="AF303" s="1"/>
      <c r="AG303" s="1"/>
    </row>
    <row r="304" ht="21.0" customHeight="1">
      <c r="A304" s="1"/>
      <c r="B304" s="4" t="s">
        <v>1</v>
      </c>
      <c r="C304" s="5"/>
      <c r="D304" s="6" t="s">
        <v>2</v>
      </c>
      <c r="E304" s="7"/>
      <c r="F304" s="7"/>
      <c r="G304" s="5"/>
      <c r="H304" s="8" t="s">
        <v>3</v>
      </c>
      <c r="I304" s="8" t="s">
        <v>4</v>
      </c>
      <c r="J304" s="9" t="s">
        <v>5</v>
      </c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5"/>
      <c r="AA304" s="117" t="s">
        <v>6</v>
      </c>
      <c r="AB304" s="11"/>
      <c r="AC304" s="11"/>
      <c r="AD304" s="11"/>
      <c r="AE304" s="11"/>
      <c r="AF304" s="12"/>
      <c r="AG304" s="1"/>
    </row>
    <row r="305" ht="21.0" customHeight="1">
      <c r="A305" s="1"/>
      <c r="B305" s="13">
        <v>46094.0</v>
      </c>
      <c r="C305" s="14" t="str">
        <f>if(B305="0/0","",choose(weekday(B305),"(일)","(월)","(화)","(수)","(목)","(금)","(토)"))</f>
        <v>(금)</v>
      </c>
      <c r="D305" s="15" t="s">
        <v>7</v>
      </c>
      <c r="E305" s="16" t="s">
        <v>8</v>
      </c>
      <c r="F305" s="17"/>
      <c r="G305" s="18" t="s">
        <v>9</v>
      </c>
      <c r="H305" s="19" t="s">
        <v>10</v>
      </c>
      <c r="I305" s="20" t="s">
        <v>135</v>
      </c>
      <c r="J305" s="21" t="s">
        <v>12</v>
      </c>
      <c r="K305" s="22"/>
      <c r="L305" s="21" t="s">
        <v>13</v>
      </c>
      <c r="M305" s="22"/>
      <c r="N305" s="21" t="s">
        <v>14</v>
      </c>
      <c r="O305" s="22"/>
      <c r="P305" s="21" t="s">
        <v>15</v>
      </c>
      <c r="Q305" s="22"/>
      <c r="R305" s="23" t="s">
        <v>16</v>
      </c>
      <c r="S305" s="22"/>
      <c r="T305" s="23" t="s">
        <v>17</v>
      </c>
      <c r="U305" s="22"/>
      <c r="V305" s="23" t="s">
        <v>18</v>
      </c>
      <c r="W305" s="22"/>
      <c r="X305" s="23" t="s">
        <v>19</v>
      </c>
      <c r="Y305" s="22"/>
      <c r="Z305" s="24" t="s">
        <v>136</v>
      </c>
      <c r="AA305" s="118" t="s">
        <v>21</v>
      </c>
      <c r="AB305" s="119" t="s">
        <v>22</v>
      </c>
      <c r="AC305" s="7"/>
      <c r="AD305" s="22"/>
      <c r="AE305" s="120" t="s">
        <v>23</v>
      </c>
      <c r="AF305" s="22"/>
      <c r="AG305" s="1"/>
    </row>
    <row r="306" ht="21.0" customHeight="1">
      <c r="A306" s="1"/>
      <c r="B306" s="27">
        <f>iferror(B305-'현황'!$C$4+1,0)</f>
        <v>0</v>
      </c>
      <c r="C306" s="28"/>
      <c r="D306" s="29">
        <v>0.0</v>
      </c>
      <c r="E306" s="30">
        <v>0.0</v>
      </c>
      <c r="F306" s="31"/>
      <c r="G306" s="32">
        <v>0.0</v>
      </c>
      <c r="H306" s="33">
        <v>0.0</v>
      </c>
      <c r="I306" s="34"/>
      <c r="J306" s="35"/>
      <c r="K306" s="36"/>
      <c r="L306" s="35"/>
      <c r="M306" s="36"/>
      <c r="N306" s="35"/>
      <c r="O306" s="36"/>
      <c r="P306" s="35"/>
      <c r="Q306" s="36"/>
      <c r="R306" s="35"/>
      <c r="S306" s="36"/>
      <c r="T306" s="35"/>
      <c r="U306" s="36"/>
      <c r="V306" s="35"/>
      <c r="W306" s="36"/>
      <c r="X306" s="35"/>
      <c r="Y306" s="36"/>
      <c r="Z306" s="37"/>
      <c r="AA306" s="37"/>
      <c r="AB306" s="35"/>
      <c r="AC306" s="38"/>
      <c r="AD306" s="36"/>
      <c r="AE306" s="35"/>
      <c r="AF306" s="36"/>
      <c r="AG306" s="1"/>
    </row>
    <row r="307" ht="21.0" customHeight="1">
      <c r="A307" s="1"/>
      <c r="B307" s="39" t="s">
        <v>24</v>
      </c>
      <c r="C307" s="40"/>
      <c r="D307" s="41"/>
      <c r="E307" s="42" t="s">
        <v>25</v>
      </c>
      <c r="F307" s="40"/>
      <c r="G307" s="41"/>
      <c r="H307" s="43" t="s">
        <v>26</v>
      </c>
      <c r="J307" s="44" t="s">
        <v>27</v>
      </c>
      <c r="K307" s="45" t="s">
        <v>28</v>
      </c>
      <c r="L307" s="44" t="s">
        <v>27</v>
      </c>
      <c r="M307" s="45" t="s">
        <v>28</v>
      </c>
      <c r="N307" s="44" t="s">
        <v>27</v>
      </c>
      <c r="O307" s="45" t="s">
        <v>28</v>
      </c>
      <c r="P307" s="44" t="s">
        <v>27</v>
      </c>
      <c r="Q307" s="45" t="s">
        <v>28</v>
      </c>
      <c r="R307" s="44" t="s">
        <v>27</v>
      </c>
      <c r="S307" s="45" t="s">
        <v>28</v>
      </c>
      <c r="T307" s="44" t="s">
        <v>27</v>
      </c>
      <c r="U307" s="45" t="s">
        <v>28</v>
      </c>
      <c r="V307" s="44" t="s">
        <v>27</v>
      </c>
      <c r="W307" s="45" t="s">
        <v>28</v>
      </c>
      <c r="X307" s="44" t="s">
        <v>27</v>
      </c>
      <c r="Y307" s="45" t="s">
        <v>28</v>
      </c>
      <c r="Z307" s="46"/>
      <c r="AA307" s="46"/>
      <c r="AB307" s="121" t="s">
        <v>29</v>
      </c>
      <c r="AC307" s="122" t="s">
        <v>30</v>
      </c>
      <c r="AD307" s="123" t="s">
        <v>31</v>
      </c>
      <c r="AE307" s="121" t="s">
        <v>27</v>
      </c>
      <c r="AF307" s="123" t="s">
        <v>28</v>
      </c>
      <c r="AG307" s="1"/>
    </row>
    <row r="308" ht="21.0" customHeight="1">
      <c r="A308" s="1"/>
      <c r="B308" s="48" t="s">
        <v>32</v>
      </c>
      <c r="C308" s="49"/>
      <c r="D308" s="50"/>
      <c r="E308" s="51" t="s">
        <v>33</v>
      </c>
      <c r="F308" s="52" t="s">
        <v>34</v>
      </c>
      <c r="G308" s="53"/>
      <c r="H308" s="54" t="s">
        <v>55</v>
      </c>
      <c r="I308" s="55"/>
      <c r="J308" s="56">
        <v>5.0</v>
      </c>
      <c r="K308" s="57">
        <v>10.0</v>
      </c>
      <c r="L308" s="56">
        <v>5.0</v>
      </c>
      <c r="M308" s="57">
        <v>10.0</v>
      </c>
      <c r="N308" s="56">
        <v>5.0</v>
      </c>
      <c r="O308" s="57">
        <v>12.0</v>
      </c>
      <c r="P308" s="56">
        <v>5.0</v>
      </c>
      <c r="Q308" s="57">
        <v>12.0</v>
      </c>
      <c r="R308" s="58"/>
      <c r="S308" s="59"/>
      <c r="T308" s="58"/>
      <c r="U308" s="59"/>
      <c r="V308" s="58"/>
      <c r="W308" s="59"/>
      <c r="X308" s="58"/>
      <c r="Y308" s="59"/>
      <c r="Z308" s="60" t="b">
        <v>0</v>
      </c>
      <c r="AA308" s="125">
        <f t="shared" ref="AA308:AA316" si="121">(J308*K308+L308*M308+N308*O308+P308*Q308+R308*S308+T308*U308+V308*W308+X308*Y308)*if(Z308=true,0.453592,1)</f>
        <v>220</v>
      </c>
      <c r="AB308" s="126">
        <f t="shared" ref="AB308:AB316" si="122">SUM(AE308*AF308*0.025,AE308)</f>
        <v>6.5</v>
      </c>
      <c r="AC308" s="127">
        <f t="shared" ref="AC308:AC316" si="123">AB308*87%</f>
        <v>5.655</v>
      </c>
      <c r="AD308" s="128">
        <f t="shared" ref="AD308:AD316" si="124">AB308*67%</f>
        <v>4.355</v>
      </c>
      <c r="AE308" s="126">
        <f t="shared" ref="AE308:AE316" si="125">MAX(J308,L308,N308,P308,R308,T308,V308,X308)*if(Z308=true,0.453592,1)</f>
        <v>5</v>
      </c>
      <c r="AF308" s="128">
        <f t="shared" ref="AF308:AF316" si="126">MAX(IF(J308*if(Z308=true,0.453592,1)=$AE308,K308,0),IF(L308*if(Z308=true,0.453592,1)=$AE308,M308,0),IF(N308*if(Z308=true,0.453592,1)=$AE308,O308,0),IF(P308*if(Z308=true,0.453592,1)=$AE308,Q308,0),IF(R308*if(Z308=true,0.453592,1)=$AE308,S308,0),IF(T308*if(Z308=true,0.453592,1)=$AE308,U308,0),IF(V308*if(Z308=true,0.453592,1)=$AE308,W308,0),IF(X308*if(Z308=true,0.453592,1)=$AE308,Y308,0))</f>
        <v>12</v>
      </c>
      <c r="AG308" s="1"/>
    </row>
    <row r="309" ht="21.0" customHeight="1">
      <c r="A309" s="1"/>
      <c r="B309" s="48" t="s">
        <v>36</v>
      </c>
      <c r="C309" s="49"/>
      <c r="D309" s="65"/>
      <c r="E309" s="66"/>
      <c r="F309" s="52" t="s">
        <v>37</v>
      </c>
      <c r="G309" s="67"/>
      <c r="H309" s="68"/>
      <c r="I309" s="69"/>
      <c r="J309" s="116"/>
      <c r="K309" s="71"/>
      <c r="L309" s="72"/>
      <c r="M309" s="73"/>
      <c r="N309" s="72"/>
      <c r="O309" s="73"/>
      <c r="P309" s="72"/>
      <c r="Q309" s="73"/>
      <c r="R309" s="72"/>
      <c r="S309" s="73"/>
      <c r="T309" s="72"/>
      <c r="U309" s="73"/>
      <c r="V309" s="72"/>
      <c r="W309" s="73"/>
      <c r="X309" s="72"/>
      <c r="Y309" s="73"/>
      <c r="Z309" s="74" t="b">
        <v>0</v>
      </c>
      <c r="AA309" s="130">
        <f t="shared" si="121"/>
        <v>0</v>
      </c>
      <c r="AB309" s="131">
        <f t="shared" si="122"/>
        <v>0</v>
      </c>
      <c r="AC309" s="132">
        <f t="shared" si="123"/>
        <v>0</v>
      </c>
      <c r="AD309" s="133">
        <f t="shared" si="124"/>
        <v>0</v>
      </c>
      <c r="AE309" s="131">
        <f t="shared" si="125"/>
        <v>0</v>
      </c>
      <c r="AF309" s="133">
        <f t="shared" si="126"/>
        <v>0</v>
      </c>
      <c r="AG309" s="1"/>
    </row>
    <row r="310" ht="21.0" customHeight="1">
      <c r="A310" s="1"/>
      <c r="B310" s="48" t="s">
        <v>39</v>
      </c>
      <c r="C310" s="49"/>
      <c r="D310" s="65"/>
      <c r="E310" s="41"/>
      <c r="F310" s="52" t="s">
        <v>40</v>
      </c>
      <c r="G310" s="79"/>
      <c r="H310" s="115" t="s">
        <v>128</v>
      </c>
      <c r="I310" s="69"/>
      <c r="J310" s="116">
        <v>2.5</v>
      </c>
      <c r="K310" s="71">
        <v>15.0</v>
      </c>
      <c r="L310" s="116">
        <v>2.5</v>
      </c>
      <c r="M310" s="71">
        <v>15.0</v>
      </c>
      <c r="N310" s="116">
        <v>2.5</v>
      </c>
      <c r="O310" s="71">
        <v>15.0</v>
      </c>
      <c r="P310" s="116">
        <v>2.5</v>
      </c>
      <c r="Q310" s="71">
        <v>15.0</v>
      </c>
      <c r="R310" s="72"/>
      <c r="S310" s="73"/>
      <c r="T310" s="72"/>
      <c r="U310" s="73"/>
      <c r="V310" s="72"/>
      <c r="W310" s="73"/>
      <c r="X310" s="72"/>
      <c r="Y310" s="73"/>
      <c r="Z310" s="74" t="b">
        <v>0</v>
      </c>
      <c r="AA310" s="130">
        <f t="shared" si="121"/>
        <v>150</v>
      </c>
      <c r="AB310" s="131">
        <f t="shared" si="122"/>
        <v>3.4375</v>
      </c>
      <c r="AC310" s="132">
        <f t="shared" si="123"/>
        <v>2.990625</v>
      </c>
      <c r="AD310" s="133">
        <f t="shared" si="124"/>
        <v>2.303125</v>
      </c>
      <c r="AE310" s="131">
        <f t="shared" si="125"/>
        <v>2.5</v>
      </c>
      <c r="AF310" s="133">
        <f t="shared" si="126"/>
        <v>15</v>
      </c>
      <c r="AG310" s="1"/>
    </row>
    <row r="311" ht="21.0" customHeight="1">
      <c r="A311" s="1"/>
      <c r="B311" s="48" t="s">
        <v>41</v>
      </c>
      <c r="C311" s="81"/>
      <c r="D311" s="82" t="b">
        <v>0</v>
      </c>
      <c r="E311" s="51" t="s">
        <v>42</v>
      </c>
      <c r="F311" s="52" t="s">
        <v>34</v>
      </c>
      <c r="G311" s="83"/>
      <c r="H311" s="142" t="s">
        <v>35</v>
      </c>
      <c r="I311" s="85"/>
      <c r="J311" s="70">
        <v>15.0</v>
      </c>
      <c r="K311" s="71">
        <v>15.0</v>
      </c>
      <c r="L311" s="70">
        <v>15.0</v>
      </c>
      <c r="M311" s="71">
        <v>12.0</v>
      </c>
      <c r="N311" s="70">
        <v>15.0</v>
      </c>
      <c r="O311" s="71">
        <v>12.0</v>
      </c>
      <c r="P311" s="70">
        <v>15.0</v>
      </c>
      <c r="Q311" s="71">
        <v>15.0</v>
      </c>
      <c r="R311" s="72"/>
      <c r="S311" s="73"/>
      <c r="T311" s="72"/>
      <c r="U311" s="73"/>
      <c r="V311" s="72"/>
      <c r="W311" s="73"/>
      <c r="X311" s="72"/>
      <c r="Y311" s="73"/>
      <c r="Z311" s="74" t="b">
        <v>0</v>
      </c>
      <c r="AA311" s="130">
        <f t="shared" si="121"/>
        <v>810</v>
      </c>
      <c r="AB311" s="131">
        <f t="shared" si="122"/>
        <v>20.625</v>
      </c>
      <c r="AC311" s="132">
        <f t="shared" si="123"/>
        <v>17.94375</v>
      </c>
      <c r="AD311" s="133">
        <f t="shared" si="124"/>
        <v>13.81875</v>
      </c>
      <c r="AE311" s="131">
        <f t="shared" si="125"/>
        <v>15</v>
      </c>
      <c r="AF311" s="133">
        <f t="shared" si="126"/>
        <v>15</v>
      </c>
      <c r="AG311" s="1"/>
    </row>
    <row r="312" ht="21.0" customHeight="1">
      <c r="A312" s="1"/>
      <c r="B312" s="48" t="s">
        <v>43</v>
      </c>
      <c r="C312" s="49"/>
      <c r="D312" s="86" t="b">
        <v>0</v>
      </c>
      <c r="E312" s="66"/>
      <c r="F312" s="52" t="s">
        <v>37</v>
      </c>
      <c r="G312" s="67"/>
      <c r="H312" s="80"/>
      <c r="I312" s="69"/>
      <c r="J312" s="72"/>
      <c r="K312" s="73"/>
      <c r="L312" s="72"/>
      <c r="M312" s="73"/>
      <c r="N312" s="72"/>
      <c r="O312" s="73"/>
      <c r="P312" s="72"/>
      <c r="Q312" s="73"/>
      <c r="R312" s="72"/>
      <c r="S312" s="73"/>
      <c r="T312" s="72"/>
      <c r="U312" s="73"/>
      <c r="V312" s="72"/>
      <c r="W312" s="73"/>
      <c r="X312" s="72"/>
      <c r="Y312" s="73"/>
      <c r="Z312" s="74" t="b">
        <v>0</v>
      </c>
      <c r="AA312" s="130">
        <f t="shared" si="121"/>
        <v>0</v>
      </c>
      <c r="AB312" s="131">
        <f t="shared" si="122"/>
        <v>0</v>
      </c>
      <c r="AC312" s="132">
        <f t="shared" si="123"/>
        <v>0</v>
      </c>
      <c r="AD312" s="133">
        <f t="shared" si="124"/>
        <v>0</v>
      </c>
      <c r="AE312" s="131">
        <f t="shared" si="125"/>
        <v>0</v>
      </c>
      <c r="AF312" s="133">
        <f t="shared" si="126"/>
        <v>0</v>
      </c>
      <c r="AG312" s="1"/>
    </row>
    <row r="313" ht="21.0" customHeight="1">
      <c r="A313" s="1"/>
      <c r="B313" s="87" t="str">
        <f t="array" ref="B313">"📌최근 인바디 결과 : "&amp;text(xlookup(B305,'현황'!O:O,'현황'!O:O,,-1,-1),"m/d(ddd)")</f>
        <v>#REF!</v>
      </c>
      <c r="C313" s="88"/>
      <c r="D313" s="49"/>
      <c r="E313" s="41"/>
      <c r="F313" s="52" t="s">
        <v>40</v>
      </c>
      <c r="G313" s="79"/>
      <c r="H313" s="80"/>
      <c r="I313" s="69"/>
      <c r="J313" s="72"/>
      <c r="K313" s="73"/>
      <c r="L313" s="72"/>
      <c r="M313" s="73"/>
      <c r="N313" s="72"/>
      <c r="O313" s="73"/>
      <c r="P313" s="72"/>
      <c r="Q313" s="73"/>
      <c r="R313" s="72"/>
      <c r="S313" s="73"/>
      <c r="T313" s="72"/>
      <c r="U313" s="73"/>
      <c r="V313" s="72"/>
      <c r="W313" s="73"/>
      <c r="X313" s="72"/>
      <c r="Y313" s="73"/>
      <c r="Z313" s="74" t="b">
        <v>0</v>
      </c>
      <c r="AA313" s="130">
        <f t="shared" si="121"/>
        <v>0</v>
      </c>
      <c r="AB313" s="131">
        <f t="shared" si="122"/>
        <v>0</v>
      </c>
      <c r="AC313" s="132">
        <f t="shared" si="123"/>
        <v>0</v>
      </c>
      <c r="AD313" s="133">
        <f t="shared" si="124"/>
        <v>0</v>
      </c>
      <c r="AE313" s="131">
        <f t="shared" si="125"/>
        <v>0</v>
      </c>
      <c r="AF313" s="133">
        <f t="shared" si="126"/>
        <v>0</v>
      </c>
      <c r="AG313" s="1"/>
    </row>
    <row r="314" ht="21.0" customHeight="1">
      <c r="A314" s="1"/>
      <c r="B314" s="89" t="s">
        <v>44</v>
      </c>
      <c r="C314" s="49"/>
      <c r="D314" s="90">
        <f t="array" ref="D314">iferror(vlookup(xlookup(B305,'현황'!O:O,'현황'!O:O,,-1,-1),'현황'!O:S,2,false),0)</f>
        <v>0</v>
      </c>
      <c r="E314" s="51" t="s">
        <v>45</v>
      </c>
      <c r="F314" s="52" t="s">
        <v>34</v>
      </c>
      <c r="G314" s="83"/>
      <c r="H314" s="84"/>
      <c r="I314" s="85"/>
      <c r="J314" s="72"/>
      <c r="K314" s="73"/>
      <c r="L314" s="72"/>
      <c r="M314" s="73"/>
      <c r="N314" s="72"/>
      <c r="O314" s="73"/>
      <c r="P314" s="72"/>
      <c r="Q314" s="73"/>
      <c r="R314" s="72"/>
      <c r="S314" s="73"/>
      <c r="T314" s="72"/>
      <c r="U314" s="73"/>
      <c r="V314" s="72"/>
      <c r="W314" s="73"/>
      <c r="X314" s="72"/>
      <c r="Y314" s="73"/>
      <c r="Z314" s="74" t="b">
        <v>0</v>
      </c>
      <c r="AA314" s="130">
        <f t="shared" si="121"/>
        <v>0</v>
      </c>
      <c r="AB314" s="131">
        <f t="shared" si="122"/>
        <v>0</v>
      </c>
      <c r="AC314" s="132">
        <f t="shared" si="123"/>
        <v>0</v>
      </c>
      <c r="AD314" s="133">
        <f t="shared" si="124"/>
        <v>0</v>
      </c>
      <c r="AE314" s="131">
        <f t="shared" si="125"/>
        <v>0</v>
      </c>
      <c r="AF314" s="133">
        <f t="shared" si="126"/>
        <v>0</v>
      </c>
      <c r="AG314" s="1"/>
    </row>
    <row r="315" ht="21.0" customHeight="1">
      <c r="A315" s="1"/>
      <c r="B315" s="48" t="s">
        <v>46</v>
      </c>
      <c r="C315" s="49"/>
      <c r="D315" s="91">
        <f t="array" ref="D315">iferror(vlookup(xlookup(B305,'현황'!O:O,'현황'!O:O,,-1,-1),'현황'!O:S,3,false),0)</f>
        <v>0</v>
      </c>
      <c r="E315" s="66"/>
      <c r="F315" s="52" t="s">
        <v>37</v>
      </c>
      <c r="G315" s="67"/>
      <c r="H315" s="80"/>
      <c r="I315" s="69"/>
      <c r="J315" s="72"/>
      <c r="K315" s="73"/>
      <c r="L315" s="72"/>
      <c r="M315" s="73"/>
      <c r="N315" s="72"/>
      <c r="O315" s="73"/>
      <c r="P315" s="72"/>
      <c r="Q315" s="73"/>
      <c r="R315" s="72"/>
      <c r="S315" s="73"/>
      <c r="T315" s="72"/>
      <c r="U315" s="73"/>
      <c r="V315" s="72"/>
      <c r="W315" s="73"/>
      <c r="X315" s="72"/>
      <c r="Y315" s="73"/>
      <c r="Z315" s="74" t="b">
        <v>0</v>
      </c>
      <c r="AA315" s="130">
        <f t="shared" si="121"/>
        <v>0</v>
      </c>
      <c r="AB315" s="131">
        <f t="shared" si="122"/>
        <v>0</v>
      </c>
      <c r="AC315" s="132">
        <f t="shared" si="123"/>
        <v>0</v>
      </c>
      <c r="AD315" s="133">
        <f t="shared" si="124"/>
        <v>0</v>
      </c>
      <c r="AE315" s="131">
        <f t="shared" si="125"/>
        <v>0</v>
      </c>
      <c r="AF315" s="133">
        <f t="shared" si="126"/>
        <v>0</v>
      </c>
      <c r="AG315" s="1"/>
    </row>
    <row r="316" ht="21.0" customHeight="1">
      <c r="A316" s="1"/>
      <c r="B316" s="48" t="s">
        <v>47</v>
      </c>
      <c r="C316" s="49"/>
      <c r="D316" s="91">
        <f t="array" ref="D316">iferror(vlookup(xlookup(B305,'현황'!O:O,'현황'!O:O,,-1,-1),'현황'!O:S,4,false),0)</f>
        <v>0</v>
      </c>
      <c r="E316" s="41"/>
      <c r="F316" s="92" t="s">
        <v>40</v>
      </c>
      <c r="G316" s="79"/>
      <c r="H316" s="93"/>
      <c r="I316" s="94"/>
      <c r="J316" s="95"/>
      <c r="K316" s="96"/>
      <c r="L316" s="95"/>
      <c r="M316" s="96"/>
      <c r="N316" s="95"/>
      <c r="O316" s="96"/>
      <c r="P316" s="95"/>
      <c r="Q316" s="96"/>
      <c r="R316" s="95"/>
      <c r="S316" s="96"/>
      <c r="T316" s="95"/>
      <c r="U316" s="96"/>
      <c r="V316" s="95"/>
      <c r="W316" s="96"/>
      <c r="X316" s="95"/>
      <c r="Y316" s="96"/>
      <c r="Z316" s="97" t="b">
        <v>0</v>
      </c>
      <c r="AA316" s="135">
        <f t="shared" si="121"/>
        <v>0</v>
      </c>
      <c r="AB316" s="136">
        <f t="shared" si="122"/>
        <v>0</v>
      </c>
      <c r="AC316" s="137">
        <f t="shared" si="123"/>
        <v>0</v>
      </c>
      <c r="AD316" s="138">
        <f t="shared" si="124"/>
        <v>0</v>
      </c>
      <c r="AE316" s="136">
        <f t="shared" si="125"/>
        <v>0</v>
      </c>
      <c r="AF316" s="138">
        <f t="shared" si="126"/>
        <v>0</v>
      </c>
      <c r="AG316" s="1"/>
    </row>
    <row r="317" ht="21.0" customHeight="1">
      <c r="A317" s="1"/>
      <c r="B317" s="102" t="s">
        <v>48</v>
      </c>
      <c r="C317" s="103"/>
      <c r="D317" s="104">
        <f>iferror(D316/D314,0)</f>
        <v>0</v>
      </c>
      <c r="E317" s="102" t="s">
        <v>49</v>
      </c>
      <c r="F317" s="103"/>
      <c r="G317" s="105"/>
      <c r="H317" s="106" t="s">
        <v>50</v>
      </c>
      <c r="I317" s="107"/>
      <c r="J317" s="11"/>
      <c r="K317" s="11"/>
      <c r="L317" s="11"/>
      <c r="M317" s="11"/>
      <c r="N317" s="11"/>
      <c r="O317" s="11"/>
      <c r="P317" s="108" t="s">
        <v>51</v>
      </c>
      <c r="Q317" s="12"/>
      <c r="R317" s="109"/>
      <c r="S317" s="11"/>
      <c r="T317" s="11"/>
      <c r="U317" s="11"/>
      <c r="V317" s="11"/>
      <c r="W317" s="11"/>
      <c r="X317" s="11"/>
      <c r="Y317" s="11"/>
      <c r="Z317" s="12"/>
      <c r="AA317" s="139">
        <f>SUM(AA308:AA316)</f>
        <v>1180</v>
      </c>
      <c r="AB317" s="140" t="s">
        <v>137</v>
      </c>
      <c r="AG317" s="1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1"/>
      <c r="AA318" s="1"/>
      <c r="AB318" s="1"/>
      <c r="AC318" s="3"/>
      <c r="AD318" s="1"/>
      <c r="AE318" s="1"/>
      <c r="AF318" s="1"/>
      <c r="AG318" s="1"/>
    </row>
    <row r="319" ht="21.0" customHeight="1">
      <c r="A319" s="1"/>
      <c r="B319" s="4" t="s">
        <v>1</v>
      </c>
      <c r="C319" s="5"/>
      <c r="D319" s="6" t="s">
        <v>2</v>
      </c>
      <c r="E319" s="7"/>
      <c r="F319" s="7"/>
      <c r="G319" s="5"/>
      <c r="H319" s="8" t="s">
        <v>3</v>
      </c>
      <c r="I319" s="8" t="s">
        <v>4</v>
      </c>
      <c r="J319" s="9" t="s">
        <v>5</v>
      </c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5"/>
      <c r="AA319" s="117" t="s">
        <v>6</v>
      </c>
      <c r="AB319" s="11"/>
      <c r="AC319" s="11"/>
      <c r="AD319" s="11"/>
      <c r="AE319" s="11"/>
      <c r="AF319" s="12"/>
      <c r="AG319" s="1"/>
    </row>
    <row r="320" ht="21.0" customHeight="1">
      <c r="A320" s="1"/>
      <c r="B320" s="149" t="s">
        <v>138</v>
      </c>
      <c r="C320" s="14" t="str">
        <f>if(B320="0/0","",choose(weekday(B320),"(일)","(월)","(화)","(수)","(목)","(금)","(토)"))</f>
        <v/>
      </c>
      <c r="D320" s="15" t="s">
        <v>7</v>
      </c>
      <c r="E320" s="16" t="s">
        <v>8</v>
      </c>
      <c r="F320" s="17"/>
      <c r="G320" s="18" t="s">
        <v>9</v>
      </c>
      <c r="H320" s="150" t="s">
        <v>139</v>
      </c>
      <c r="I320" s="151"/>
      <c r="J320" s="21" t="s">
        <v>12</v>
      </c>
      <c r="K320" s="22"/>
      <c r="L320" s="21" t="s">
        <v>13</v>
      </c>
      <c r="M320" s="22"/>
      <c r="N320" s="21" t="s">
        <v>14</v>
      </c>
      <c r="O320" s="22"/>
      <c r="P320" s="21" t="s">
        <v>15</v>
      </c>
      <c r="Q320" s="22"/>
      <c r="R320" s="23" t="s">
        <v>16</v>
      </c>
      <c r="S320" s="22"/>
      <c r="T320" s="23" t="s">
        <v>17</v>
      </c>
      <c r="U320" s="22"/>
      <c r="V320" s="23" t="s">
        <v>18</v>
      </c>
      <c r="W320" s="22"/>
      <c r="X320" s="23" t="s">
        <v>19</v>
      </c>
      <c r="Y320" s="22"/>
      <c r="Z320" s="24" t="s">
        <v>140</v>
      </c>
      <c r="AA320" s="118" t="s">
        <v>21</v>
      </c>
      <c r="AB320" s="119" t="s">
        <v>22</v>
      </c>
      <c r="AC320" s="7"/>
      <c r="AD320" s="22"/>
      <c r="AE320" s="120" t="s">
        <v>23</v>
      </c>
      <c r="AF320" s="22"/>
      <c r="AG320" s="1"/>
    </row>
    <row r="321" ht="21.0" customHeight="1">
      <c r="A321" s="1"/>
      <c r="B321" s="27">
        <f>iferror(B320-'현황'!$C$4+1,0)</f>
        <v>0</v>
      </c>
      <c r="C321" s="28"/>
      <c r="D321" s="29">
        <v>0.0</v>
      </c>
      <c r="E321" s="30">
        <v>0.0</v>
      </c>
      <c r="F321" s="31"/>
      <c r="G321" s="32">
        <v>0.0</v>
      </c>
      <c r="H321" s="33">
        <v>0.0</v>
      </c>
      <c r="I321" s="34"/>
      <c r="J321" s="35"/>
      <c r="K321" s="36"/>
      <c r="L321" s="35"/>
      <c r="M321" s="36"/>
      <c r="N321" s="35"/>
      <c r="O321" s="36"/>
      <c r="P321" s="35"/>
      <c r="Q321" s="36"/>
      <c r="R321" s="35"/>
      <c r="S321" s="36"/>
      <c r="T321" s="35"/>
      <c r="U321" s="36"/>
      <c r="V321" s="35"/>
      <c r="W321" s="36"/>
      <c r="X321" s="35"/>
      <c r="Y321" s="36"/>
      <c r="Z321" s="37"/>
      <c r="AA321" s="37"/>
      <c r="AB321" s="35"/>
      <c r="AC321" s="38"/>
      <c r="AD321" s="36"/>
      <c r="AE321" s="35"/>
      <c r="AF321" s="36"/>
      <c r="AG321" s="1"/>
    </row>
    <row r="322" ht="21.0" customHeight="1">
      <c r="A322" s="1"/>
      <c r="B322" s="39" t="s">
        <v>24</v>
      </c>
      <c r="C322" s="40"/>
      <c r="D322" s="41"/>
      <c r="E322" s="42" t="s">
        <v>25</v>
      </c>
      <c r="F322" s="40"/>
      <c r="G322" s="41"/>
      <c r="H322" s="43" t="s">
        <v>26</v>
      </c>
      <c r="J322" s="44" t="s">
        <v>27</v>
      </c>
      <c r="K322" s="45" t="s">
        <v>28</v>
      </c>
      <c r="L322" s="44" t="s">
        <v>27</v>
      </c>
      <c r="M322" s="45" t="s">
        <v>28</v>
      </c>
      <c r="N322" s="44" t="s">
        <v>27</v>
      </c>
      <c r="O322" s="45" t="s">
        <v>28</v>
      </c>
      <c r="P322" s="44" t="s">
        <v>27</v>
      </c>
      <c r="Q322" s="45" t="s">
        <v>28</v>
      </c>
      <c r="R322" s="44" t="s">
        <v>27</v>
      </c>
      <c r="S322" s="45" t="s">
        <v>28</v>
      </c>
      <c r="T322" s="44" t="s">
        <v>27</v>
      </c>
      <c r="U322" s="45" t="s">
        <v>28</v>
      </c>
      <c r="V322" s="44" t="s">
        <v>27</v>
      </c>
      <c r="W322" s="45" t="s">
        <v>28</v>
      </c>
      <c r="X322" s="44" t="s">
        <v>27</v>
      </c>
      <c r="Y322" s="45" t="s">
        <v>28</v>
      </c>
      <c r="Z322" s="46"/>
      <c r="AA322" s="46"/>
      <c r="AB322" s="121" t="s">
        <v>29</v>
      </c>
      <c r="AC322" s="122" t="s">
        <v>30</v>
      </c>
      <c r="AD322" s="123" t="s">
        <v>31</v>
      </c>
      <c r="AE322" s="121" t="s">
        <v>27</v>
      </c>
      <c r="AF322" s="123" t="s">
        <v>28</v>
      </c>
      <c r="AG322" s="1"/>
    </row>
    <row r="323" ht="21.0" customHeight="1">
      <c r="A323" s="1"/>
      <c r="B323" s="48" t="s">
        <v>32</v>
      </c>
      <c r="C323" s="49"/>
      <c r="D323" s="50"/>
      <c r="E323" s="51" t="s">
        <v>33</v>
      </c>
      <c r="F323" s="52" t="s">
        <v>34</v>
      </c>
      <c r="G323" s="53"/>
      <c r="H323" s="148"/>
      <c r="I323" s="55"/>
      <c r="J323" s="58"/>
      <c r="K323" s="59"/>
      <c r="L323" s="58"/>
      <c r="M323" s="59"/>
      <c r="N323" s="58"/>
      <c r="O323" s="59"/>
      <c r="P323" s="58"/>
      <c r="Q323" s="59"/>
      <c r="R323" s="58"/>
      <c r="S323" s="59"/>
      <c r="T323" s="58"/>
      <c r="U323" s="59"/>
      <c r="V323" s="58"/>
      <c r="W323" s="59"/>
      <c r="X323" s="58"/>
      <c r="Y323" s="59"/>
      <c r="Z323" s="60" t="b">
        <v>0</v>
      </c>
      <c r="AA323" s="125">
        <f t="shared" ref="AA323:AA331" si="127">(J323*K323+L323*M323+N323*O323+P323*Q323+R323*S323+T323*U323+V323*W323+X323*Y323)*if(Z323=true,0.453592,1)</f>
        <v>0</v>
      </c>
      <c r="AB323" s="126">
        <f t="shared" ref="AB323:AB331" si="128">SUM(AE323*AF323*0.025,AE323)</f>
        <v>0</v>
      </c>
      <c r="AC323" s="127">
        <f t="shared" ref="AC323:AC331" si="129">AB323*87%</f>
        <v>0</v>
      </c>
      <c r="AD323" s="128">
        <f t="shared" ref="AD323:AD331" si="130">AB323*67%</f>
        <v>0</v>
      </c>
      <c r="AE323" s="126">
        <f t="shared" ref="AE323:AE331" si="131">MAX(J323,L323,N323,P323,R323,T323,V323,X323)*if(Z323=true,0.453592,1)</f>
        <v>0</v>
      </c>
      <c r="AF323" s="128">
        <f t="shared" ref="AF323:AF331" si="132">MAX(IF(J323*if(Z323=true,0.453592,1)=$AE323,K323,0),IF(L323*if(Z323=true,0.453592,1)=$AE323,M323,0),IF(N323*if(Z323=true,0.453592,1)=$AE323,O323,0),IF(P323*if(Z323=true,0.453592,1)=$AE323,Q323,0),IF(R323*if(Z323=true,0.453592,1)=$AE323,S323,0),IF(T323*if(Z323=true,0.453592,1)=$AE323,U323,0),IF(V323*if(Z323=true,0.453592,1)=$AE323,W323,0),IF(X323*if(Z323=true,0.453592,1)=$AE323,Y323,0))</f>
        <v>0</v>
      </c>
      <c r="AG323" s="1"/>
    </row>
    <row r="324" ht="21.0" customHeight="1">
      <c r="A324" s="1"/>
      <c r="B324" s="48" t="s">
        <v>36</v>
      </c>
      <c r="C324" s="49"/>
      <c r="D324" s="65"/>
      <c r="E324" s="66"/>
      <c r="F324" s="52" t="s">
        <v>37</v>
      </c>
      <c r="G324" s="67"/>
      <c r="H324" s="129"/>
      <c r="I324" s="69"/>
      <c r="J324" s="72"/>
      <c r="K324" s="73"/>
      <c r="L324" s="72"/>
      <c r="M324" s="73"/>
      <c r="N324" s="72"/>
      <c r="O324" s="73"/>
      <c r="P324" s="72"/>
      <c r="Q324" s="73"/>
      <c r="R324" s="72"/>
      <c r="S324" s="73"/>
      <c r="T324" s="72"/>
      <c r="U324" s="73"/>
      <c r="V324" s="72"/>
      <c r="W324" s="73"/>
      <c r="X324" s="72"/>
      <c r="Y324" s="73"/>
      <c r="Z324" s="74" t="b">
        <v>0</v>
      </c>
      <c r="AA324" s="130">
        <f t="shared" si="127"/>
        <v>0</v>
      </c>
      <c r="AB324" s="131">
        <f t="shared" si="128"/>
        <v>0</v>
      </c>
      <c r="AC324" s="132">
        <f t="shared" si="129"/>
        <v>0</v>
      </c>
      <c r="AD324" s="133">
        <f t="shared" si="130"/>
        <v>0</v>
      </c>
      <c r="AE324" s="131">
        <f t="shared" si="131"/>
        <v>0</v>
      </c>
      <c r="AF324" s="133">
        <f t="shared" si="132"/>
        <v>0</v>
      </c>
      <c r="AG324" s="1"/>
    </row>
    <row r="325" ht="21.0" customHeight="1">
      <c r="A325" s="1"/>
      <c r="B325" s="48" t="s">
        <v>39</v>
      </c>
      <c r="C325" s="49"/>
      <c r="D325" s="65"/>
      <c r="E325" s="41"/>
      <c r="F325" s="52" t="s">
        <v>40</v>
      </c>
      <c r="G325" s="79"/>
      <c r="H325" s="80"/>
      <c r="I325" s="69"/>
      <c r="J325" s="72"/>
      <c r="K325" s="73"/>
      <c r="L325" s="72"/>
      <c r="M325" s="73"/>
      <c r="N325" s="72"/>
      <c r="O325" s="73"/>
      <c r="P325" s="72"/>
      <c r="Q325" s="73"/>
      <c r="R325" s="72"/>
      <c r="S325" s="73"/>
      <c r="T325" s="72"/>
      <c r="U325" s="73"/>
      <c r="V325" s="72"/>
      <c r="W325" s="73"/>
      <c r="X325" s="72"/>
      <c r="Y325" s="73"/>
      <c r="Z325" s="74" t="b">
        <v>0</v>
      </c>
      <c r="AA325" s="130">
        <f t="shared" si="127"/>
        <v>0</v>
      </c>
      <c r="AB325" s="131">
        <f t="shared" si="128"/>
        <v>0</v>
      </c>
      <c r="AC325" s="132">
        <f t="shared" si="129"/>
        <v>0</v>
      </c>
      <c r="AD325" s="133">
        <f t="shared" si="130"/>
        <v>0</v>
      </c>
      <c r="AE325" s="131">
        <f t="shared" si="131"/>
        <v>0</v>
      </c>
      <c r="AF325" s="133">
        <f t="shared" si="132"/>
        <v>0</v>
      </c>
      <c r="AG325" s="1"/>
    </row>
    <row r="326" ht="21.0" customHeight="1">
      <c r="A326" s="1"/>
      <c r="B326" s="48" t="s">
        <v>41</v>
      </c>
      <c r="C326" s="81"/>
      <c r="D326" s="82" t="b">
        <v>0</v>
      </c>
      <c r="E326" s="51" t="s">
        <v>42</v>
      </c>
      <c r="F326" s="52" t="s">
        <v>34</v>
      </c>
      <c r="G326" s="83"/>
      <c r="H326" s="84"/>
      <c r="I326" s="85"/>
      <c r="J326" s="72"/>
      <c r="K326" s="73"/>
      <c r="L326" s="72"/>
      <c r="M326" s="73"/>
      <c r="N326" s="72"/>
      <c r="O326" s="73"/>
      <c r="P326" s="72"/>
      <c r="Q326" s="73"/>
      <c r="R326" s="72"/>
      <c r="S326" s="73"/>
      <c r="T326" s="72"/>
      <c r="U326" s="73"/>
      <c r="V326" s="72"/>
      <c r="W326" s="73"/>
      <c r="X326" s="72"/>
      <c r="Y326" s="73"/>
      <c r="Z326" s="74" t="b">
        <v>0</v>
      </c>
      <c r="AA326" s="130">
        <f t="shared" si="127"/>
        <v>0</v>
      </c>
      <c r="AB326" s="131">
        <f t="shared" si="128"/>
        <v>0</v>
      </c>
      <c r="AC326" s="132">
        <f t="shared" si="129"/>
        <v>0</v>
      </c>
      <c r="AD326" s="133">
        <f t="shared" si="130"/>
        <v>0</v>
      </c>
      <c r="AE326" s="131">
        <f t="shared" si="131"/>
        <v>0</v>
      </c>
      <c r="AF326" s="133">
        <f t="shared" si="132"/>
        <v>0</v>
      </c>
      <c r="AG326" s="1"/>
    </row>
    <row r="327" ht="21.0" customHeight="1">
      <c r="A327" s="1"/>
      <c r="B327" s="48" t="s">
        <v>43</v>
      </c>
      <c r="C327" s="49"/>
      <c r="D327" s="86" t="b">
        <v>0</v>
      </c>
      <c r="E327" s="66"/>
      <c r="F327" s="52" t="s">
        <v>37</v>
      </c>
      <c r="G327" s="67"/>
      <c r="H327" s="80"/>
      <c r="I327" s="69"/>
      <c r="J327" s="72"/>
      <c r="K327" s="73"/>
      <c r="L327" s="72"/>
      <c r="M327" s="73"/>
      <c r="N327" s="72"/>
      <c r="O327" s="73"/>
      <c r="P327" s="72"/>
      <c r="Q327" s="73"/>
      <c r="R327" s="72"/>
      <c r="S327" s="73"/>
      <c r="T327" s="72"/>
      <c r="U327" s="73"/>
      <c r="V327" s="72"/>
      <c r="W327" s="73"/>
      <c r="X327" s="72"/>
      <c r="Y327" s="73"/>
      <c r="Z327" s="74" t="b">
        <v>0</v>
      </c>
      <c r="AA327" s="130">
        <f t="shared" si="127"/>
        <v>0</v>
      </c>
      <c r="AB327" s="131">
        <f t="shared" si="128"/>
        <v>0</v>
      </c>
      <c r="AC327" s="132">
        <f t="shared" si="129"/>
        <v>0</v>
      </c>
      <c r="AD327" s="133">
        <f t="shared" si="130"/>
        <v>0</v>
      </c>
      <c r="AE327" s="131">
        <f t="shared" si="131"/>
        <v>0</v>
      </c>
      <c r="AF327" s="133">
        <f t="shared" si="132"/>
        <v>0</v>
      </c>
      <c r="AG327" s="1"/>
    </row>
    <row r="328" ht="21.0" customHeight="1">
      <c r="A328" s="1"/>
      <c r="B328" s="87" t="str">
        <f t="array" ref="B328">"📌최근 인바디 결과 : "&amp;text(xlookup(B320,'현황'!O:O,'현황'!O:O,,-1,-1),"m/d(ddd)")</f>
        <v>#REF!</v>
      </c>
      <c r="C328" s="88"/>
      <c r="D328" s="49"/>
      <c r="E328" s="41"/>
      <c r="F328" s="52" t="s">
        <v>40</v>
      </c>
      <c r="G328" s="79"/>
      <c r="H328" s="80"/>
      <c r="I328" s="69"/>
      <c r="J328" s="72"/>
      <c r="K328" s="73"/>
      <c r="L328" s="72"/>
      <c r="M328" s="73"/>
      <c r="N328" s="72"/>
      <c r="O328" s="73"/>
      <c r="P328" s="72"/>
      <c r="Q328" s="73"/>
      <c r="R328" s="72"/>
      <c r="S328" s="73"/>
      <c r="T328" s="72"/>
      <c r="U328" s="73"/>
      <c r="V328" s="72"/>
      <c r="W328" s="73"/>
      <c r="X328" s="72"/>
      <c r="Y328" s="73"/>
      <c r="Z328" s="74" t="b">
        <v>0</v>
      </c>
      <c r="AA328" s="130">
        <f t="shared" si="127"/>
        <v>0</v>
      </c>
      <c r="AB328" s="131">
        <f t="shared" si="128"/>
        <v>0</v>
      </c>
      <c r="AC328" s="132">
        <f t="shared" si="129"/>
        <v>0</v>
      </c>
      <c r="AD328" s="133">
        <f t="shared" si="130"/>
        <v>0</v>
      </c>
      <c r="AE328" s="131">
        <f t="shared" si="131"/>
        <v>0</v>
      </c>
      <c r="AF328" s="133">
        <f t="shared" si="132"/>
        <v>0</v>
      </c>
      <c r="AG328" s="1"/>
    </row>
    <row r="329" ht="21.0" customHeight="1">
      <c r="A329" s="1"/>
      <c r="B329" s="89" t="s">
        <v>44</v>
      </c>
      <c r="C329" s="49"/>
      <c r="D329" s="90">
        <f t="array" ref="D329">iferror(vlookup(xlookup(B320,'현황'!O:O,'현황'!O:O,,-1,-1),'현황'!O:S,2,false),0)</f>
        <v>0</v>
      </c>
      <c r="E329" s="51" t="s">
        <v>45</v>
      </c>
      <c r="F329" s="52" t="s">
        <v>34</v>
      </c>
      <c r="G329" s="83"/>
      <c r="H329" s="84"/>
      <c r="I329" s="85"/>
      <c r="J329" s="72"/>
      <c r="K329" s="73"/>
      <c r="L329" s="72"/>
      <c r="M329" s="73"/>
      <c r="N329" s="72"/>
      <c r="O329" s="73"/>
      <c r="P329" s="72"/>
      <c r="Q329" s="73"/>
      <c r="R329" s="72"/>
      <c r="S329" s="73"/>
      <c r="T329" s="72"/>
      <c r="U329" s="73"/>
      <c r="V329" s="72"/>
      <c r="W329" s="73"/>
      <c r="X329" s="72"/>
      <c r="Y329" s="73"/>
      <c r="Z329" s="74" t="b">
        <v>0</v>
      </c>
      <c r="AA329" s="130">
        <f t="shared" si="127"/>
        <v>0</v>
      </c>
      <c r="AB329" s="131">
        <f t="shared" si="128"/>
        <v>0</v>
      </c>
      <c r="AC329" s="132">
        <f t="shared" si="129"/>
        <v>0</v>
      </c>
      <c r="AD329" s="133">
        <f t="shared" si="130"/>
        <v>0</v>
      </c>
      <c r="AE329" s="131">
        <f t="shared" si="131"/>
        <v>0</v>
      </c>
      <c r="AF329" s="133">
        <f t="shared" si="132"/>
        <v>0</v>
      </c>
      <c r="AG329" s="1"/>
    </row>
    <row r="330" ht="21.0" customHeight="1">
      <c r="A330" s="1"/>
      <c r="B330" s="48" t="s">
        <v>46</v>
      </c>
      <c r="C330" s="49"/>
      <c r="D330" s="91">
        <f t="array" ref="D330">iferror(vlookup(xlookup(B320,'현황'!O:O,'현황'!O:O,,-1,-1),'현황'!O:S,3,false),0)</f>
        <v>0</v>
      </c>
      <c r="E330" s="66"/>
      <c r="F330" s="52" t="s">
        <v>37</v>
      </c>
      <c r="G330" s="67"/>
      <c r="H330" s="80"/>
      <c r="I330" s="69"/>
      <c r="J330" s="72"/>
      <c r="K330" s="73"/>
      <c r="L330" s="72"/>
      <c r="M330" s="73"/>
      <c r="N330" s="72"/>
      <c r="O330" s="73"/>
      <c r="P330" s="72"/>
      <c r="Q330" s="73"/>
      <c r="R330" s="72"/>
      <c r="S330" s="73"/>
      <c r="T330" s="72"/>
      <c r="U330" s="73"/>
      <c r="V330" s="72"/>
      <c r="W330" s="73"/>
      <c r="X330" s="72"/>
      <c r="Y330" s="73"/>
      <c r="Z330" s="74" t="b">
        <v>0</v>
      </c>
      <c r="AA330" s="130">
        <f t="shared" si="127"/>
        <v>0</v>
      </c>
      <c r="AB330" s="131">
        <f t="shared" si="128"/>
        <v>0</v>
      </c>
      <c r="AC330" s="132">
        <f t="shared" si="129"/>
        <v>0</v>
      </c>
      <c r="AD330" s="133">
        <f t="shared" si="130"/>
        <v>0</v>
      </c>
      <c r="AE330" s="131">
        <f t="shared" si="131"/>
        <v>0</v>
      </c>
      <c r="AF330" s="133">
        <f t="shared" si="132"/>
        <v>0</v>
      </c>
      <c r="AG330" s="1"/>
    </row>
    <row r="331" ht="21.0" customHeight="1">
      <c r="A331" s="1"/>
      <c r="B331" s="48" t="s">
        <v>47</v>
      </c>
      <c r="C331" s="49"/>
      <c r="D331" s="91">
        <f t="array" ref="D331">iferror(vlookup(xlookup(B320,'현황'!O:O,'현황'!O:O,,-1,-1),'현황'!O:S,4,false),0)</f>
        <v>0</v>
      </c>
      <c r="E331" s="41"/>
      <c r="F331" s="92" t="s">
        <v>40</v>
      </c>
      <c r="G331" s="79"/>
      <c r="H331" s="93"/>
      <c r="I331" s="94"/>
      <c r="J331" s="95"/>
      <c r="K331" s="96"/>
      <c r="L331" s="95"/>
      <c r="M331" s="96"/>
      <c r="N331" s="95"/>
      <c r="O331" s="96"/>
      <c r="P331" s="95"/>
      <c r="Q331" s="96"/>
      <c r="R331" s="95"/>
      <c r="S331" s="96"/>
      <c r="T331" s="95"/>
      <c r="U331" s="96"/>
      <c r="V331" s="95"/>
      <c r="W331" s="96"/>
      <c r="X331" s="95"/>
      <c r="Y331" s="96"/>
      <c r="Z331" s="97" t="b">
        <v>0</v>
      </c>
      <c r="AA331" s="135">
        <f t="shared" si="127"/>
        <v>0</v>
      </c>
      <c r="AB331" s="136">
        <f t="shared" si="128"/>
        <v>0</v>
      </c>
      <c r="AC331" s="137">
        <f t="shared" si="129"/>
        <v>0</v>
      </c>
      <c r="AD331" s="138">
        <f t="shared" si="130"/>
        <v>0</v>
      </c>
      <c r="AE331" s="136">
        <f t="shared" si="131"/>
        <v>0</v>
      </c>
      <c r="AF331" s="138">
        <f t="shared" si="132"/>
        <v>0</v>
      </c>
      <c r="AG331" s="1"/>
    </row>
    <row r="332" ht="21.0" customHeight="1">
      <c r="A332" s="1"/>
      <c r="B332" s="102" t="s">
        <v>48</v>
      </c>
      <c r="C332" s="103"/>
      <c r="D332" s="104">
        <f>iferror(D331/D329,0)</f>
        <v>0</v>
      </c>
      <c r="E332" s="102" t="s">
        <v>49</v>
      </c>
      <c r="F332" s="103"/>
      <c r="G332" s="105"/>
      <c r="H332" s="106" t="s">
        <v>50</v>
      </c>
      <c r="I332" s="107"/>
      <c r="J332" s="11"/>
      <c r="K332" s="11"/>
      <c r="L332" s="11"/>
      <c r="M332" s="11"/>
      <c r="N332" s="11"/>
      <c r="O332" s="11"/>
      <c r="P332" s="108" t="s">
        <v>51</v>
      </c>
      <c r="Q332" s="12"/>
      <c r="R332" s="109"/>
      <c r="S332" s="11"/>
      <c r="T332" s="11"/>
      <c r="U332" s="11"/>
      <c r="V332" s="11"/>
      <c r="W332" s="11"/>
      <c r="X332" s="11"/>
      <c r="Y332" s="11"/>
      <c r="Z332" s="12"/>
      <c r="AA332" s="139">
        <f>SUM(AA323:AA331)</f>
        <v>0</v>
      </c>
      <c r="AB332" s="140" t="s">
        <v>141</v>
      </c>
      <c r="AG332" s="1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1"/>
      <c r="AA333" s="1"/>
      <c r="AB333" s="1"/>
      <c r="AC333" s="3"/>
      <c r="AD333" s="1"/>
      <c r="AE333" s="1"/>
      <c r="AF333" s="1"/>
      <c r="AG333" s="1"/>
    </row>
    <row r="334" ht="21.0" customHeight="1">
      <c r="A334" s="1"/>
      <c r="B334" s="4" t="s">
        <v>1</v>
      </c>
      <c r="C334" s="5"/>
      <c r="D334" s="6" t="s">
        <v>2</v>
      </c>
      <c r="E334" s="7"/>
      <c r="F334" s="7"/>
      <c r="G334" s="5"/>
      <c r="H334" s="8" t="s">
        <v>3</v>
      </c>
      <c r="I334" s="8" t="s">
        <v>4</v>
      </c>
      <c r="J334" s="9" t="s">
        <v>5</v>
      </c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5"/>
      <c r="AA334" s="117" t="s">
        <v>6</v>
      </c>
      <c r="AB334" s="11"/>
      <c r="AC334" s="11"/>
      <c r="AD334" s="11"/>
      <c r="AE334" s="11"/>
      <c r="AF334" s="12"/>
      <c r="AG334" s="1"/>
    </row>
    <row r="335" ht="21.0" customHeight="1">
      <c r="A335" s="1"/>
      <c r="B335" s="149" t="s">
        <v>138</v>
      </c>
      <c r="C335" s="14" t="str">
        <f>if(B335="0/0","",choose(weekday(B335),"(일)","(월)","(화)","(수)","(목)","(금)","(토)"))</f>
        <v/>
      </c>
      <c r="D335" s="15" t="s">
        <v>7</v>
      </c>
      <c r="E335" s="16" t="s">
        <v>8</v>
      </c>
      <c r="F335" s="17"/>
      <c r="G335" s="18" t="s">
        <v>9</v>
      </c>
      <c r="H335" s="150" t="s">
        <v>139</v>
      </c>
      <c r="I335" s="151"/>
      <c r="J335" s="21" t="s">
        <v>12</v>
      </c>
      <c r="K335" s="22"/>
      <c r="L335" s="21" t="s">
        <v>13</v>
      </c>
      <c r="M335" s="22"/>
      <c r="N335" s="21" t="s">
        <v>14</v>
      </c>
      <c r="O335" s="22"/>
      <c r="P335" s="21" t="s">
        <v>15</v>
      </c>
      <c r="Q335" s="22"/>
      <c r="R335" s="23" t="s">
        <v>16</v>
      </c>
      <c r="S335" s="22"/>
      <c r="T335" s="23" t="s">
        <v>17</v>
      </c>
      <c r="U335" s="22"/>
      <c r="V335" s="23" t="s">
        <v>18</v>
      </c>
      <c r="W335" s="22"/>
      <c r="X335" s="23" t="s">
        <v>19</v>
      </c>
      <c r="Y335" s="22"/>
      <c r="Z335" s="24" t="s">
        <v>142</v>
      </c>
      <c r="AA335" s="118" t="s">
        <v>21</v>
      </c>
      <c r="AB335" s="119" t="s">
        <v>22</v>
      </c>
      <c r="AC335" s="7"/>
      <c r="AD335" s="22"/>
      <c r="AE335" s="120" t="s">
        <v>23</v>
      </c>
      <c r="AF335" s="22"/>
      <c r="AG335" s="1"/>
    </row>
    <row r="336" ht="21.0" customHeight="1">
      <c r="A336" s="1"/>
      <c r="B336" s="27">
        <f>iferror(B335-'현황'!$C$4+1,0)</f>
        <v>0</v>
      </c>
      <c r="C336" s="28"/>
      <c r="D336" s="29">
        <v>0.0</v>
      </c>
      <c r="E336" s="30">
        <v>0.0</v>
      </c>
      <c r="F336" s="31"/>
      <c r="G336" s="32">
        <v>0.0</v>
      </c>
      <c r="H336" s="33">
        <v>0.0</v>
      </c>
      <c r="I336" s="34"/>
      <c r="J336" s="35"/>
      <c r="K336" s="36"/>
      <c r="L336" s="35"/>
      <c r="M336" s="36"/>
      <c r="N336" s="35"/>
      <c r="O336" s="36"/>
      <c r="P336" s="35"/>
      <c r="Q336" s="36"/>
      <c r="R336" s="35"/>
      <c r="S336" s="36"/>
      <c r="T336" s="35"/>
      <c r="U336" s="36"/>
      <c r="V336" s="35"/>
      <c r="W336" s="36"/>
      <c r="X336" s="35"/>
      <c r="Y336" s="36"/>
      <c r="Z336" s="37"/>
      <c r="AA336" s="37"/>
      <c r="AB336" s="35"/>
      <c r="AC336" s="38"/>
      <c r="AD336" s="36"/>
      <c r="AE336" s="35"/>
      <c r="AF336" s="36"/>
      <c r="AG336" s="1"/>
    </row>
    <row r="337" ht="21.0" customHeight="1">
      <c r="A337" s="1"/>
      <c r="B337" s="39" t="s">
        <v>24</v>
      </c>
      <c r="C337" s="40"/>
      <c r="D337" s="41"/>
      <c r="E337" s="42" t="s">
        <v>25</v>
      </c>
      <c r="F337" s="40"/>
      <c r="G337" s="41"/>
      <c r="H337" s="43" t="s">
        <v>26</v>
      </c>
      <c r="J337" s="44" t="s">
        <v>27</v>
      </c>
      <c r="K337" s="45" t="s">
        <v>28</v>
      </c>
      <c r="L337" s="44" t="s">
        <v>27</v>
      </c>
      <c r="M337" s="45" t="s">
        <v>28</v>
      </c>
      <c r="N337" s="44" t="s">
        <v>27</v>
      </c>
      <c r="O337" s="45" t="s">
        <v>28</v>
      </c>
      <c r="P337" s="44" t="s">
        <v>27</v>
      </c>
      <c r="Q337" s="45" t="s">
        <v>28</v>
      </c>
      <c r="R337" s="44" t="s">
        <v>27</v>
      </c>
      <c r="S337" s="45" t="s">
        <v>28</v>
      </c>
      <c r="T337" s="44" t="s">
        <v>27</v>
      </c>
      <c r="U337" s="45" t="s">
        <v>28</v>
      </c>
      <c r="V337" s="44" t="s">
        <v>27</v>
      </c>
      <c r="W337" s="45" t="s">
        <v>28</v>
      </c>
      <c r="X337" s="44" t="s">
        <v>27</v>
      </c>
      <c r="Y337" s="45" t="s">
        <v>28</v>
      </c>
      <c r="Z337" s="46"/>
      <c r="AA337" s="46"/>
      <c r="AB337" s="121" t="s">
        <v>29</v>
      </c>
      <c r="AC337" s="122" t="s">
        <v>30</v>
      </c>
      <c r="AD337" s="123" t="s">
        <v>31</v>
      </c>
      <c r="AE337" s="121" t="s">
        <v>27</v>
      </c>
      <c r="AF337" s="123" t="s">
        <v>28</v>
      </c>
      <c r="AG337" s="1"/>
    </row>
    <row r="338" ht="21.0" customHeight="1">
      <c r="A338" s="1"/>
      <c r="B338" s="48" t="s">
        <v>32</v>
      </c>
      <c r="C338" s="49"/>
      <c r="D338" s="50"/>
      <c r="E338" s="51" t="s">
        <v>33</v>
      </c>
      <c r="F338" s="52" t="s">
        <v>34</v>
      </c>
      <c r="G338" s="53"/>
      <c r="H338" s="148"/>
      <c r="I338" s="55"/>
      <c r="J338" s="58"/>
      <c r="K338" s="59"/>
      <c r="L338" s="58"/>
      <c r="M338" s="59"/>
      <c r="N338" s="58"/>
      <c r="O338" s="59"/>
      <c r="P338" s="58"/>
      <c r="Q338" s="59"/>
      <c r="R338" s="58"/>
      <c r="S338" s="59"/>
      <c r="T338" s="58"/>
      <c r="U338" s="59"/>
      <c r="V338" s="58"/>
      <c r="W338" s="59"/>
      <c r="X338" s="58"/>
      <c r="Y338" s="59"/>
      <c r="Z338" s="60" t="b">
        <v>0</v>
      </c>
      <c r="AA338" s="125">
        <f t="shared" ref="AA338:AA346" si="133">(J338*K338+L338*M338+N338*O338+P338*Q338+R338*S338+T338*U338+V338*W338+X338*Y338)*if(Z338=true,0.453592,1)</f>
        <v>0</v>
      </c>
      <c r="AB338" s="126">
        <f t="shared" ref="AB338:AB346" si="134">SUM(AE338*AF338*0.025,AE338)</f>
        <v>0</v>
      </c>
      <c r="AC338" s="127">
        <f t="shared" ref="AC338:AC346" si="135">AB338*87%</f>
        <v>0</v>
      </c>
      <c r="AD338" s="128">
        <f t="shared" ref="AD338:AD346" si="136">AB338*67%</f>
        <v>0</v>
      </c>
      <c r="AE338" s="126">
        <f t="shared" ref="AE338:AE346" si="137">MAX(J338,L338,N338,P338,R338,T338,V338,X338)*if(Z338=true,0.453592,1)</f>
        <v>0</v>
      </c>
      <c r="AF338" s="128">
        <f t="shared" ref="AF338:AF346" si="138">MAX(IF(J338*if(Z338=true,0.453592,1)=$AE338,K338,0),IF(L338*if(Z338=true,0.453592,1)=$AE338,M338,0),IF(N338*if(Z338=true,0.453592,1)=$AE338,O338,0),IF(P338*if(Z338=true,0.453592,1)=$AE338,Q338,0),IF(R338*if(Z338=true,0.453592,1)=$AE338,S338,0),IF(T338*if(Z338=true,0.453592,1)=$AE338,U338,0),IF(V338*if(Z338=true,0.453592,1)=$AE338,W338,0),IF(X338*if(Z338=true,0.453592,1)=$AE338,Y338,0))</f>
        <v>0</v>
      </c>
      <c r="AG338" s="1"/>
    </row>
    <row r="339" ht="21.0" customHeight="1">
      <c r="A339" s="1"/>
      <c r="B339" s="48" t="s">
        <v>36</v>
      </c>
      <c r="C339" s="49"/>
      <c r="D339" s="65"/>
      <c r="E339" s="66"/>
      <c r="F339" s="52" t="s">
        <v>37</v>
      </c>
      <c r="G339" s="67"/>
      <c r="H339" s="129"/>
      <c r="I339" s="69"/>
      <c r="J339" s="72"/>
      <c r="K339" s="73"/>
      <c r="L339" s="72"/>
      <c r="M339" s="73"/>
      <c r="N339" s="72"/>
      <c r="O339" s="73"/>
      <c r="P339" s="72"/>
      <c r="Q339" s="73"/>
      <c r="R339" s="72"/>
      <c r="S339" s="73"/>
      <c r="T339" s="72"/>
      <c r="U339" s="73"/>
      <c r="V339" s="72"/>
      <c r="W339" s="73"/>
      <c r="X339" s="72"/>
      <c r="Y339" s="73"/>
      <c r="Z339" s="74" t="b">
        <v>0</v>
      </c>
      <c r="AA339" s="130">
        <f t="shared" si="133"/>
        <v>0</v>
      </c>
      <c r="AB339" s="131">
        <f t="shared" si="134"/>
        <v>0</v>
      </c>
      <c r="AC339" s="132">
        <f t="shared" si="135"/>
        <v>0</v>
      </c>
      <c r="AD339" s="133">
        <f t="shared" si="136"/>
        <v>0</v>
      </c>
      <c r="AE339" s="131">
        <f t="shared" si="137"/>
        <v>0</v>
      </c>
      <c r="AF339" s="133">
        <f t="shared" si="138"/>
        <v>0</v>
      </c>
      <c r="AG339" s="1"/>
    </row>
    <row r="340" ht="21.0" customHeight="1">
      <c r="A340" s="1"/>
      <c r="B340" s="48" t="s">
        <v>39</v>
      </c>
      <c r="C340" s="49"/>
      <c r="D340" s="65"/>
      <c r="E340" s="41"/>
      <c r="F340" s="52" t="s">
        <v>40</v>
      </c>
      <c r="G340" s="79"/>
      <c r="H340" s="80"/>
      <c r="I340" s="69"/>
      <c r="J340" s="72"/>
      <c r="K340" s="73"/>
      <c r="L340" s="72"/>
      <c r="M340" s="73"/>
      <c r="N340" s="72"/>
      <c r="O340" s="73"/>
      <c r="P340" s="72"/>
      <c r="Q340" s="73"/>
      <c r="R340" s="72"/>
      <c r="S340" s="73"/>
      <c r="T340" s="72"/>
      <c r="U340" s="73"/>
      <c r="V340" s="72"/>
      <c r="W340" s="73"/>
      <c r="X340" s="72"/>
      <c r="Y340" s="73"/>
      <c r="Z340" s="74" t="b">
        <v>0</v>
      </c>
      <c r="AA340" s="130">
        <f t="shared" si="133"/>
        <v>0</v>
      </c>
      <c r="AB340" s="131">
        <f t="shared" si="134"/>
        <v>0</v>
      </c>
      <c r="AC340" s="132">
        <f t="shared" si="135"/>
        <v>0</v>
      </c>
      <c r="AD340" s="133">
        <f t="shared" si="136"/>
        <v>0</v>
      </c>
      <c r="AE340" s="131">
        <f t="shared" si="137"/>
        <v>0</v>
      </c>
      <c r="AF340" s="133">
        <f t="shared" si="138"/>
        <v>0</v>
      </c>
      <c r="AG340" s="1"/>
    </row>
    <row r="341" ht="21.0" customHeight="1">
      <c r="A341" s="1"/>
      <c r="B341" s="48" t="s">
        <v>41</v>
      </c>
      <c r="C341" s="81"/>
      <c r="D341" s="82" t="b">
        <v>0</v>
      </c>
      <c r="E341" s="51" t="s">
        <v>42</v>
      </c>
      <c r="F341" s="52" t="s">
        <v>34</v>
      </c>
      <c r="G341" s="83"/>
      <c r="H341" s="84"/>
      <c r="I341" s="85"/>
      <c r="J341" s="72"/>
      <c r="K341" s="73"/>
      <c r="L341" s="72"/>
      <c r="M341" s="73"/>
      <c r="N341" s="72"/>
      <c r="O341" s="73"/>
      <c r="P341" s="72"/>
      <c r="Q341" s="73"/>
      <c r="R341" s="72"/>
      <c r="S341" s="73"/>
      <c r="T341" s="72"/>
      <c r="U341" s="73"/>
      <c r="V341" s="72"/>
      <c r="W341" s="73"/>
      <c r="X341" s="72"/>
      <c r="Y341" s="73"/>
      <c r="Z341" s="74" t="b">
        <v>0</v>
      </c>
      <c r="AA341" s="130">
        <f t="shared" si="133"/>
        <v>0</v>
      </c>
      <c r="AB341" s="131">
        <f t="shared" si="134"/>
        <v>0</v>
      </c>
      <c r="AC341" s="132">
        <f t="shared" si="135"/>
        <v>0</v>
      </c>
      <c r="AD341" s="133">
        <f t="shared" si="136"/>
        <v>0</v>
      </c>
      <c r="AE341" s="131">
        <f t="shared" si="137"/>
        <v>0</v>
      </c>
      <c r="AF341" s="133">
        <f t="shared" si="138"/>
        <v>0</v>
      </c>
      <c r="AG341" s="1"/>
    </row>
    <row r="342" ht="21.0" customHeight="1">
      <c r="A342" s="1"/>
      <c r="B342" s="48" t="s">
        <v>43</v>
      </c>
      <c r="C342" s="49"/>
      <c r="D342" s="86" t="b">
        <v>0</v>
      </c>
      <c r="E342" s="66"/>
      <c r="F342" s="52" t="s">
        <v>37</v>
      </c>
      <c r="G342" s="67"/>
      <c r="H342" s="80"/>
      <c r="I342" s="69"/>
      <c r="J342" s="72"/>
      <c r="K342" s="73"/>
      <c r="L342" s="72"/>
      <c r="M342" s="73"/>
      <c r="N342" s="72"/>
      <c r="O342" s="73"/>
      <c r="P342" s="72"/>
      <c r="Q342" s="73"/>
      <c r="R342" s="72"/>
      <c r="S342" s="73"/>
      <c r="T342" s="72"/>
      <c r="U342" s="73"/>
      <c r="V342" s="72"/>
      <c r="W342" s="73"/>
      <c r="X342" s="72"/>
      <c r="Y342" s="73"/>
      <c r="Z342" s="74" t="b">
        <v>0</v>
      </c>
      <c r="AA342" s="130">
        <f t="shared" si="133"/>
        <v>0</v>
      </c>
      <c r="AB342" s="131">
        <f t="shared" si="134"/>
        <v>0</v>
      </c>
      <c r="AC342" s="132">
        <f t="shared" si="135"/>
        <v>0</v>
      </c>
      <c r="AD342" s="133">
        <f t="shared" si="136"/>
        <v>0</v>
      </c>
      <c r="AE342" s="131">
        <f t="shared" si="137"/>
        <v>0</v>
      </c>
      <c r="AF342" s="133">
        <f t="shared" si="138"/>
        <v>0</v>
      </c>
      <c r="AG342" s="1"/>
    </row>
    <row r="343" ht="21.0" customHeight="1">
      <c r="A343" s="1"/>
      <c r="B343" s="87" t="str">
        <f t="array" ref="B343">"📌최근 인바디 결과 : "&amp;text(xlookup(B335,'현황'!O:O,'현황'!O:O,,-1,-1),"m/d(ddd)")</f>
        <v>#REF!</v>
      </c>
      <c r="C343" s="88"/>
      <c r="D343" s="49"/>
      <c r="E343" s="41"/>
      <c r="F343" s="52" t="s">
        <v>40</v>
      </c>
      <c r="G343" s="79"/>
      <c r="H343" s="80"/>
      <c r="I343" s="69"/>
      <c r="J343" s="72"/>
      <c r="K343" s="73"/>
      <c r="L343" s="72"/>
      <c r="M343" s="73"/>
      <c r="N343" s="72"/>
      <c r="O343" s="73"/>
      <c r="P343" s="72"/>
      <c r="Q343" s="73"/>
      <c r="R343" s="72"/>
      <c r="S343" s="73"/>
      <c r="T343" s="72"/>
      <c r="U343" s="73"/>
      <c r="V343" s="72"/>
      <c r="W343" s="73"/>
      <c r="X343" s="72"/>
      <c r="Y343" s="73"/>
      <c r="Z343" s="74" t="b">
        <v>0</v>
      </c>
      <c r="AA343" s="130">
        <f t="shared" si="133"/>
        <v>0</v>
      </c>
      <c r="AB343" s="131">
        <f t="shared" si="134"/>
        <v>0</v>
      </c>
      <c r="AC343" s="132">
        <f t="shared" si="135"/>
        <v>0</v>
      </c>
      <c r="AD343" s="133">
        <f t="shared" si="136"/>
        <v>0</v>
      </c>
      <c r="AE343" s="131">
        <f t="shared" si="137"/>
        <v>0</v>
      </c>
      <c r="AF343" s="133">
        <f t="shared" si="138"/>
        <v>0</v>
      </c>
      <c r="AG343" s="1"/>
    </row>
    <row r="344" ht="21.0" customHeight="1">
      <c r="A344" s="1"/>
      <c r="B344" s="89" t="s">
        <v>44</v>
      </c>
      <c r="C344" s="49"/>
      <c r="D344" s="90">
        <f t="array" ref="D344">iferror(vlookup(xlookup(B335,'현황'!O:O,'현황'!O:O,,-1,-1),'현황'!O:S,2,false),0)</f>
        <v>0</v>
      </c>
      <c r="E344" s="51" t="s">
        <v>45</v>
      </c>
      <c r="F344" s="52" t="s">
        <v>34</v>
      </c>
      <c r="G344" s="83"/>
      <c r="H344" s="84"/>
      <c r="I344" s="85"/>
      <c r="J344" s="72"/>
      <c r="K344" s="73"/>
      <c r="L344" s="72"/>
      <c r="M344" s="73"/>
      <c r="N344" s="72"/>
      <c r="O344" s="73"/>
      <c r="P344" s="72"/>
      <c r="Q344" s="73"/>
      <c r="R344" s="72"/>
      <c r="S344" s="73"/>
      <c r="T344" s="72"/>
      <c r="U344" s="73"/>
      <c r="V344" s="72"/>
      <c r="W344" s="73"/>
      <c r="X344" s="72"/>
      <c r="Y344" s="73"/>
      <c r="Z344" s="74" t="b">
        <v>0</v>
      </c>
      <c r="AA344" s="130">
        <f t="shared" si="133"/>
        <v>0</v>
      </c>
      <c r="AB344" s="131">
        <f t="shared" si="134"/>
        <v>0</v>
      </c>
      <c r="AC344" s="132">
        <f t="shared" si="135"/>
        <v>0</v>
      </c>
      <c r="AD344" s="133">
        <f t="shared" si="136"/>
        <v>0</v>
      </c>
      <c r="AE344" s="131">
        <f t="shared" si="137"/>
        <v>0</v>
      </c>
      <c r="AF344" s="133">
        <f t="shared" si="138"/>
        <v>0</v>
      </c>
      <c r="AG344" s="1"/>
    </row>
    <row r="345" ht="21.0" customHeight="1">
      <c r="A345" s="1"/>
      <c r="B345" s="48" t="s">
        <v>46</v>
      </c>
      <c r="C345" s="49"/>
      <c r="D345" s="91">
        <f t="array" ref="D345">iferror(vlookup(xlookup(B335,'현황'!O:O,'현황'!O:O,,-1,-1),'현황'!O:S,3,false),0)</f>
        <v>0</v>
      </c>
      <c r="E345" s="66"/>
      <c r="F345" s="52" t="s">
        <v>37</v>
      </c>
      <c r="G345" s="67"/>
      <c r="H345" s="80"/>
      <c r="I345" s="69"/>
      <c r="J345" s="72"/>
      <c r="K345" s="73"/>
      <c r="L345" s="72"/>
      <c r="M345" s="73"/>
      <c r="N345" s="72"/>
      <c r="O345" s="73"/>
      <c r="P345" s="72"/>
      <c r="Q345" s="73"/>
      <c r="R345" s="72"/>
      <c r="S345" s="73"/>
      <c r="T345" s="72"/>
      <c r="U345" s="73"/>
      <c r="V345" s="72"/>
      <c r="W345" s="73"/>
      <c r="X345" s="72"/>
      <c r="Y345" s="73"/>
      <c r="Z345" s="74" t="b">
        <v>0</v>
      </c>
      <c r="AA345" s="130">
        <f t="shared" si="133"/>
        <v>0</v>
      </c>
      <c r="AB345" s="131">
        <f t="shared" si="134"/>
        <v>0</v>
      </c>
      <c r="AC345" s="132">
        <f t="shared" si="135"/>
        <v>0</v>
      </c>
      <c r="AD345" s="133">
        <f t="shared" si="136"/>
        <v>0</v>
      </c>
      <c r="AE345" s="131">
        <f t="shared" si="137"/>
        <v>0</v>
      </c>
      <c r="AF345" s="133">
        <f t="shared" si="138"/>
        <v>0</v>
      </c>
      <c r="AG345" s="1"/>
    </row>
    <row r="346" ht="21.0" customHeight="1">
      <c r="A346" s="1"/>
      <c r="B346" s="48" t="s">
        <v>47</v>
      </c>
      <c r="C346" s="49"/>
      <c r="D346" s="91">
        <f t="array" ref="D346">iferror(vlookup(xlookup(B335,'현황'!O:O,'현황'!O:O,,-1,-1),'현황'!O:S,4,false),0)</f>
        <v>0</v>
      </c>
      <c r="E346" s="41"/>
      <c r="F346" s="92" t="s">
        <v>40</v>
      </c>
      <c r="G346" s="79"/>
      <c r="H346" s="93"/>
      <c r="I346" s="94"/>
      <c r="J346" s="95"/>
      <c r="K346" s="96"/>
      <c r="L346" s="95"/>
      <c r="M346" s="96"/>
      <c r="N346" s="95"/>
      <c r="O346" s="96"/>
      <c r="P346" s="95"/>
      <c r="Q346" s="96"/>
      <c r="R346" s="95"/>
      <c r="S346" s="96"/>
      <c r="T346" s="95"/>
      <c r="U346" s="96"/>
      <c r="V346" s="95"/>
      <c r="W346" s="96"/>
      <c r="X346" s="95"/>
      <c r="Y346" s="96"/>
      <c r="Z346" s="97" t="b">
        <v>0</v>
      </c>
      <c r="AA346" s="135">
        <f t="shared" si="133"/>
        <v>0</v>
      </c>
      <c r="AB346" s="136">
        <f t="shared" si="134"/>
        <v>0</v>
      </c>
      <c r="AC346" s="137">
        <f t="shared" si="135"/>
        <v>0</v>
      </c>
      <c r="AD346" s="138">
        <f t="shared" si="136"/>
        <v>0</v>
      </c>
      <c r="AE346" s="136">
        <f t="shared" si="137"/>
        <v>0</v>
      </c>
      <c r="AF346" s="138">
        <f t="shared" si="138"/>
        <v>0</v>
      </c>
      <c r="AG346" s="1"/>
    </row>
    <row r="347" ht="21.0" customHeight="1">
      <c r="A347" s="1"/>
      <c r="B347" s="102" t="s">
        <v>48</v>
      </c>
      <c r="C347" s="103"/>
      <c r="D347" s="104">
        <f>iferror(D346/D344,0)</f>
        <v>0</v>
      </c>
      <c r="E347" s="102" t="s">
        <v>49</v>
      </c>
      <c r="F347" s="103"/>
      <c r="G347" s="105"/>
      <c r="H347" s="106" t="s">
        <v>50</v>
      </c>
      <c r="I347" s="107"/>
      <c r="J347" s="11"/>
      <c r="K347" s="11"/>
      <c r="L347" s="11"/>
      <c r="M347" s="11"/>
      <c r="N347" s="11"/>
      <c r="O347" s="11"/>
      <c r="P347" s="108" t="s">
        <v>51</v>
      </c>
      <c r="Q347" s="12"/>
      <c r="R347" s="109"/>
      <c r="S347" s="11"/>
      <c r="T347" s="11"/>
      <c r="U347" s="11"/>
      <c r="V347" s="11"/>
      <c r="W347" s="11"/>
      <c r="X347" s="11"/>
      <c r="Y347" s="11"/>
      <c r="Z347" s="12"/>
      <c r="AA347" s="139">
        <f>SUM(AA338:AA346)</f>
        <v>0</v>
      </c>
      <c r="AB347" s="140" t="s">
        <v>143</v>
      </c>
      <c r="AG347" s="1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1"/>
      <c r="AA348" s="1"/>
      <c r="AB348" s="1"/>
      <c r="AC348" s="3"/>
      <c r="AD348" s="1"/>
      <c r="AE348" s="1"/>
      <c r="AF348" s="1"/>
      <c r="AG348" s="1"/>
    </row>
    <row r="349" ht="21.0" customHeight="1">
      <c r="A349" s="1"/>
      <c r="B349" s="4" t="s">
        <v>1</v>
      </c>
      <c r="C349" s="5"/>
      <c r="D349" s="6" t="s">
        <v>2</v>
      </c>
      <c r="E349" s="7"/>
      <c r="F349" s="7"/>
      <c r="G349" s="5"/>
      <c r="H349" s="8" t="s">
        <v>3</v>
      </c>
      <c r="I349" s="8" t="s">
        <v>4</v>
      </c>
      <c r="J349" s="9" t="s">
        <v>5</v>
      </c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5"/>
      <c r="AA349" s="117" t="s">
        <v>6</v>
      </c>
      <c r="AB349" s="11"/>
      <c r="AC349" s="11"/>
      <c r="AD349" s="11"/>
      <c r="AE349" s="11"/>
      <c r="AF349" s="12"/>
      <c r="AG349" s="1"/>
    </row>
    <row r="350" ht="21.0" customHeight="1">
      <c r="A350" s="1"/>
      <c r="B350" s="149" t="s">
        <v>138</v>
      </c>
      <c r="C350" s="14" t="str">
        <f>if(B350="0/0","",choose(weekday(B350),"(일)","(월)","(화)","(수)","(목)","(금)","(토)"))</f>
        <v/>
      </c>
      <c r="D350" s="15" t="s">
        <v>7</v>
      </c>
      <c r="E350" s="16" t="s">
        <v>8</v>
      </c>
      <c r="F350" s="17"/>
      <c r="G350" s="18" t="s">
        <v>9</v>
      </c>
      <c r="H350" s="150" t="s">
        <v>139</v>
      </c>
      <c r="I350" s="151"/>
      <c r="J350" s="21" t="s">
        <v>12</v>
      </c>
      <c r="K350" s="22"/>
      <c r="L350" s="21" t="s">
        <v>13</v>
      </c>
      <c r="M350" s="22"/>
      <c r="N350" s="21" t="s">
        <v>14</v>
      </c>
      <c r="O350" s="22"/>
      <c r="P350" s="21" t="s">
        <v>15</v>
      </c>
      <c r="Q350" s="22"/>
      <c r="R350" s="23" t="s">
        <v>16</v>
      </c>
      <c r="S350" s="22"/>
      <c r="T350" s="23" t="s">
        <v>17</v>
      </c>
      <c r="U350" s="22"/>
      <c r="V350" s="23" t="s">
        <v>18</v>
      </c>
      <c r="W350" s="22"/>
      <c r="X350" s="23" t="s">
        <v>19</v>
      </c>
      <c r="Y350" s="22"/>
      <c r="Z350" s="24" t="s">
        <v>144</v>
      </c>
      <c r="AA350" s="118" t="s">
        <v>21</v>
      </c>
      <c r="AB350" s="119" t="s">
        <v>22</v>
      </c>
      <c r="AC350" s="7"/>
      <c r="AD350" s="22"/>
      <c r="AE350" s="120" t="s">
        <v>23</v>
      </c>
      <c r="AF350" s="22"/>
      <c r="AG350" s="1"/>
    </row>
    <row r="351" ht="21.0" customHeight="1">
      <c r="A351" s="1"/>
      <c r="B351" s="27">
        <f>iferror(B350-'현황'!$C$4+1,0)</f>
        <v>0</v>
      </c>
      <c r="C351" s="28"/>
      <c r="D351" s="29">
        <v>0.0</v>
      </c>
      <c r="E351" s="30">
        <v>0.0</v>
      </c>
      <c r="F351" s="31"/>
      <c r="G351" s="32">
        <v>0.0</v>
      </c>
      <c r="H351" s="33">
        <v>0.0</v>
      </c>
      <c r="I351" s="34"/>
      <c r="J351" s="35"/>
      <c r="K351" s="36"/>
      <c r="L351" s="35"/>
      <c r="M351" s="36"/>
      <c r="N351" s="35"/>
      <c r="O351" s="36"/>
      <c r="P351" s="35"/>
      <c r="Q351" s="36"/>
      <c r="R351" s="35"/>
      <c r="S351" s="36"/>
      <c r="T351" s="35"/>
      <c r="U351" s="36"/>
      <c r="V351" s="35"/>
      <c r="W351" s="36"/>
      <c r="X351" s="35"/>
      <c r="Y351" s="36"/>
      <c r="Z351" s="37"/>
      <c r="AA351" s="37"/>
      <c r="AB351" s="35"/>
      <c r="AC351" s="38"/>
      <c r="AD351" s="36"/>
      <c r="AE351" s="35"/>
      <c r="AF351" s="36"/>
      <c r="AG351" s="1"/>
    </row>
    <row r="352" ht="21.0" customHeight="1">
      <c r="A352" s="1"/>
      <c r="B352" s="39" t="s">
        <v>24</v>
      </c>
      <c r="C352" s="40"/>
      <c r="D352" s="41"/>
      <c r="E352" s="42" t="s">
        <v>25</v>
      </c>
      <c r="F352" s="40"/>
      <c r="G352" s="41"/>
      <c r="H352" s="43" t="s">
        <v>26</v>
      </c>
      <c r="J352" s="44" t="s">
        <v>27</v>
      </c>
      <c r="K352" s="45" t="s">
        <v>28</v>
      </c>
      <c r="L352" s="44" t="s">
        <v>27</v>
      </c>
      <c r="M352" s="45" t="s">
        <v>28</v>
      </c>
      <c r="N352" s="44" t="s">
        <v>27</v>
      </c>
      <c r="O352" s="45" t="s">
        <v>28</v>
      </c>
      <c r="P352" s="44" t="s">
        <v>27</v>
      </c>
      <c r="Q352" s="45" t="s">
        <v>28</v>
      </c>
      <c r="R352" s="44" t="s">
        <v>27</v>
      </c>
      <c r="S352" s="45" t="s">
        <v>28</v>
      </c>
      <c r="T352" s="44" t="s">
        <v>27</v>
      </c>
      <c r="U352" s="45" t="s">
        <v>28</v>
      </c>
      <c r="V352" s="44" t="s">
        <v>27</v>
      </c>
      <c r="W352" s="45" t="s">
        <v>28</v>
      </c>
      <c r="X352" s="44" t="s">
        <v>27</v>
      </c>
      <c r="Y352" s="45" t="s">
        <v>28</v>
      </c>
      <c r="Z352" s="46"/>
      <c r="AA352" s="46"/>
      <c r="AB352" s="121" t="s">
        <v>29</v>
      </c>
      <c r="AC352" s="122" t="s">
        <v>30</v>
      </c>
      <c r="AD352" s="123" t="s">
        <v>31</v>
      </c>
      <c r="AE352" s="121" t="s">
        <v>27</v>
      </c>
      <c r="AF352" s="123" t="s">
        <v>28</v>
      </c>
      <c r="AG352" s="1"/>
    </row>
    <row r="353" ht="21.0" customHeight="1">
      <c r="A353" s="1"/>
      <c r="B353" s="48" t="s">
        <v>32</v>
      </c>
      <c r="C353" s="49"/>
      <c r="D353" s="50"/>
      <c r="E353" s="51" t="s">
        <v>33</v>
      </c>
      <c r="F353" s="52" t="s">
        <v>34</v>
      </c>
      <c r="G353" s="53"/>
      <c r="H353" s="148"/>
      <c r="I353" s="55"/>
      <c r="J353" s="58"/>
      <c r="K353" s="59"/>
      <c r="L353" s="58"/>
      <c r="M353" s="59"/>
      <c r="N353" s="58"/>
      <c r="O353" s="59"/>
      <c r="P353" s="58"/>
      <c r="Q353" s="59"/>
      <c r="R353" s="58"/>
      <c r="S353" s="59"/>
      <c r="T353" s="58"/>
      <c r="U353" s="59"/>
      <c r="V353" s="58"/>
      <c r="W353" s="59"/>
      <c r="X353" s="58"/>
      <c r="Y353" s="59"/>
      <c r="Z353" s="60" t="b">
        <v>0</v>
      </c>
      <c r="AA353" s="125">
        <f t="shared" ref="AA353:AA361" si="139">(J353*K353+L353*M353+N353*O353+P353*Q353+R353*S353+T353*U353+V353*W353+X353*Y353)*if(Z353=true,0.453592,1)</f>
        <v>0</v>
      </c>
      <c r="AB353" s="126">
        <f t="shared" ref="AB353:AB361" si="140">SUM(AE353*AF353*0.025,AE353)</f>
        <v>0</v>
      </c>
      <c r="AC353" s="127">
        <f t="shared" ref="AC353:AC361" si="141">AB353*87%</f>
        <v>0</v>
      </c>
      <c r="AD353" s="128">
        <f t="shared" ref="AD353:AD361" si="142">AB353*67%</f>
        <v>0</v>
      </c>
      <c r="AE353" s="126">
        <f t="shared" ref="AE353:AE361" si="143">MAX(J353,L353,N353,P353,R353,T353,V353,X353)*if(Z353=true,0.453592,1)</f>
        <v>0</v>
      </c>
      <c r="AF353" s="128">
        <f t="shared" ref="AF353:AF361" si="144">MAX(IF(J353*if(Z353=true,0.453592,1)=$AE353,K353,0),IF(L353*if(Z353=true,0.453592,1)=$AE353,M353,0),IF(N353*if(Z353=true,0.453592,1)=$AE353,O353,0),IF(P353*if(Z353=true,0.453592,1)=$AE353,Q353,0),IF(R353*if(Z353=true,0.453592,1)=$AE353,S353,0),IF(T353*if(Z353=true,0.453592,1)=$AE353,U353,0),IF(V353*if(Z353=true,0.453592,1)=$AE353,W353,0),IF(X353*if(Z353=true,0.453592,1)=$AE353,Y353,0))</f>
        <v>0</v>
      </c>
      <c r="AG353" s="1"/>
    </row>
    <row r="354" ht="21.0" customHeight="1">
      <c r="A354" s="1"/>
      <c r="B354" s="48" t="s">
        <v>36</v>
      </c>
      <c r="C354" s="49"/>
      <c r="D354" s="65"/>
      <c r="E354" s="66"/>
      <c r="F354" s="52" t="s">
        <v>37</v>
      </c>
      <c r="G354" s="67"/>
      <c r="H354" s="129"/>
      <c r="I354" s="69"/>
      <c r="J354" s="72"/>
      <c r="K354" s="73"/>
      <c r="L354" s="72"/>
      <c r="M354" s="73"/>
      <c r="N354" s="72"/>
      <c r="O354" s="73"/>
      <c r="P354" s="72"/>
      <c r="Q354" s="73"/>
      <c r="R354" s="72"/>
      <c r="S354" s="73"/>
      <c r="T354" s="72"/>
      <c r="U354" s="73"/>
      <c r="V354" s="72"/>
      <c r="W354" s="73"/>
      <c r="X354" s="72"/>
      <c r="Y354" s="73"/>
      <c r="Z354" s="74" t="b">
        <v>0</v>
      </c>
      <c r="AA354" s="130">
        <f t="shared" si="139"/>
        <v>0</v>
      </c>
      <c r="AB354" s="131">
        <f t="shared" si="140"/>
        <v>0</v>
      </c>
      <c r="AC354" s="132">
        <f t="shared" si="141"/>
        <v>0</v>
      </c>
      <c r="AD354" s="133">
        <f t="shared" si="142"/>
        <v>0</v>
      </c>
      <c r="AE354" s="131">
        <f t="shared" si="143"/>
        <v>0</v>
      </c>
      <c r="AF354" s="133">
        <f t="shared" si="144"/>
        <v>0</v>
      </c>
      <c r="AG354" s="1"/>
    </row>
    <row r="355" ht="21.0" customHeight="1">
      <c r="A355" s="1"/>
      <c r="B355" s="48" t="s">
        <v>39</v>
      </c>
      <c r="C355" s="49"/>
      <c r="D355" s="65"/>
      <c r="E355" s="41"/>
      <c r="F355" s="52" t="s">
        <v>40</v>
      </c>
      <c r="G355" s="79"/>
      <c r="H355" s="80"/>
      <c r="I355" s="69"/>
      <c r="J355" s="72"/>
      <c r="K355" s="73"/>
      <c r="L355" s="72"/>
      <c r="M355" s="73"/>
      <c r="N355" s="72"/>
      <c r="O355" s="73"/>
      <c r="P355" s="72"/>
      <c r="Q355" s="73"/>
      <c r="R355" s="72"/>
      <c r="S355" s="73"/>
      <c r="T355" s="72"/>
      <c r="U355" s="73"/>
      <c r="V355" s="72"/>
      <c r="W355" s="73"/>
      <c r="X355" s="72"/>
      <c r="Y355" s="73"/>
      <c r="Z355" s="74" t="b">
        <v>0</v>
      </c>
      <c r="AA355" s="130">
        <f t="shared" si="139"/>
        <v>0</v>
      </c>
      <c r="AB355" s="131">
        <f t="shared" si="140"/>
        <v>0</v>
      </c>
      <c r="AC355" s="132">
        <f t="shared" si="141"/>
        <v>0</v>
      </c>
      <c r="AD355" s="133">
        <f t="shared" si="142"/>
        <v>0</v>
      </c>
      <c r="AE355" s="131">
        <f t="shared" si="143"/>
        <v>0</v>
      </c>
      <c r="AF355" s="133">
        <f t="shared" si="144"/>
        <v>0</v>
      </c>
      <c r="AG355" s="1"/>
    </row>
    <row r="356" ht="21.0" customHeight="1">
      <c r="A356" s="1"/>
      <c r="B356" s="48" t="s">
        <v>41</v>
      </c>
      <c r="C356" s="81"/>
      <c r="D356" s="82" t="b">
        <v>0</v>
      </c>
      <c r="E356" s="51" t="s">
        <v>42</v>
      </c>
      <c r="F356" s="52" t="s">
        <v>34</v>
      </c>
      <c r="G356" s="83"/>
      <c r="H356" s="84"/>
      <c r="I356" s="85"/>
      <c r="J356" s="72"/>
      <c r="K356" s="73"/>
      <c r="L356" s="72"/>
      <c r="M356" s="73"/>
      <c r="N356" s="72"/>
      <c r="O356" s="73"/>
      <c r="P356" s="72"/>
      <c r="Q356" s="73"/>
      <c r="R356" s="72"/>
      <c r="S356" s="73"/>
      <c r="T356" s="72"/>
      <c r="U356" s="73"/>
      <c r="V356" s="72"/>
      <c r="W356" s="73"/>
      <c r="X356" s="72"/>
      <c r="Y356" s="73"/>
      <c r="Z356" s="74" t="b">
        <v>0</v>
      </c>
      <c r="AA356" s="130">
        <f t="shared" si="139"/>
        <v>0</v>
      </c>
      <c r="AB356" s="131">
        <f t="shared" si="140"/>
        <v>0</v>
      </c>
      <c r="AC356" s="132">
        <f t="shared" si="141"/>
        <v>0</v>
      </c>
      <c r="AD356" s="133">
        <f t="shared" si="142"/>
        <v>0</v>
      </c>
      <c r="AE356" s="131">
        <f t="shared" si="143"/>
        <v>0</v>
      </c>
      <c r="AF356" s="133">
        <f t="shared" si="144"/>
        <v>0</v>
      </c>
      <c r="AG356" s="1"/>
    </row>
    <row r="357" ht="21.0" customHeight="1">
      <c r="A357" s="1"/>
      <c r="B357" s="48" t="s">
        <v>43</v>
      </c>
      <c r="C357" s="49"/>
      <c r="D357" s="86" t="b">
        <v>0</v>
      </c>
      <c r="E357" s="66"/>
      <c r="F357" s="52" t="s">
        <v>37</v>
      </c>
      <c r="G357" s="67"/>
      <c r="H357" s="80"/>
      <c r="I357" s="69"/>
      <c r="J357" s="72"/>
      <c r="K357" s="73"/>
      <c r="L357" s="72"/>
      <c r="M357" s="73"/>
      <c r="N357" s="72"/>
      <c r="O357" s="73"/>
      <c r="P357" s="72"/>
      <c r="Q357" s="73"/>
      <c r="R357" s="72"/>
      <c r="S357" s="73"/>
      <c r="T357" s="72"/>
      <c r="U357" s="73"/>
      <c r="V357" s="72"/>
      <c r="W357" s="73"/>
      <c r="X357" s="72"/>
      <c r="Y357" s="73"/>
      <c r="Z357" s="74" t="b">
        <v>0</v>
      </c>
      <c r="AA357" s="130">
        <f t="shared" si="139"/>
        <v>0</v>
      </c>
      <c r="AB357" s="131">
        <f t="shared" si="140"/>
        <v>0</v>
      </c>
      <c r="AC357" s="132">
        <f t="shared" si="141"/>
        <v>0</v>
      </c>
      <c r="AD357" s="133">
        <f t="shared" si="142"/>
        <v>0</v>
      </c>
      <c r="AE357" s="131">
        <f t="shared" si="143"/>
        <v>0</v>
      </c>
      <c r="AF357" s="133">
        <f t="shared" si="144"/>
        <v>0</v>
      </c>
      <c r="AG357" s="1"/>
    </row>
    <row r="358" ht="21.0" customHeight="1">
      <c r="A358" s="1"/>
      <c r="B358" s="87" t="str">
        <f t="array" ref="B358">"📌최근 인바디 결과 : "&amp;text(xlookup(B350,'현황'!O:O,'현황'!O:O,,-1,-1),"m/d(ddd)")</f>
        <v>#REF!</v>
      </c>
      <c r="C358" s="88"/>
      <c r="D358" s="49"/>
      <c r="E358" s="41"/>
      <c r="F358" s="52" t="s">
        <v>40</v>
      </c>
      <c r="G358" s="79"/>
      <c r="H358" s="80"/>
      <c r="I358" s="69"/>
      <c r="J358" s="72"/>
      <c r="K358" s="73"/>
      <c r="L358" s="72"/>
      <c r="M358" s="73"/>
      <c r="N358" s="72"/>
      <c r="O358" s="73"/>
      <c r="P358" s="72"/>
      <c r="Q358" s="73"/>
      <c r="R358" s="72"/>
      <c r="S358" s="73"/>
      <c r="T358" s="72"/>
      <c r="U358" s="73"/>
      <c r="V358" s="72"/>
      <c r="W358" s="73"/>
      <c r="X358" s="72"/>
      <c r="Y358" s="73"/>
      <c r="Z358" s="74" t="b">
        <v>0</v>
      </c>
      <c r="AA358" s="130">
        <f t="shared" si="139"/>
        <v>0</v>
      </c>
      <c r="AB358" s="131">
        <f t="shared" si="140"/>
        <v>0</v>
      </c>
      <c r="AC358" s="132">
        <f t="shared" si="141"/>
        <v>0</v>
      </c>
      <c r="AD358" s="133">
        <f t="shared" si="142"/>
        <v>0</v>
      </c>
      <c r="AE358" s="131">
        <f t="shared" si="143"/>
        <v>0</v>
      </c>
      <c r="AF358" s="133">
        <f t="shared" si="144"/>
        <v>0</v>
      </c>
      <c r="AG358" s="1"/>
    </row>
    <row r="359" ht="21.0" customHeight="1">
      <c r="A359" s="1"/>
      <c r="B359" s="89" t="s">
        <v>44</v>
      </c>
      <c r="C359" s="49"/>
      <c r="D359" s="90">
        <f t="array" ref="D359">iferror(vlookup(xlookup(B350,'현황'!O:O,'현황'!O:O,,-1,-1),'현황'!O:S,2,false),0)</f>
        <v>0</v>
      </c>
      <c r="E359" s="51" t="s">
        <v>45</v>
      </c>
      <c r="F359" s="52" t="s">
        <v>34</v>
      </c>
      <c r="G359" s="83"/>
      <c r="H359" s="84"/>
      <c r="I359" s="85"/>
      <c r="J359" s="72"/>
      <c r="K359" s="73"/>
      <c r="L359" s="72"/>
      <c r="M359" s="73"/>
      <c r="N359" s="72"/>
      <c r="O359" s="73"/>
      <c r="P359" s="72"/>
      <c r="Q359" s="73"/>
      <c r="R359" s="72"/>
      <c r="S359" s="73"/>
      <c r="T359" s="72"/>
      <c r="U359" s="73"/>
      <c r="V359" s="72"/>
      <c r="W359" s="73"/>
      <c r="X359" s="72"/>
      <c r="Y359" s="73"/>
      <c r="Z359" s="74" t="b">
        <v>0</v>
      </c>
      <c r="AA359" s="130">
        <f t="shared" si="139"/>
        <v>0</v>
      </c>
      <c r="AB359" s="131">
        <f t="shared" si="140"/>
        <v>0</v>
      </c>
      <c r="AC359" s="132">
        <f t="shared" si="141"/>
        <v>0</v>
      </c>
      <c r="AD359" s="133">
        <f t="shared" si="142"/>
        <v>0</v>
      </c>
      <c r="AE359" s="131">
        <f t="shared" si="143"/>
        <v>0</v>
      </c>
      <c r="AF359" s="133">
        <f t="shared" si="144"/>
        <v>0</v>
      </c>
      <c r="AG359" s="1"/>
    </row>
    <row r="360" ht="21.0" customHeight="1">
      <c r="A360" s="1"/>
      <c r="B360" s="48" t="s">
        <v>46</v>
      </c>
      <c r="C360" s="49"/>
      <c r="D360" s="91">
        <f t="array" ref="D360">iferror(vlookup(xlookup(B350,'현황'!O:O,'현황'!O:O,,-1,-1),'현황'!O:S,3,false),0)</f>
        <v>0</v>
      </c>
      <c r="E360" s="66"/>
      <c r="F360" s="52" t="s">
        <v>37</v>
      </c>
      <c r="G360" s="67"/>
      <c r="H360" s="80"/>
      <c r="I360" s="69"/>
      <c r="J360" s="72"/>
      <c r="K360" s="73"/>
      <c r="L360" s="72"/>
      <c r="M360" s="73"/>
      <c r="N360" s="72"/>
      <c r="O360" s="73"/>
      <c r="P360" s="72"/>
      <c r="Q360" s="73"/>
      <c r="R360" s="72"/>
      <c r="S360" s="73"/>
      <c r="T360" s="72"/>
      <c r="U360" s="73"/>
      <c r="V360" s="72"/>
      <c r="W360" s="73"/>
      <c r="X360" s="72"/>
      <c r="Y360" s="73"/>
      <c r="Z360" s="74" t="b">
        <v>0</v>
      </c>
      <c r="AA360" s="130">
        <f t="shared" si="139"/>
        <v>0</v>
      </c>
      <c r="AB360" s="131">
        <f t="shared" si="140"/>
        <v>0</v>
      </c>
      <c r="AC360" s="132">
        <f t="shared" si="141"/>
        <v>0</v>
      </c>
      <c r="AD360" s="133">
        <f t="shared" si="142"/>
        <v>0</v>
      </c>
      <c r="AE360" s="131">
        <f t="shared" si="143"/>
        <v>0</v>
      </c>
      <c r="AF360" s="133">
        <f t="shared" si="144"/>
        <v>0</v>
      </c>
      <c r="AG360" s="1"/>
    </row>
    <row r="361" ht="21.0" customHeight="1">
      <c r="A361" s="1"/>
      <c r="B361" s="48" t="s">
        <v>47</v>
      </c>
      <c r="C361" s="49"/>
      <c r="D361" s="91">
        <f t="array" ref="D361">iferror(vlookup(xlookup(B350,'현황'!O:O,'현황'!O:O,,-1,-1),'현황'!O:S,4,false),0)</f>
        <v>0</v>
      </c>
      <c r="E361" s="41"/>
      <c r="F361" s="92" t="s">
        <v>40</v>
      </c>
      <c r="G361" s="79"/>
      <c r="H361" s="93"/>
      <c r="I361" s="94"/>
      <c r="J361" s="95"/>
      <c r="K361" s="96"/>
      <c r="L361" s="95"/>
      <c r="M361" s="96"/>
      <c r="N361" s="95"/>
      <c r="O361" s="96"/>
      <c r="P361" s="95"/>
      <c r="Q361" s="96"/>
      <c r="R361" s="95"/>
      <c r="S361" s="96"/>
      <c r="T361" s="95"/>
      <c r="U361" s="96"/>
      <c r="V361" s="95"/>
      <c r="W361" s="96"/>
      <c r="X361" s="95"/>
      <c r="Y361" s="96"/>
      <c r="Z361" s="97" t="b">
        <v>0</v>
      </c>
      <c r="AA361" s="135">
        <f t="shared" si="139"/>
        <v>0</v>
      </c>
      <c r="AB361" s="136">
        <f t="shared" si="140"/>
        <v>0</v>
      </c>
      <c r="AC361" s="137">
        <f t="shared" si="141"/>
        <v>0</v>
      </c>
      <c r="AD361" s="138">
        <f t="shared" si="142"/>
        <v>0</v>
      </c>
      <c r="AE361" s="136">
        <f t="shared" si="143"/>
        <v>0</v>
      </c>
      <c r="AF361" s="138">
        <f t="shared" si="144"/>
        <v>0</v>
      </c>
      <c r="AG361" s="1"/>
    </row>
    <row r="362" ht="21.0" customHeight="1">
      <c r="A362" s="1"/>
      <c r="B362" s="102" t="s">
        <v>48</v>
      </c>
      <c r="C362" s="103"/>
      <c r="D362" s="104">
        <f>iferror(D361/D359,0)</f>
        <v>0</v>
      </c>
      <c r="E362" s="102" t="s">
        <v>49</v>
      </c>
      <c r="F362" s="103"/>
      <c r="G362" s="105"/>
      <c r="H362" s="143" t="s">
        <v>50</v>
      </c>
      <c r="I362" s="144"/>
      <c r="J362" s="11"/>
      <c r="K362" s="11"/>
      <c r="L362" s="11"/>
      <c r="M362" s="11"/>
      <c r="N362" s="11"/>
      <c r="O362" s="11"/>
      <c r="P362" s="145" t="s">
        <v>51</v>
      </c>
      <c r="Q362" s="12"/>
      <c r="R362" s="146"/>
      <c r="S362" s="11"/>
      <c r="T362" s="11"/>
      <c r="U362" s="11"/>
      <c r="V362" s="11"/>
      <c r="W362" s="11"/>
      <c r="X362" s="11"/>
      <c r="Y362" s="11"/>
      <c r="Z362" s="12"/>
      <c r="AA362" s="139">
        <f>SUM(AA353:AA361)</f>
        <v>0</v>
      </c>
      <c r="AB362" s="140" t="s">
        <v>145</v>
      </c>
      <c r="AG362" s="1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1"/>
      <c r="AA363" s="1"/>
      <c r="AB363" s="1"/>
      <c r="AC363" s="3"/>
      <c r="AD363" s="1"/>
      <c r="AE363" s="1"/>
      <c r="AF363" s="1"/>
      <c r="AG363" s="1"/>
    </row>
    <row r="364" ht="21.0" customHeight="1">
      <c r="A364" s="1"/>
      <c r="B364" s="4" t="s">
        <v>1</v>
      </c>
      <c r="C364" s="5"/>
      <c r="D364" s="6" t="s">
        <v>2</v>
      </c>
      <c r="E364" s="7"/>
      <c r="F364" s="7"/>
      <c r="G364" s="5"/>
      <c r="H364" s="8" t="s">
        <v>3</v>
      </c>
      <c r="I364" s="8" t="s">
        <v>4</v>
      </c>
      <c r="J364" s="9" t="s">
        <v>5</v>
      </c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5"/>
      <c r="AA364" s="117" t="s">
        <v>6</v>
      </c>
      <c r="AB364" s="11"/>
      <c r="AC364" s="11"/>
      <c r="AD364" s="11"/>
      <c r="AE364" s="11"/>
      <c r="AF364" s="12"/>
      <c r="AG364" s="1"/>
    </row>
    <row r="365" ht="21.0" customHeight="1">
      <c r="A365" s="1"/>
      <c r="B365" s="149" t="s">
        <v>138</v>
      </c>
      <c r="C365" s="14" t="str">
        <f>if(B365="0/0","",choose(weekday(B365),"(일)","(월)","(화)","(수)","(목)","(금)","(토)"))</f>
        <v/>
      </c>
      <c r="D365" s="15" t="s">
        <v>7</v>
      </c>
      <c r="E365" s="16" t="s">
        <v>8</v>
      </c>
      <c r="F365" s="17"/>
      <c r="G365" s="18" t="s">
        <v>9</v>
      </c>
      <c r="H365" s="150" t="s">
        <v>139</v>
      </c>
      <c r="I365" s="151"/>
      <c r="J365" s="21" t="s">
        <v>12</v>
      </c>
      <c r="K365" s="22"/>
      <c r="L365" s="21" t="s">
        <v>13</v>
      </c>
      <c r="M365" s="22"/>
      <c r="N365" s="21" t="s">
        <v>14</v>
      </c>
      <c r="O365" s="22"/>
      <c r="P365" s="21" t="s">
        <v>15</v>
      </c>
      <c r="Q365" s="22"/>
      <c r="R365" s="23" t="s">
        <v>16</v>
      </c>
      <c r="S365" s="22"/>
      <c r="T365" s="23" t="s">
        <v>17</v>
      </c>
      <c r="U365" s="22"/>
      <c r="V365" s="23" t="s">
        <v>18</v>
      </c>
      <c r="W365" s="22"/>
      <c r="X365" s="23" t="s">
        <v>19</v>
      </c>
      <c r="Y365" s="22"/>
      <c r="Z365" s="24" t="s">
        <v>146</v>
      </c>
      <c r="AA365" s="118" t="s">
        <v>21</v>
      </c>
      <c r="AB365" s="119" t="s">
        <v>22</v>
      </c>
      <c r="AC365" s="7"/>
      <c r="AD365" s="22"/>
      <c r="AE365" s="120" t="s">
        <v>23</v>
      </c>
      <c r="AF365" s="22"/>
      <c r="AG365" s="1"/>
    </row>
    <row r="366" ht="21.0" customHeight="1">
      <c r="A366" s="1"/>
      <c r="B366" s="27">
        <f>iferror(B365-'현황'!$C$4+1,0)</f>
        <v>0</v>
      </c>
      <c r="C366" s="28"/>
      <c r="D366" s="29">
        <v>0.0</v>
      </c>
      <c r="E366" s="30">
        <v>0.0</v>
      </c>
      <c r="F366" s="31"/>
      <c r="G366" s="32">
        <v>0.0</v>
      </c>
      <c r="H366" s="33">
        <v>0.0</v>
      </c>
      <c r="I366" s="34"/>
      <c r="J366" s="35"/>
      <c r="K366" s="36"/>
      <c r="L366" s="35"/>
      <c r="M366" s="36"/>
      <c r="N366" s="35"/>
      <c r="O366" s="36"/>
      <c r="P366" s="35"/>
      <c r="Q366" s="36"/>
      <c r="R366" s="35"/>
      <c r="S366" s="36"/>
      <c r="T366" s="35"/>
      <c r="U366" s="36"/>
      <c r="V366" s="35"/>
      <c r="W366" s="36"/>
      <c r="X366" s="35"/>
      <c r="Y366" s="36"/>
      <c r="Z366" s="37"/>
      <c r="AA366" s="37"/>
      <c r="AB366" s="35"/>
      <c r="AC366" s="38"/>
      <c r="AD366" s="36"/>
      <c r="AE366" s="35"/>
      <c r="AF366" s="36"/>
      <c r="AG366" s="1"/>
    </row>
    <row r="367" ht="21.0" customHeight="1">
      <c r="A367" s="1"/>
      <c r="B367" s="39" t="s">
        <v>24</v>
      </c>
      <c r="C367" s="40"/>
      <c r="D367" s="41"/>
      <c r="E367" s="42" t="s">
        <v>25</v>
      </c>
      <c r="F367" s="40"/>
      <c r="G367" s="41"/>
      <c r="H367" s="43" t="s">
        <v>26</v>
      </c>
      <c r="J367" s="44" t="s">
        <v>27</v>
      </c>
      <c r="K367" s="45" t="s">
        <v>28</v>
      </c>
      <c r="L367" s="44" t="s">
        <v>27</v>
      </c>
      <c r="M367" s="45" t="s">
        <v>28</v>
      </c>
      <c r="N367" s="44" t="s">
        <v>27</v>
      </c>
      <c r="O367" s="45" t="s">
        <v>28</v>
      </c>
      <c r="P367" s="44" t="s">
        <v>27</v>
      </c>
      <c r="Q367" s="45" t="s">
        <v>28</v>
      </c>
      <c r="R367" s="44" t="s">
        <v>27</v>
      </c>
      <c r="S367" s="45" t="s">
        <v>28</v>
      </c>
      <c r="T367" s="44" t="s">
        <v>27</v>
      </c>
      <c r="U367" s="45" t="s">
        <v>28</v>
      </c>
      <c r="V367" s="44" t="s">
        <v>27</v>
      </c>
      <c r="W367" s="45" t="s">
        <v>28</v>
      </c>
      <c r="X367" s="44" t="s">
        <v>27</v>
      </c>
      <c r="Y367" s="45" t="s">
        <v>28</v>
      </c>
      <c r="Z367" s="46"/>
      <c r="AA367" s="46"/>
      <c r="AB367" s="121" t="s">
        <v>29</v>
      </c>
      <c r="AC367" s="122" t="s">
        <v>30</v>
      </c>
      <c r="AD367" s="123" t="s">
        <v>31</v>
      </c>
      <c r="AE367" s="121" t="s">
        <v>27</v>
      </c>
      <c r="AF367" s="123" t="s">
        <v>28</v>
      </c>
      <c r="AG367" s="1"/>
    </row>
    <row r="368" ht="21.0" customHeight="1">
      <c r="A368" s="1"/>
      <c r="B368" s="48" t="s">
        <v>32</v>
      </c>
      <c r="C368" s="49"/>
      <c r="D368" s="50"/>
      <c r="E368" s="51" t="s">
        <v>33</v>
      </c>
      <c r="F368" s="52" t="s">
        <v>34</v>
      </c>
      <c r="G368" s="53"/>
      <c r="H368" s="148"/>
      <c r="I368" s="55"/>
      <c r="J368" s="58"/>
      <c r="K368" s="59"/>
      <c r="L368" s="58"/>
      <c r="M368" s="59"/>
      <c r="N368" s="58"/>
      <c r="O368" s="59"/>
      <c r="P368" s="58"/>
      <c r="Q368" s="59"/>
      <c r="R368" s="58"/>
      <c r="S368" s="59"/>
      <c r="T368" s="58"/>
      <c r="U368" s="59"/>
      <c r="V368" s="58"/>
      <c r="W368" s="59"/>
      <c r="X368" s="58"/>
      <c r="Y368" s="59"/>
      <c r="Z368" s="60" t="b">
        <v>0</v>
      </c>
      <c r="AA368" s="125">
        <f t="shared" ref="AA368:AA376" si="145">(J368*K368+L368*M368+N368*O368+P368*Q368+R368*S368+T368*U368+V368*W368+X368*Y368)*if(Z368=true,0.453592,1)</f>
        <v>0</v>
      </c>
      <c r="AB368" s="126">
        <f t="shared" ref="AB368:AB376" si="146">SUM(AE368*AF368*0.025,AE368)</f>
        <v>0</v>
      </c>
      <c r="AC368" s="127">
        <f t="shared" ref="AC368:AC376" si="147">AB368*87%</f>
        <v>0</v>
      </c>
      <c r="AD368" s="128">
        <f t="shared" ref="AD368:AD376" si="148">AB368*67%</f>
        <v>0</v>
      </c>
      <c r="AE368" s="126">
        <f t="shared" ref="AE368:AE376" si="149">MAX(J368,L368,N368,P368,R368,T368,V368,X368)*if(Z368=true,0.453592,1)</f>
        <v>0</v>
      </c>
      <c r="AF368" s="128">
        <f t="shared" ref="AF368:AF376" si="150">MAX(IF(J368*if(Z368=true,0.453592,1)=$AE368,K368,0),IF(L368*if(Z368=true,0.453592,1)=$AE368,M368,0),IF(N368*if(Z368=true,0.453592,1)=$AE368,O368,0),IF(P368*if(Z368=true,0.453592,1)=$AE368,Q368,0),IF(R368*if(Z368=true,0.453592,1)=$AE368,S368,0),IF(T368*if(Z368=true,0.453592,1)=$AE368,U368,0),IF(V368*if(Z368=true,0.453592,1)=$AE368,W368,0),IF(X368*if(Z368=true,0.453592,1)=$AE368,Y368,0))</f>
        <v>0</v>
      </c>
      <c r="AG368" s="1"/>
    </row>
    <row r="369" ht="21.0" customHeight="1">
      <c r="A369" s="1"/>
      <c r="B369" s="48" t="s">
        <v>36</v>
      </c>
      <c r="C369" s="49"/>
      <c r="D369" s="65"/>
      <c r="E369" s="66"/>
      <c r="F369" s="52" t="s">
        <v>37</v>
      </c>
      <c r="G369" s="67"/>
      <c r="H369" s="129"/>
      <c r="I369" s="69"/>
      <c r="J369" s="72"/>
      <c r="K369" s="73"/>
      <c r="L369" s="72"/>
      <c r="M369" s="73"/>
      <c r="N369" s="72"/>
      <c r="O369" s="73"/>
      <c r="P369" s="72"/>
      <c r="Q369" s="73"/>
      <c r="R369" s="72"/>
      <c r="S369" s="73"/>
      <c r="T369" s="72"/>
      <c r="U369" s="73"/>
      <c r="V369" s="72"/>
      <c r="W369" s="73"/>
      <c r="X369" s="72"/>
      <c r="Y369" s="73"/>
      <c r="Z369" s="74" t="b">
        <v>0</v>
      </c>
      <c r="AA369" s="130">
        <f t="shared" si="145"/>
        <v>0</v>
      </c>
      <c r="AB369" s="131">
        <f t="shared" si="146"/>
        <v>0</v>
      </c>
      <c r="AC369" s="132">
        <f t="shared" si="147"/>
        <v>0</v>
      </c>
      <c r="AD369" s="133">
        <f t="shared" si="148"/>
        <v>0</v>
      </c>
      <c r="AE369" s="131">
        <f t="shared" si="149"/>
        <v>0</v>
      </c>
      <c r="AF369" s="133">
        <f t="shared" si="150"/>
        <v>0</v>
      </c>
      <c r="AG369" s="1"/>
    </row>
    <row r="370" ht="21.0" customHeight="1">
      <c r="A370" s="1"/>
      <c r="B370" s="48" t="s">
        <v>39</v>
      </c>
      <c r="C370" s="49"/>
      <c r="D370" s="65"/>
      <c r="E370" s="41"/>
      <c r="F370" s="52" t="s">
        <v>40</v>
      </c>
      <c r="G370" s="79"/>
      <c r="H370" s="80"/>
      <c r="I370" s="69"/>
      <c r="J370" s="72"/>
      <c r="K370" s="73"/>
      <c r="L370" s="72"/>
      <c r="M370" s="73"/>
      <c r="N370" s="72"/>
      <c r="O370" s="73"/>
      <c r="P370" s="72"/>
      <c r="Q370" s="73"/>
      <c r="R370" s="72"/>
      <c r="S370" s="73"/>
      <c r="T370" s="72"/>
      <c r="U370" s="73"/>
      <c r="V370" s="72"/>
      <c r="W370" s="73"/>
      <c r="X370" s="72"/>
      <c r="Y370" s="73"/>
      <c r="Z370" s="74" t="b">
        <v>0</v>
      </c>
      <c r="AA370" s="130">
        <f t="shared" si="145"/>
        <v>0</v>
      </c>
      <c r="AB370" s="131">
        <f t="shared" si="146"/>
        <v>0</v>
      </c>
      <c r="AC370" s="132">
        <f t="shared" si="147"/>
        <v>0</v>
      </c>
      <c r="AD370" s="133">
        <f t="shared" si="148"/>
        <v>0</v>
      </c>
      <c r="AE370" s="131">
        <f t="shared" si="149"/>
        <v>0</v>
      </c>
      <c r="AF370" s="133">
        <f t="shared" si="150"/>
        <v>0</v>
      </c>
      <c r="AG370" s="1"/>
    </row>
    <row r="371" ht="21.0" customHeight="1">
      <c r="A371" s="1"/>
      <c r="B371" s="48" t="s">
        <v>41</v>
      </c>
      <c r="C371" s="81"/>
      <c r="D371" s="82" t="b">
        <v>0</v>
      </c>
      <c r="E371" s="51" t="s">
        <v>42</v>
      </c>
      <c r="F371" s="52" t="s">
        <v>34</v>
      </c>
      <c r="G371" s="83"/>
      <c r="H371" s="84"/>
      <c r="I371" s="85"/>
      <c r="J371" s="72"/>
      <c r="K371" s="73"/>
      <c r="L371" s="72"/>
      <c r="M371" s="73"/>
      <c r="N371" s="72"/>
      <c r="O371" s="73"/>
      <c r="P371" s="72"/>
      <c r="Q371" s="73"/>
      <c r="R371" s="72"/>
      <c r="S371" s="73"/>
      <c r="T371" s="72"/>
      <c r="U371" s="73"/>
      <c r="V371" s="72"/>
      <c r="W371" s="73"/>
      <c r="X371" s="72"/>
      <c r="Y371" s="73"/>
      <c r="Z371" s="74" t="b">
        <v>0</v>
      </c>
      <c r="AA371" s="130">
        <f t="shared" si="145"/>
        <v>0</v>
      </c>
      <c r="AB371" s="131">
        <f t="shared" si="146"/>
        <v>0</v>
      </c>
      <c r="AC371" s="132">
        <f t="shared" si="147"/>
        <v>0</v>
      </c>
      <c r="AD371" s="133">
        <f t="shared" si="148"/>
        <v>0</v>
      </c>
      <c r="AE371" s="131">
        <f t="shared" si="149"/>
        <v>0</v>
      </c>
      <c r="AF371" s="133">
        <f t="shared" si="150"/>
        <v>0</v>
      </c>
      <c r="AG371" s="1"/>
    </row>
    <row r="372" ht="21.0" customHeight="1">
      <c r="A372" s="1"/>
      <c r="B372" s="48" t="s">
        <v>43</v>
      </c>
      <c r="C372" s="49"/>
      <c r="D372" s="86" t="b">
        <v>0</v>
      </c>
      <c r="E372" s="66"/>
      <c r="F372" s="52" t="s">
        <v>37</v>
      </c>
      <c r="G372" s="67"/>
      <c r="H372" s="80"/>
      <c r="I372" s="69"/>
      <c r="J372" s="72"/>
      <c r="K372" s="73"/>
      <c r="L372" s="72"/>
      <c r="M372" s="73"/>
      <c r="N372" s="72"/>
      <c r="O372" s="73"/>
      <c r="P372" s="72"/>
      <c r="Q372" s="73"/>
      <c r="R372" s="72"/>
      <c r="S372" s="73"/>
      <c r="T372" s="72"/>
      <c r="U372" s="73"/>
      <c r="V372" s="72"/>
      <c r="W372" s="73"/>
      <c r="X372" s="72"/>
      <c r="Y372" s="73"/>
      <c r="Z372" s="74" t="b">
        <v>0</v>
      </c>
      <c r="AA372" s="130">
        <f t="shared" si="145"/>
        <v>0</v>
      </c>
      <c r="AB372" s="131">
        <f t="shared" si="146"/>
        <v>0</v>
      </c>
      <c r="AC372" s="132">
        <f t="shared" si="147"/>
        <v>0</v>
      </c>
      <c r="AD372" s="133">
        <f t="shared" si="148"/>
        <v>0</v>
      </c>
      <c r="AE372" s="131">
        <f t="shared" si="149"/>
        <v>0</v>
      </c>
      <c r="AF372" s="133">
        <f t="shared" si="150"/>
        <v>0</v>
      </c>
      <c r="AG372" s="1"/>
    </row>
    <row r="373" ht="21.0" customHeight="1">
      <c r="A373" s="1"/>
      <c r="B373" s="87" t="str">
        <f t="array" ref="B373">"📌최근 인바디 결과 : "&amp;text(xlookup(B365,'현황'!O:O,'현황'!O:O,,-1,-1),"m/d(ddd)")</f>
        <v>#REF!</v>
      </c>
      <c r="C373" s="88"/>
      <c r="D373" s="49"/>
      <c r="E373" s="41"/>
      <c r="F373" s="52" t="s">
        <v>40</v>
      </c>
      <c r="G373" s="79"/>
      <c r="H373" s="80"/>
      <c r="I373" s="69"/>
      <c r="J373" s="72"/>
      <c r="K373" s="73"/>
      <c r="L373" s="72"/>
      <c r="M373" s="73"/>
      <c r="N373" s="72"/>
      <c r="O373" s="73"/>
      <c r="P373" s="72"/>
      <c r="Q373" s="73"/>
      <c r="R373" s="72"/>
      <c r="S373" s="73"/>
      <c r="T373" s="72"/>
      <c r="U373" s="73"/>
      <c r="V373" s="72"/>
      <c r="W373" s="73"/>
      <c r="X373" s="72"/>
      <c r="Y373" s="73"/>
      <c r="Z373" s="74" t="b">
        <v>0</v>
      </c>
      <c r="AA373" s="130">
        <f t="shared" si="145"/>
        <v>0</v>
      </c>
      <c r="AB373" s="131">
        <f t="shared" si="146"/>
        <v>0</v>
      </c>
      <c r="AC373" s="132">
        <f t="shared" si="147"/>
        <v>0</v>
      </c>
      <c r="AD373" s="133">
        <f t="shared" si="148"/>
        <v>0</v>
      </c>
      <c r="AE373" s="131">
        <f t="shared" si="149"/>
        <v>0</v>
      </c>
      <c r="AF373" s="133">
        <f t="shared" si="150"/>
        <v>0</v>
      </c>
      <c r="AG373" s="1"/>
    </row>
    <row r="374" ht="21.0" customHeight="1">
      <c r="A374" s="1"/>
      <c r="B374" s="89" t="s">
        <v>44</v>
      </c>
      <c r="C374" s="49"/>
      <c r="D374" s="90">
        <f t="array" ref="D374">iferror(vlookup(xlookup(B365,'현황'!O:O,'현황'!O:O,,-1,-1),'현황'!O:S,2,false),0)</f>
        <v>0</v>
      </c>
      <c r="E374" s="51" t="s">
        <v>45</v>
      </c>
      <c r="F374" s="52" t="s">
        <v>34</v>
      </c>
      <c r="G374" s="83"/>
      <c r="H374" s="84"/>
      <c r="I374" s="85"/>
      <c r="J374" s="72"/>
      <c r="K374" s="73"/>
      <c r="L374" s="72"/>
      <c r="M374" s="73"/>
      <c r="N374" s="72"/>
      <c r="O374" s="73"/>
      <c r="P374" s="72"/>
      <c r="Q374" s="73"/>
      <c r="R374" s="72"/>
      <c r="S374" s="73"/>
      <c r="T374" s="72"/>
      <c r="U374" s="73"/>
      <c r="V374" s="72"/>
      <c r="W374" s="73"/>
      <c r="X374" s="72"/>
      <c r="Y374" s="73"/>
      <c r="Z374" s="74" t="b">
        <v>0</v>
      </c>
      <c r="AA374" s="130">
        <f t="shared" si="145"/>
        <v>0</v>
      </c>
      <c r="AB374" s="131">
        <f t="shared" si="146"/>
        <v>0</v>
      </c>
      <c r="AC374" s="132">
        <f t="shared" si="147"/>
        <v>0</v>
      </c>
      <c r="AD374" s="133">
        <f t="shared" si="148"/>
        <v>0</v>
      </c>
      <c r="AE374" s="131">
        <f t="shared" si="149"/>
        <v>0</v>
      </c>
      <c r="AF374" s="133">
        <f t="shared" si="150"/>
        <v>0</v>
      </c>
      <c r="AG374" s="1"/>
    </row>
    <row r="375" ht="21.0" customHeight="1">
      <c r="A375" s="1"/>
      <c r="B375" s="48" t="s">
        <v>46</v>
      </c>
      <c r="C375" s="49"/>
      <c r="D375" s="91">
        <f t="array" ref="D375">iferror(vlookup(xlookup(B365,'현황'!O:O,'현황'!O:O,,-1,-1),'현황'!O:S,3,false),0)</f>
        <v>0</v>
      </c>
      <c r="E375" s="66"/>
      <c r="F375" s="52" t="s">
        <v>37</v>
      </c>
      <c r="G375" s="67"/>
      <c r="H375" s="80"/>
      <c r="I375" s="69"/>
      <c r="J375" s="72"/>
      <c r="K375" s="73"/>
      <c r="L375" s="72"/>
      <c r="M375" s="73"/>
      <c r="N375" s="72"/>
      <c r="O375" s="73"/>
      <c r="P375" s="72"/>
      <c r="Q375" s="73"/>
      <c r="R375" s="72"/>
      <c r="S375" s="73"/>
      <c r="T375" s="72"/>
      <c r="U375" s="73"/>
      <c r="V375" s="72"/>
      <c r="W375" s="73"/>
      <c r="X375" s="72"/>
      <c r="Y375" s="73"/>
      <c r="Z375" s="74" t="b">
        <v>0</v>
      </c>
      <c r="AA375" s="130">
        <f t="shared" si="145"/>
        <v>0</v>
      </c>
      <c r="AB375" s="131">
        <f t="shared" si="146"/>
        <v>0</v>
      </c>
      <c r="AC375" s="132">
        <f t="shared" si="147"/>
        <v>0</v>
      </c>
      <c r="AD375" s="133">
        <f t="shared" si="148"/>
        <v>0</v>
      </c>
      <c r="AE375" s="131">
        <f t="shared" si="149"/>
        <v>0</v>
      </c>
      <c r="AF375" s="133">
        <f t="shared" si="150"/>
        <v>0</v>
      </c>
      <c r="AG375" s="1"/>
    </row>
    <row r="376" ht="21.0" customHeight="1">
      <c r="A376" s="1"/>
      <c r="B376" s="48" t="s">
        <v>47</v>
      </c>
      <c r="C376" s="49"/>
      <c r="D376" s="91">
        <f t="array" ref="D376">iferror(vlookup(xlookup(B365,'현황'!O:O,'현황'!O:O,,-1,-1),'현황'!O:S,4,false),0)</f>
        <v>0</v>
      </c>
      <c r="E376" s="41"/>
      <c r="F376" s="92" t="s">
        <v>40</v>
      </c>
      <c r="G376" s="79"/>
      <c r="H376" s="93"/>
      <c r="I376" s="94"/>
      <c r="J376" s="95"/>
      <c r="K376" s="96"/>
      <c r="L376" s="95"/>
      <c r="M376" s="96"/>
      <c r="N376" s="95"/>
      <c r="O376" s="96"/>
      <c r="P376" s="95"/>
      <c r="Q376" s="96"/>
      <c r="R376" s="95"/>
      <c r="S376" s="96"/>
      <c r="T376" s="95"/>
      <c r="U376" s="96"/>
      <c r="V376" s="95"/>
      <c r="W376" s="96"/>
      <c r="X376" s="95"/>
      <c r="Y376" s="96"/>
      <c r="Z376" s="97" t="b">
        <v>0</v>
      </c>
      <c r="AA376" s="135">
        <f t="shared" si="145"/>
        <v>0</v>
      </c>
      <c r="AB376" s="136">
        <f t="shared" si="146"/>
        <v>0</v>
      </c>
      <c r="AC376" s="137">
        <f t="shared" si="147"/>
        <v>0</v>
      </c>
      <c r="AD376" s="138">
        <f t="shared" si="148"/>
        <v>0</v>
      </c>
      <c r="AE376" s="136">
        <f t="shared" si="149"/>
        <v>0</v>
      </c>
      <c r="AF376" s="138">
        <f t="shared" si="150"/>
        <v>0</v>
      </c>
      <c r="AG376" s="1"/>
    </row>
    <row r="377" ht="21.0" customHeight="1">
      <c r="A377" s="1"/>
      <c r="B377" s="102" t="s">
        <v>48</v>
      </c>
      <c r="C377" s="103"/>
      <c r="D377" s="104">
        <f>iferror(D376/D374,0)</f>
        <v>0</v>
      </c>
      <c r="E377" s="102" t="s">
        <v>49</v>
      </c>
      <c r="F377" s="103"/>
      <c r="G377" s="105"/>
      <c r="H377" s="106" t="s">
        <v>50</v>
      </c>
      <c r="I377" s="107"/>
      <c r="J377" s="11"/>
      <c r="K377" s="11"/>
      <c r="L377" s="11"/>
      <c r="M377" s="11"/>
      <c r="N377" s="11"/>
      <c r="O377" s="11"/>
      <c r="P377" s="108" t="s">
        <v>51</v>
      </c>
      <c r="Q377" s="12"/>
      <c r="R377" s="109"/>
      <c r="S377" s="11"/>
      <c r="T377" s="11"/>
      <c r="U377" s="11"/>
      <c r="V377" s="11"/>
      <c r="W377" s="11"/>
      <c r="X377" s="11"/>
      <c r="Y377" s="11"/>
      <c r="Z377" s="12"/>
      <c r="AA377" s="139">
        <f>SUM(AA368:AA376)</f>
        <v>0</v>
      </c>
      <c r="AB377" s="140" t="s">
        <v>147</v>
      </c>
      <c r="AG377" s="1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1"/>
      <c r="AA378" s="1"/>
      <c r="AB378" s="1"/>
      <c r="AC378" s="3"/>
      <c r="AD378" s="1"/>
      <c r="AE378" s="1"/>
      <c r="AF378" s="1"/>
      <c r="AG378" s="1"/>
    </row>
    <row r="379" ht="21.0" customHeight="1">
      <c r="A379" s="1"/>
      <c r="B379" s="4" t="s">
        <v>1</v>
      </c>
      <c r="C379" s="5"/>
      <c r="D379" s="6" t="s">
        <v>2</v>
      </c>
      <c r="E379" s="7"/>
      <c r="F379" s="7"/>
      <c r="G379" s="5"/>
      <c r="H379" s="8" t="s">
        <v>3</v>
      </c>
      <c r="I379" s="8" t="s">
        <v>4</v>
      </c>
      <c r="J379" s="9" t="s">
        <v>5</v>
      </c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5"/>
      <c r="AA379" s="117" t="s">
        <v>6</v>
      </c>
      <c r="AB379" s="11"/>
      <c r="AC379" s="11"/>
      <c r="AD379" s="11"/>
      <c r="AE379" s="11"/>
      <c r="AF379" s="12"/>
      <c r="AG379" s="1"/>
    </row>
    <row r="380" ht="21.0" customHeight="1">
      <c r="A380" s="1"/>
      <c r="B380" s="149" t="s">
        <v>138</v>
      </c>
      <c r="C380" s="14" t="str">
        <f>if(B380="0/0","",choose(weekday(B380),"(일)","(월)","(화)","(수)","(목)","(금)","(토)"))</f>
        <v/>
      </c>
      <c r="D380" s="15" t="s">
        <v>7</v>
      </c>
      <c r="E380" s="16" t="s">
        <v>8</v>
      </c>
      <c r="F380" s="17"/>
      <c r="G380" s="18" t="s">
        <v>9</v>
      </c>
      <c r="H380" s="150" t="s">
        <v>139</v>
      </c>
      <c r="I380" s="151"/>
      <c r="J380" s="21" t="s">
        <v>12</v>
      </c>
      <c r="K380" s="22"/>
      <c r="L380" s="21" t="s">
        <v>13</v>
      </c>
      <c r="M380" s="22"/>
      <c r="N380" s="21" t="s">
        <v>14</v>
      </c>
      <c r="O380" s="22"/>
      <c r="P380" s="21" t="s">
        <v>15</v>
      </c>
      <c r="Q380" s="22"/>
      <c r="R380" s="23" t="s">
        <v>16</v>
      </c>
      <c r="S380" s="22"/>
      <c r="T380" s="23" t="s">
        <v>17</v>
      </c>
      <c r="U380" s="22"/>
      <c r="V380" s="23" t="s">
        <v>18</v>
      </c>
      <c r="W380" s="22"/>
      <c r="X380" s="23" t="s">
        <v>19</v>
      </c>
      <c r="Y380" s="22"/>
      <c r="Z380" s="24" t="s">
        <v>148</v>
      </c>
      <c r="AA380" s="118" t="s">
        <v>21</v>
      </c>
      <c r="AB380" s="119" t="s">
        <v>22</v>
      </c>
      <c r="AC380" s="7"/>
      <c r="AD380" s="22"/>
      <c r="AE380" s="120" t="s">
        <v>23</v>
      </c>
      <c r="AF380" s="22"/>
      <c r="AG380" s="1"/>
    </row>
    <row r="381" ht="21.0" customHeight="1">
      <c r="A381" s="1"/>
      <c r="B381" s="27">
        <f>iferror(B380-'현황'!$C$4+1,0)</f>
        <v>0</v>
      </c>
      <c r="C381" s="28"/>
      <c r="D381" s="29">
        <v>0.0</v>
      </c>
      <c r="E381" s="30">
        <v>0.0</v>
      </c>
      <c r="F381" s="31"/>
      <c r="G381" s="32">
        <v>0.0</v>
      </c>
      <c r="H381" s="33">
        <v>0.0</v>
      </c>
      <c r="I381" s="34"/>
      <c r="J381" s="35"/>
      <c r="K381" s="36"/>
      <c r="L381" s="35"/>
      <c r="M381" s="36"/>
      <c r="N381" s="35"/>
      <c r="O381" s="36"/>
      <c r="P381" s="35"/>
      <c r="Q381" s="36"/>
      <c r="R381" s="35"/>
      <c r="S381" s="36"/>
      <c r="T381" s="35"/>
      <c r="U381" s="36"/>
      <c r="V381" s="35"/>
      <c r="W381" s="36"/>
      <c r="X381" s="35"/>
      <c r="Y381" s="36"/>
      <c r="Z381" s="37"/>
      <c r="AA381" s="37"/>
      <c r="AB381" s="35"/>
      <c r="AC381" s="38"/>
      <c r="AD381" s="36"/>
      <c r="AE381" s="35"/>
      <c r="AF381" s="36"/>
      <c r="AG381" s="1"/>
    </row>
    <row r="382" ht="21.0" customHeight="1">
      <c r="A382" s="1"/>
      <c r="B382" s="39" t="s">
        <v>24</v>
      </c>
      <c r="C382" s="40"/>
      <c r="D382" s="41"/>
      <c r="E382" s="42" t="s">
        <v>25</v>
      </c>
      <c r="F382" s="40"/>
      <c r="G382" s="41"/>
      <c r="H382" s="43" t="s">
        <v>26</v>
      </c>
      <c r="J382" s="44" t="s">
        <v>27</v>
      </c>
      <c r="K382" s="45" t="s">
        <v>28</v>
      </c>
      <c r="L382" s="44" t="s">
        <v>27</v>
      </c>
      <c r="M382" s="45" t="s">
        <v>28</v>
      </c>
      <c r="N382" s="44" t="s">
        <v>27</v>
      </c>
      <c r="O382" s="45" t="s">
        <v>28</v>
      </c>
      <c r="P382" s="44" t="s">
        <v>27</v>
      </c>
      <c r="Q382" s="45" t="s">
        <v>28</v>
      </c>
      <c r="R382" s="44" t="s">
        <v>27</v>
      </c>
      <c r="S382" s="45" t="s">
        <v>28</v>
      </c>
      <c r="T382" s="44" t="s">
        <v>27</v>
      </c>
      <c r="U382" s="45" t="s">
        <v>28</v>
      </c>
      <c r="V382" s="44" t="s">
        <v>27</v>
      </c>
      <c r="W382" s="45" t="s">
        <v>28</v>
      </c>
      <c r="X382" s="44" t="s">
        <v>27</v>
      </c>
      <c r="Y382" s="45" t="s">
        <v>28</v>
      </c>
      <c r="Z382" s="46"/>
      <c r="AA382" s="46"/>
      <c r="AB382" s="121" t="s">
        <v>29</v>
      </c>
      <c r="AC382" s="122" t="s">
        <v>30</v>
      </c>
      <c r="AD382" s="123" t="s">
        <v>31</v>
      </c>
      <c r="AE382" s="121" t="s">
        <v>27</v>
      </c>
      <c r="AF382" s="123" t="s">
        <v>28</v>
      </c>
      <c r="AG382" s="1"/>
    </row>
    <row r="383" ht="21.0" customHeight="1">
      <c r="A383" s="1"/>
      <c r="B383" s="48" t="s">
        <v>32</v>
      </c>
      <c r="C383" s="49"/>
      <c r="D383" s="50"/>
      <c r="E383" s="51" t="s">
        <v>33</v>
      </c>
      <c r="F383" s="52" t="s">
        <v>34</v>
      </c>
      <c r="G383" s="53"/>
      <c r="H383" s="148"/>
      <c r="I383" s="55"/>
      <c r="J383" s="58"/>
      <c r="K383" s="59"/>
      <c r="L383" s="58"/>
      <c r="M383" s="59"/>
      <c r="N383" s="58"/>
      <c r="O383" s="59"/>
      <c r="P383" s="58"/>
      <c r="Q383" s="59"/>
      <c r="R383" s="58"/>
      <c r="S383" s="59"/>
      <c r="T383" s="58"/>
      <c r="U383" s="59"/>
      <c r="V383" s="58"/>
      <c r="W383" s="59"/>
      <c r="X383" s="58"/>
      <c r="Y383" s="59"/>
      <c r="Z383" s="60" t="b">
        <v>0</v>
      </c>
      <c r="AA383" s="125">
        <f t="shared" ref="AA383:AA391" si="151">(J383*K383+L383*M383+N383*O383+P383*Q383+R383*S383+T383*U383+V383*W383+X383*Y383)*if(Z383=true,0.453592,1)</f>
        <v>0</v>
      </c>
      <c r="AB383" s="126">
        <f t="shared" ref="AB383:AB391" si="152">SUM(AE383*AF383*0.025,AE383)</f>
        <v>0</v>
      </c>
      <c r="AC383" s="127">
        <f t="shared" ref="AC383:AC391" si="153">AB383*87%</f>
        <v>0</v>
      </c>
      <c r="AD383" s="128">
        <f t="shared" ref="AD383:AD391" si="154">AB383*67%</f>
        <v>0</v>
      </c>
      <c r="AE383" s="126">
        <f t="shared" ref="AE383:AE391" si="155">MAX(J383,L383,N383,P383,R383,T383,V383,X383)*if(Z383=true,0.453592,1)</f>
        <v>0</v>
      </c>
      <c r="AF383" s="128">
        <f t="shared" ref="AF383:AF391" si="156">MAX(IF(J383*if(Z383=true,0.453592,1)=$AE383,K383,0),IF(L383*if(Z383=true,0.453592,1)=$AE383,M383,0),IF(N383*if(Z383=true,0.453592,1)=$AE383,O383,0),IF(P383*if(Z383=true,0.453592,1)=$AE383,Q383,0),IF(R383*if(Z383=true,0.453592,1)=$AE383,S383,0),IF(T383*if(Z383=true,0.453592,1)=$AE383,U383,0),IF(V383*if(Z383=true,0.453592,1)=$AE383,W383,0),IF(X383*if(Z383=true,0.453592,1)=$AE383,Y383,0))</f>
        <v>0</v>
      </c>
      <c r="AG383" s="1"/>
    </row>
    <row r="384" ht="21.0" customHeight="1">
      <c r="A384" s="1"/>
      <c r="B384" s="48" t="s">
        <v>36</v>
      </c>
      <c r="C384" s="49"/>
      <c r="D384" s="65"/>
      <c r="E384" s="66"/>
      <c r="F384" s="52" t="s">
        <v>37</v>
      </c>
      <c r="G384" s="67"/>
      <c r="H384" s="129"/>
      <c r="I384" s="69"/>
      <c r="J384" s="72"/>
      <c r="K384" s="73"/>
      <c r="L384" s="72"/>
      <c r="M384" s="73"/>
      <c r="N384" s="72"/>
      <c r="O384" s="73"/>
      <c r="P384" s="72"/>
      <c r="Q384" s="73"/>
      <c r="R384" s="72"/>
      <c r="S384" s="73"/>
      <c r="T384" s="72"/>
      <c r="U384" s="73"/>
      <c r="V384" s="72"/>
      <c r="W384" s="73"/>
      <c r="X384" s="72"/>
      <c r="Y384" s="73"/>
      <c r="Z384" s="74" t="b">
        <v>0</v>
      </c>
      <c r="AA384" s="130">
        <f t="shared" si="151"/>
        <v>0</v>
      </c>
      <c r="AB384" s="131">
        <f t="shared" si="152"/>
        <v>0</v>
      </c>
      <c r="AC384" s="132">
        <f t="shared" si="153"/>
        <v>0</v>
      </c>
      <c r="AD384" s="133">
        <f t="shared" si="154"/>
        <v>0</v>
      </c>
      <c r="AE384" s="131">
        <f t="shared" si="155"/>
        <v>0</v>
      </c>
      <c r="AF384" s="133">
        <f t="shared" si="156"/>
        <v>0</v>
      </c>
      <c r="AG384" s="1"/>
    </row>
    <row r="385" ht="21.0" customHeight="1">
      <c r="A385" s="1"/>
      <c r="B385" s="48" t="s">
        <v>39</v>
      </c>
      <c r="C385" s="49"/>
      <c r="D385" s="65"/>
      <c r="E385" s="41"/>
      <c r="F385" s="52" t="s">
        <v>40</v>
      </c>
      <c r="G385" s="79"/>
      <c r="H385" s="80"/>
      <c r="I385" s="69"/>
      <c r="J385" s="72"/>
      <c r="K385" s="73"/>
      <c r="L385" s="72"/>
      <c r="M385" s="73"/>
      <c r="N385" s="72"/>
      <c r="O385" s="73"/>
      <c r="P385" s="72"/>
      <c r="Q385" s="73"/>
      <c r="R385" s="72"/>
      <c r="S385" s="73"/>
      <c r="T385" s="72"/>
      <c r="U385" s="73"/>
      <c r="V385" s="72"/>
      <c r="W385" s="73"/>
      <c r="X385" s="72"/>
      <c r="Y385" s="73"/>
      <c r="Z385" s="74" t="b">
        <v>0</v>
      </c>
      <c r="AA385" s="130">
        <f t="shared" si="151"/>
        <v>0</v>
      </c>
      <c r="AB385" s="131">
        <f t="shared" si="152"/>
        <v>0</v>
      </c>
      <c r="AC385" s="132">
        <f t="shared" si="153"/>
        <v>0</v>
      </c>
      <c r="AD385" s="133">
        <f t="shared" si="154"/>
        <v>0</v>
      </c>
      <c r="AE385" s="131">
        <f t="shared" si="155"/>
        <v>0</v>
      </c>
      <c r="AF385" s="133">
        <f t="shared" si="156"/>
        <v>0</v>
      </c>
      <c r="AG385" s="1"/>
    </row>
    <row r="386" ht="21.0" customHeight="1">
      <c r="A386" s="1"/>
      <c r="B386" s="48" t="s">
        <v>41</v>
      </c>
      <c r="C386" s="81"/>
      <c r="D386" s="82" t="b">
        <v>0</v>
      </c>
      <c r="E386" s="51" t="s">
        <v>42</v>
      </c>
      <c r="F386" s="52" t="s">
        <v>34</v>
      </c>
      <c r="G386" s="83"/>
      <c r="H386" s="84"/>
      <c r="I386" s="85"/>
      <c r="J386" s="72"/>
      <c r="K386" s="73"/>
      <c r="L386" s="72"/>
      <c r="M386" s="73"/>
      <c r="N386" s="72"/>
      <c r="O386" s="73"/>
      <c r="P386" s="72"/>
      <c r="Q386" s="73"/>
      <c r="R386" s="72"/>
      <c r="S386" s="73"/>
      <c r="T386" s="72"/>
      <c r="U386" s="73"/>
      <c r="V386" s="72"/>
      <c r="W386" s="73"/>
      <c r="X386" s="72"/>
      <c r="Y386" s="73"/>
      <c r="Z386" s="74" t="b">
        <v>0</v>
      </c>
      <c r="AA386" s="130">
        <f t="shared" si="151"/>
        <v>0</v>
      </c>
      <c r="AB386" s="131">
        <f t="shared" si="152"/>
        <v>0</v>
      </c>
      <c r="AC386" s="132">
        <f t="shared" si="153"/>
        <v>0</v>
      </c>
      <c r="AD386" s="133">
        <f t="shared" si="154"/>
        <v>0</v>
      </c>
      <c r="AE386" s="131">
        <f t="shared" si="155"/>
        <v>0</v>
      </c>
      <c r="AF386" s="133">
        <f t="shared" si="156"/>
        <v>0</v>
      </c>
      <c r="AG386" s="1"/>
    </row>
    <row r="387" ht="21.0" customHeight="1">
      <c r="A387" s="1"/>
      <c r="B387" s="48" t="s">
        <v>43</v>
      </c>
      <c r="C387" s="49"/>
      <c r="D387" s="86" t="b">
        <v>0</v>
      </c>
      <c r="E387" s="66"/>
      <c r="F387" s="52" t="s">
        <v>37</v>
      </c>
      <c r="G387" s="67"/>
      <c r="H387" s="80"/>
      <c r="I387" s="69"/>
      <c r="J387" s="72"/>
      <c r="K387" s="73"/>
      <c r="L387" s="72"/>
      <c r="M387" s="73"/>
      <c r="N387" s="72"/>
      <c r="O387" s="73"/>
      <c r="P387" s="72"/>
      <c r="Q387" s="73"/>
      <c r="R387" s="72"/>
      <c r="S387" s="73"/>
      <c r="T387" s="72"/>
      <c r="U387" s="73"/>
      <c r="V387" s="72"/>
      <c r="W387" s="73"/>
      <c r="X387" s="72"/>
      <c r="Y387" s="73"/>
      <c r="Z387" s="74" t="b">
        <v>0</v>
      </c>
      <c r="AA387" s="130">
        <f t="shared" si="151"/>
        <v>0</v>
      </c>
      <c r="AB387" s="131">
        <f t="shared" si="152"/>
        <v>0</v>
      </c>
      <c r="AC387" s="132">
        <f t="shared" si="153"/>
        <v>0</v>
      </c>
      <c r="AD387" s="133">
        <f t="shared" si="154"/>
        <v>0</v>
      </c>
      <c r="AE387" s="131">
        <f t="shared" si="155"/>
        <v>0</v>
      </c>
      <c r="AF387" s="133">
        <f t="shared" si="156"/>
        <v>0</v>
      </c>
      <c r="AG387" s="1"/>
    </row>
    <row r="388" ht="21.0" customHeight="1">
      <c r="A388" s="1"/>
      <c r="B388" s="87" t="str">
        <f t="array" ref="B388">"📌최근 인바디 결과 : "&amp;text(xlookup(B380,'현황'!O:O,'현황'!O:O,,-1,-1),"m/d(ddd)")</f>
        <v>#REF!</v>
      </c>
      <c r="C388" s="88"/>
      <c r="D388" s="49"/>
      <c r="E388" s="41"/>
      <c r="F388" s="52" t="s">
        <v>40</v>
      </c>
      <c r="G388" s="79"/>
      <c r="H388" s="80"/>
      <c r="I388" s="69"/>
      <c r="J388" s="72"/>
      <c r="K388" s="73"/>
      <c r="L388" s="72"/>
      <c r="M388" s="73"/>
      <c r="N388" s="72"/>
      <c r="O388" s="73"/>
      <c r="P388" s="72"/>
      <c r="Q388" s="73"/>
      <c r="R388" s="72"/>
      <c r="S388" s="73"/>
      <c r="T388" s="72"/>
      <c r="U388" s="73"/>
      <c r="V388" s="72"/>
      <c r="W388" s="73"/>
      <c r="X388" s="72"/>
      <c r="Y388" s="73"/>
      <c r="Z388" s="74" t="b">
        <v>0</v>
      </c>
      <c r="AA388" s="130">
        <f t="shared" si="151"/>
        <v>0</v>
      </c>
      <c r="AB388" s="131">
        <f t="shared" si="152"/>
        <v>0</v>
      </c>
      <c r="AC388" s="132">
        <f t="shared" si="153"/>
        <v>0</v>
      </c>
      <c r="AD388" s="133">
        <f t="shared" si="154"/>
        <v>0</v>
      </c>
      <c r="AE388" s="131">
        <f t="shared" si="155"/>
        <v>0</v>
      </c>
      <c r="AF388" s="133">
        <f t="shared" si="156"/>
        <v>0</v>
      </c>
      <c r="AG388" s="1"/>
    </row>
    <row r="389" ht="21.0" customHeight="1">
      <c r="A389" s="1"/>
      <c r="B389" s="89" t="s">
        <v>44</v>
      </c>
      <c r="C389" s="49"/>
      <c r="D389" s="90">
        <f t="array" ref="D389">iferror(vlookup(xlookup(B380,'현황'!O:O,'현황'!O:O,,-1,-1),'현황'!O:S,2,false),0)</f>
        <v>0</v>
      </c>
      <c r="E389" s="51" t="s">
        <v>45</v>
      </c>
      <c r="F389" s="52" t="s">
        <v>34</v>
      </c>
      <c r="G389" s="83"/>
      <c r="H389" s="84"/>
      <c r="I389" s="85"/>
      <c r="J389" s="72"/>
      <c r="K389" s="73"/>
      <c r="L389" s="72"/>
      <c r="M389" s="73"/>
      <c r="N389" s="72"/>
      <c r="O389" s="73"/>
      <c r="P389" s="72"/>
      <c r="Q389" s="73"/>
      <c r="R389" s="72"/>
      <c r="S389" s="73"/>
      <c r="T389" s="72"/>
      <c r="U389" s="73"/>
      <c r="V389" s="72"/>
      <c r="W389" s="73"/>
      <c r="X389" s="72"/>
      <c r="Y389" s="73"/>
      <c r="Z389" s="74" t="b">
        <v>0</v>
      </c>
      <c r="AA389" s="130">
        <f t="shared" si="151"/>
        <v>0</v>
      </c>
      <c r="AB389" s="131">
        <f t="shared" si="152"/>
        <v>0</v>
      </c>
      <c r="AC389" s="132">
        <f t="shared" si="153"/>
        <v>0</v>
      </c>
      <c r="AD389" s="133">
        <f t="shared" si="154"/>
        <v>0</v>
      </c>
      <c r="AE389" s="131">
        <f t="shared" si="155"/>
        <v>0</v>
      </c>
      <c r="AF389" s="133">
        <f t="shared" si="156"/>
        <v>0</v>
      </c>
      <c r="AG389" s="1"/>
    </row>
    <row r="390" ht="21.0" customHeight="1">
      <c r="A390" s="1"/>
      <c r="B390" s="48" t="s">
        <v>46</v>
      </c>
      <c r="C390" s="49"/>
      <c r="D390" s="91">
        <f t="array" ref="D390">iferror(vlookup(xlookup(B380,'현황'!O:O,'현황'!O:O,,-1,-1),'현황'!O:S,3,false),0)</f>
        <v>0</v>
      </c>
      <c r="E390" s="66"/>
      <c r="F390" s="52" t="s">
        <v>37</v>
      </c>
      <c r="G390" s="67"/>
      <c r="H390" s="80"/>
      <c r="I390" s="69"/>
      <c r="J390" s="72"/>
      <c r="K390" s="73"/>
      <c r="L390" s="72"/>
      <c r="M390" s="73"/>
      <c r="N390" s="72"/>
      <c r="O390" s="73"/>
      <c r="P390" s="72"/>
      <c r="Q390" s="73"/>
      <c r="R390" s="72"/>
      <c r="S390" s="73"/>
      <c r="T390" s="72"/>
      <c r="U390" s="73"/>
      <c r="V390" s="72"/>
      <c r="W390" s="73"/>
      <c r="X390" s="72"/>
      <c r="Y390" s="73"/>
      <c r="Z390" s="74" t="b">
        <v>0</v>
      </c>
      <c r="AA390" s="130">
        <f t="shared" si="151"/>
        <v>0</v>
      </c>
      <c r="AB390" s="131">
        <f t="shared" si="152"/>
        <v>0</v>
      </c>
      <c r="AC390" s="132">
        <f t="shared" si="153"/>
        <v>0</v>
      </c>
      <c r="AD390" s="133">
        <f t="shared" si="154"/>
        <v>0</v>
      </c>
      <c r="AE390" s="131">
        <f t="shared" si="155"/>
        <v>0</v>
      </c>
      <c r="AF390" s="133">
        <f t="shared" si="156"/>
        <v>0</v>
      </c>
      <c r="AG390" s="1"/>
    </row>
    <row r="391" ht="21.0" customHeight="1">
      <c r="A391" s="1"/>
      <c r="B391" s="48" t="s">
        <v>47</v>
      </c>
      <c r="C391" s="49"/>
      <c r="D391" s="91">
        <f t="array" ref="D391">iferror(vlookup(xlookup(B380,'현황'!O:O,'현황'!O:O,,-1,-1),'현황'!O:S,4,false),0)</f>
        <v>0</v>
      </c>
      <c r="E391" s="41"/>
      <c r="F391" s="92" t="s">
        <v>40</v>
      </c>
      <c r="G391" s="79"/>
      <c r="H391" s="93"/>
      <c r="I391" s="94"/>
      <c r="J391" s="95"/>
      <c r="K391" s="96"/>
      <c r="L391" s="95"/>
      <c r="M391" s="96"/>
      <c r="N391" s="95"/>
      <c r="O391" s="96"/>
      <c r="P391" s="95"/>
      <c r="Q391" s="96"/>
      <c r="R391" s="95"/>
      <c r="S391" s="96"/>
      <c r="T391" s="95"/>
      <c r="U391" s="96"/>
      <c r="V391" s="95"/>
      <c r="W391" s="96"/>
      <c r="X391" s="95"/>
      <c r="Y391" s="96"/>
      <c r="Z391" s="97" t="b">
        <v>0</v>
      </c>
      <c r="AA391" s="135">
        <f t="shared" si="151"/>
        <v>0</v>
      </c>
      <c r="AB391" s="136">
        <f t="shared" si="152"/>
        <v>0</v>
      </c>
      <c r="AC391" s="137">
        <f t="shared" si="153"/>
        <v>0</v>
      </c>
      <c r="AD391" s="138">
        <f t="shared" si="154"/>
        <v>0</v>
      </c>
      <c r="AE391" s="136">
        <f t="shared" si="155"/>
        <v>0</v>
      </c>
      <c r="AF391" s="138">
        <f t="shared" si="156"/>
        <v>0</v>
      </c>
      <c r="AG391" s="1"/>
    </row>
    <row r="392" ht="21.0" customHeight="1">
      <c r="A392" s="1"/>
      <c r="B392" s="102" t="s">
        <v>48</v>
      </c>
      <c r="C392" s="103"/>
      <c r="D392" s="104">
        <f>iferror(D391/D389,0)</f>
        <v>0</v>
      </c>
      <c r="E392" s="102" t="s">
        <v>49</v>
      </c>
      <c r="F392" s="103"/>
      <c r="G392" s="105"/>
      <c r="H392" s="106" t="s">
        <v>50</v>
      </c>
      <c r="I392" s="107"/>
      <c r="J392" s="11"/>
      <c r="K392" s="11"/>
      <c r="L392" s="11"/>
      <c r="M392" s="11"/>
      <c r="N392" s="11"/>
      <c r="O392" s="11"/>
      <c r="P392" s="108" t="s">
        <v>51</v>
      </c>
      <c r="Q392" s="12"/>
      <c r="R392" s="109"/>
      <c r="S392" s="11"/>
      <c r="T392" s="11"/>
      <c r="U392" s="11"/>
      <c r="V392" s="11"/>
      <c r="W392" s="11"/>
      <c r="X392" s="11"/>
      <c r="Y392" s="11"/>
      <c r="Z392" s="12"/>
      <c r="AA392" s="139">
        <f>SUM(AA383:AA391)</f>
        <v>0</v>
      </c>
      <c r="AB392" s="140" t="s">
        <v>149</v>
      </c>
      <c r="AG392" s="1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1"/>
      <c r="AA393" s="1"/>
      <c r="AB393" s="1"/>
      <c r="AC393" s="3"/>
      <c r="AD393" s="1"/>
      <c r="AE393" s="1"/>
      <c r="AF393" s="1"/>
      <c r="AG393" s="1"/>
    </row>
    <row r="394" ht="21.0" customHeight="1">
      <c r="A394" s="1"/>
      <c r="B394" s="4" t="s">
        <v>1</v>
      </c>
      <c r="C394" s="5"/>
      <c r="D394" s="6" t="s">
        <v>2</v>
      </c>
      <c r="E394" s="7"/>
      <c r="F394" s="7"/>
      <c r="G394" s="5"/>
      <c r="H394" s="8" t="s">
        <v>3</v>
      </c>
      <c r="I394" s="8" t="s">
        <v>4</v>
      </c>
      <c r="J394" s="9" t="s">
        <v>5</v>
      </c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5"/>
      <c r="AA394" s="117" t="s">
        <v>6</v>
      </c>
      <c r="AB394" s="11"/>
      <c r="AC394" s="11"/>
      <c r="AD394" s="11"/>
      <c r="AE394" s="11"/>
      <c r="AF394" s="12"/>
      <c r="AG394" s="1"/>
    </row>
    <row r="395" ht="21.0" customHeight="1">
      <c r="A395" s="1"/>
      <c r="B395" s="149" t="s">
        <v>138</v>
      </c>
      <c r="C395" s="14" t="str">
        <f>if(B395="0/0","",choose(weekday(B395),"(일)","(월)","(화)","(수)","(목)","(금)","(토)"))</f>
        <v/>
      </c>
      <c r="D395" s="15" t="s">
        <v>7</v>
      </c>
      <c r="E395" s="16" t="s">
        <v>8</v>
      </c>
      <c r="F395" s="17"/>
      <c r="G395" s="18" t="s">
        <v>9</v>
      </c>
      <c r="H395" s="150" t="s">
        <v>139</v>
      </c>
      <c r="I395" s="151"/>
      <c r="J395" s="21" t="s">
        <v>12</v>
      </c>
      <c r="K395" s="22"/>
      <c r="L395" s="21" t="s">
        <v>13</v>
      </c>
      <c r="M395" s="22"/>
      <c r="N395" s="21" t="s">
        <v>14</v>
      </c>
      <c r="O395" s="22"/>
      <c r="P395" s="21" t="s">
        <v>15</v>
      </c>
      <c r="Q395" s="22"/>
      <c r="R395" s="23" t="s">
        <v>16</v>
      </c>
      <c r="S395" s="22"/>
      <c r="T395" s="23" t="s">
        <v>17</v>
      </c>
      <c r="U395" s="22"/>
      <c r="V395" s="23" t="s">
        <v>18</v>
      </c>
      <c r="W395" s="22"/>
      <c r="X395" s="23" t="s">
        <v>19</v>
      </c>
      <c r="Y395" s="22"/>
      <c r="Z395" s="24" t="s">
        <v>150</v>
      </c>
      <c r="AA395" s="118" t="s">
        <v>21</v>
      </c>
      <c r="AB395" s="119" t="s">
        <v>22</v>
      </c>
      <c r="AC395" s="7"/>
      <c r="AD395" s="22"/>
      <c r="AE395" s="120" t="s">
        <v>23</v>
      </c>
      <c r="AF395" s="22"/>
      <c r="AG395" s="1"/>
    </row>
    <row r="396" ht="21.0" customHeight="1">
      <c r="A396" s="1"/>
      <c r="B396" s="27">
        <f>iferror(B395-'현황'!$C$4+1,0)</f>
        <v>0</v>
      </c>
      <c r="C396" s="28"/>
      <c r="D396" s="29">
        <v>0.0</v>
      </c>
      <c r="E396" s="30">
        <v>0.0</v>
      </c>
      <c r="F396" s="31"/>
      <c r="G396" s="32">
        <v>0.0</v>
      </c>
      <c r="H396" s="33">
        <v>0.0</v>
      </c>
      <c r="I396" s="34"/>
      <c r="J396" s="35"/>
      <c r="K396" s="36"/>
      <c r="L396" s="35"/>
      <c r="M396" s="36"/>
      <c r="N396" s="35"/>
      <c r="O396" s="36"/>
      <c r="P396" s="35"/>
      <c r="Q396" s="36"/>
      <c r="R396" s="35"/>
      <c r="S396" s="36"/>
      <c r="T396" s="35"/>
      <c r="U396" s="36"/>
      <c r="V396" s="35"/>
      <c r="W396" s="36"/>
      <c r="X396" s="35"/>
      <c r="Y396" s="36"/>
      <c r="Z396" s="37"/>
      <c r="AA396" s="37"/>
      <c r="AB396" s="35"/>
      <c r="AC396" s="38"/>
      <c r="AD396" s="36"/>
      <c r="AE396" s="35"/>
      <c r="AF396" s="36"/>
      <c r="AG396" s="1"/>
    </row>
    <row r="397" ht="21.0" customHeight="1">
      <c r="A397" s="1"/>
      <c r="B397" s="39" t="s">
        <v>24</v>
      </c>
      <c r="C397" s="40"/>
      <c r="D397" s="41"/>
      <c r="E397" s="42" t="s">
        <v>25</v>
      </c>
      <c r="F397" s="40"/>
      <c r="G397" s="41"/>
      <c r="H397" s="43" t="s">
        <v>26</v>
      </c>
      <c r="J397" s="44" t="s">
        <v>27</v>
      </c>
      <c r="K397" s="45" t="s">
        <v>28</v>
      </c>
      <c r="L397" s="44" t="s">
        <v>27</v>
      </c>
      <c r="M397" s="45" t="s">
        <v>28</v>
      </c>
      <c r="N397" s="44" t="s">
        <v>27</v>
      </c>
      <c r="O397" s="45" t="s">
        <v>28</v>
      </c>
      <c r="P397" s="44" t="s">
        <v>27</v>
      </c>
      <c r="Q397" s="45" t="s">
        <v>28</v>
      </c>
      <c r="R397" s="44" t="s">
        <v>27</v>
      </c>
      <c r="S397" s="45" t="s">
        <v>28</v>
      </c>
      <c r="T397" s="44" t="s">
        <v>27</v>
      </c>
      <c r="U397" s="45" t="s">
        <v>28</v>
      </c>
      <c r="V397" s="44" t="s">
        <v>27</v>
      </c>
      <c r="W397" s="45" t="s">
        <v>28</v>
      </c>
      <c r="X397" s="44" t="s">
        <v>27</v>
      </c>
      <c r="Y397" s="45" t="s">
        <v>28</v>
      </c>
      <c r="Z397" s="46"/>
      <c r="AA397" s="46"/>
      <c r="AB397" s="121" t="s">
        <v>29</v>
      </c>
      <c r="AC397" s="122" t="s">
        <v>30</v>
      </c>
      <c r="AD397" s="123" t="s">
        <v>31</v>
      </c>
      <c r="AE397" s="121" t="s">
        <v>27</v>
      </c>
      <c r="AF397" s="123" t="s">
        <v>28</v>
      </c>
      <c r="AG397" s="1"/>
    </row>
    <row r="398" ht="21.0" customHeight="1">
      <c r="A398" s="1"/>
      <c r="B398" s="48" t="s">
        <v>32</v>
      </c>
      <c r="C398" s="49"/>
      <c r="D398" s="50"/>
      <c r="E398" s="51" t="s">
        <v>33</v>
      </c>
      <c r="F398" s="52" t="s">
        <v>34</v>
      </c>
      <c r="G398" s="53"/>
      <c r="H398" s="148"/>
      <c r="I398" s="55"/>
      <c r="J398" s="58"/>
      <c r="K398" s="59"/>
      <c r="L398" s="58"/>
      <c r="M398" s="59"/>
      <c r="N398" s="58"/>
      <c r="O398" s="59"/>
      <c r="P398" s="58"/>
      <c r="Q398" s="59"/>
      <c r="R398" s="58"/>
      <c r="S398" s="59"/>
      <c r="T398" s="58"/>
      <c r="U398" s="59"/>
      <c r="V398" s="58"/>
      <c r="W398" s="59"/>
      <c r="X398" s="58"/>
      <c r="Y398" s="59"/>
      <c r="Z398" s="60" t="b">
        <v>0</v>
      </c>
      <c r="AA398" s="125">
        <f t="shared" ref="AA398:AA406" si="157">(J398*K398+L398*M398+N398*O398+P398*Q398+R398*S398+T398*U398+V398*W398+X398*Y398)*if(Z398=true,0.453592,1)</f>
        <v>0</v>
      </c>
      <c r="AB398" s="126">
        <f t="shared" ref="AB398:AB406" si="158">SUM(AE398*AF398*0.025,AE398)</f>
        <v>0</v>
      </c>
      <c r="AC398" s="127">
        <f t="shared" ref="AC398:AC406" si="159">AB398*87%</f>
        <v>0</v>
      </c>
      <c r="AD398" s="128">
        <f t="shared" ref="AD398:AD406" si="160">AB398*67%</f>
        <v>0</v>
      </c>
      <c r="AE398" s="126">
        <f t="shared" ref="AE398:AE406" si="161">MAX(J398,L398,N398,P398,R398,T398,V398,X398)*if(Z398=true,0.453592,1)</f>
        <v>0</v>
      </c>
      <c r="AF398" s="128">
        <f t="shared" ref="AF398:AF406" si="162">MAX(IF(J398*if(Z398=true,0.453592,1)=$AE398,K398,0),IF(L398*if(Z398=true,0.453592,1)=$AE398,M398,0),IF(N398*if(Z398=true,0.453592,1)=$AE398,O398,0),IF(P398*if(Z398=true,0.453592,1)=$AE398,Q398,0),IF(R398*if(Z398=true,0.453592,1)=$AE398,S398,0),IF(T398*if(Z398=true,0.453592,1)=$AE398,U398,0),IF(V398*if(Z398=true,0.453592,1)=$AE398,W398,0),IF(X398*if(Z398=true,0.453592,1)=$AE398,Y398,0))</f>
        <v>0</v>
      </c>
      <c r="AG398" s="1"/>
    </row>
    <row r="399" ht="21.0" customHeight="1">
      <c r="A399" s="1"/>
      <c r="B399" s="48" t="s">
        <v>36</v>
      </c>
      <c r="C399" s="49"/>
      <c r="D399" s="65"/>
      <c r="E399" s="66"/>
      <c r="F399" s="52" t="s">
        <v>37</v>
      </c>
      <c r="G399" s="67"/>
      <c r="H399" s="129"/>
      <c r="I399" s="69"/>
      <c r="J399" s="72"/>
      <c r="K399" s="73"/>
      <c r="L399" s="72"/>
      <c r="M399" s="73"/>
      <c r="N399" s="72"/>
      <c r="O399" s="73"/>
      <c r="P399" s="72"/>
      <c r="Q399" s="73"/>
      <c r="R399" s="72"/>
      <c r="S399" s="73"/>
      <c r="T399" s="72"/>
      <c r="U399" s="73"/>
      <c r="V399" s="72"/>
      <c r="W399" s="73"/>
      <c r="X399" s="72"/>
      <c r="Y399" s="73"/>
      <c r="Z399" s="74" t="b">
        <v>0</v>
      </c>
      <c r="AA399" s="130">
        <f t="shared" si="157"/>
        <v>0</v>
      </c>
      <c r="AB399" s="131">
        <f t="shared" si="158"/>
        <v>0</v>
      </c>
      <c r="AC399" s="132">
        <f t="shared" si="159"/>
        <v>0</v>
      </c>
      <c r="AD399" s="133">
        <f t="shared" si="160"/>
        <v>0</v>
      </c>
      <c r="AE399" s="131">
        <f t="shared" si="161"/>
        <v>0</v>
      </c>
      <c r="AF399" s="133">
        <f t="shared" si="162"/>
        <v>0</v>
      </c>
      <c r="AG399" s="1"/>
    </row>
    <row r="400" ht="21.0" customHeight="1">
      <c r="A400" s="1"/>
      <c r="B400" s="48" t="s">
        <v>39</v>
      </c>
      <c r="C400" s="49"/>
      <c r="D400" s="65"/>
      <c r="E400" s="41"/>
      <c r="F400" s="52" t="s">
        <v>40</v>
      </c>
      <c r="G400" s="79"/>
      <c r="H400" s="80"/>
      <c r="I400" s="69"/>
      <c r="J400" s="72"/>
      <c r="K400" s="73"/>
      <c r="L400" s="72"/>
      <c r="M400" s="73"/>
      <c r="N400" s="72"/>
      <c r="O400" s="73"/>
      <c r="P400" s="72"/>
      <c r="Q400" s="73"/>
      <c r="R400" s="72"/>
      <c r="S400" s="73"/>
      <c r="T400" s="72"/>
      <c r="U400" s="73"/>
      <c r="V400" s="72"/>
      <c r="W400" s="73"/>
      <c r="X400" s="72"/>
      <c r="Y400" s="73"/>
      <c r="Z400" s="74" t="b">
        <v>0</v>
      </c>
      <c r="AA400" s="130">
        <f t="shared" si="157"/>
        <v>0</v>
      </c>
      <c r="AB400" s="131">
        <f t="shared" si="158"/>
        <v>0</v>
      </c>
      <c r="AC400" s="132">
        <f t="shared" si="159"/>
        <v>0</v>
      </c>
      <c r="AD400" s="133">
        <f t="shared" si="160"/>
        <v>0</v>
      </c>
      <c r="AE400" s="131">
        <f t="shared" si="161"/>
        <v>0</v>
      </c>
      <c r="AF400" s="133">
        <f t="shared" si="162"/>
        <v>0</v>
      </c>
      <c r="AG400" s="1"/>
    </row>
    <row r="401" ht="21.0" customHeight="1">
      <c r="A401" s="1"/>
      <c r="B401" s="48" t="s">
        <v>41</v>
      </c>
      <c r="C401" s="81"/>
      <c r="D401" s="82" t="b">
        <v>0</v>
      </c>
      <c r="E401" s="51" t="s">
        <v>42</v>
      </c>
      <c r="F401" s="52" t="s">
        <v>34</v>
      </c>
      <c r="G401" s="83"/>
      <c r="H401" s="84"/>
      <c r="I401" s="85"/>
      <c r="J401" s="72"/>
      <c r="K401" s="73"/>
      <c r="L401" s="72"/>
      <c r="M401" s="73"/>
      <c r="N401" s="72"/>
      <c r="O401" s="73"/>
      <c r="P401" s="72"/>
      <c r="Q401" s="73"/>
      <c r="R401" s="72"/>
      <c r="S401" s="73"/>
      <c r="T401" s="72"/>
      <c r="U401" s="73"/>
      <c r="V401" s="72"/>
      <c r="W401" s="73"/>
      <c r="X401" s="72"/>
      <c r="Y401" s="73"/>
      <c r="Z401" s="74" t="b">
        <v>0</v>
      </c>
      <c r="AA401" s="130">
        <f t="shared" si="157"/>
        <v>0</v>
      </c>
      <c r="AB401" s="131">
        <f t="shared" si="158"/>
        <v>0</v>
      </c>
      <c r="AC401" s="132">
        <f t="shared" si="159"/>
        <v>0</v>
      </c>
      <c r="AD401" s="133">
        <f t="shared" si="160"/>
        <v>0</v>
      </c>
      <c r="AE401" s="131">
        <f t="shared" si="161"/>
        <v>0</v>
      </c>
      <c r="AF401" s="133">
        <f t="shared" si="162"/>
        <v>0</v>
      </c>
      <c r="AG401" s="1"/>
    </row>
    <row r="402" ht="21.0" customHeight="1">
      <c r="A402" s="1"/>
      <c r="B402" s="48" t="s">
        <v>43</v>
      </c>
      <c r="C402" s="49"/>
      <c r="D402" s="86" t="b">
        <v>0</v>
      </c>
      <c r="E402" s="66"/>
      <c r="F402" s="52" t="s">
        <v>37</v>
      </c>
      <c r="G402" s="67"/>
      <c r="H402" s="80"/>
      <c r="I402" s="69"/>
      <c r="J402" s="72"/>
      <c r="K402" s="73"/>
      <c r="L402" s="72"/>
      <c r="M402" s="73"/>
      <c r="N402" s="72"/>
      <c r="O402" s="73"/>
      <c r="P402" s="72"/>
      <c r="Q402" s="73"/>
      <c r="R402" s="72"/>
      <c r="S402" s="73"/>
      <c r="T402" s="72"/>
      <c r="U402" s="73"/>
      <c r="V402" s="72"/>
      <c r="W402" s="73"/>
      <c r="X402" s="72"/>
      <c r="Y402" s="73"/>
      <c r="Z402" s="74" t="b">
        <v>0</v>
      </c>
      <c r="AA402" s="130">
        <f t="shared" si="157"/>
        <v>0</v>
      </c>
      <c r="AB402" s="131">
        <f t="shared" si="158"/>
        <v>0</v>
      </c>
      <c r="AC402" s="132">
        <f t="shared" si="159"/>
        <v>0</v>
      </c>
      <c r="AD402" s="133">
        <f t="shared" si="160"/>
        <v>0</v>
      </c>
      <c r="AE402" s="131">
        <f t="shared" si="161"/>
        <v>0</v>
      </c>
      <c r="AF402" s="133">
        <f t="shared" si="162"/>
        <v>0</v>
      </c>
      <c r="AG402" s="1"/>
    </row>
    <row r="403" ht="21.0" customHeight="1">
      <c r="A403" s="1"/>
      <c r="B403" s="87" t="str">
        <f t="array" ref="B403">"📌최근 인바디 결과 : "&amp;text(xlookup(B395,'현황'!O:O,'현황'!O:O,,-1,-1),"m/d(ddd)")</f>
        <v>#REF!</v>
      </c>
      <c r="C403" s="88"/>
      <c r="D403" s="49"/>
      <c r="E403" s="41"/>
      <c r="F403" s="52" t="s">
        <v>40</v>
      </c>
      <c r="G403" s="79"/>
      <c r="H403" s="80"/>
      <c r="I403" s="69"/>
      <c r="J403" s="72"/>
      <c r="K403" s="73"/>
      <c r="L403" s="72"/>
      <c r="M403" s="73"/>
      <c r="N403" s="72"/>
      <c r="O403" s="73"/>
      <c r="P403" s="72"/>
      <c r="Q403" s="73"/>
      <c r="R403" s="72"/>
      <c r="S403" s="73"/>
      <c r="T403" s="72"/>
      <c r="U403" s="73"/>
      <c r="V403" s="72"/>
      <c r="W403" s="73"/>
      <c r="X403" s="72"/>
      <c r="Y403" s="73"/>
      <c r="Z403" s="74" t="b">
        <v>0</v>
      </c>
      <c r="AA403" s="130">
        <f t="shared" si="157"/>
        <v>0</v>
      </c>
      <c r="AB403" s="131">
        <f t="shared" si="158"/>
        <v>0</v>
      </c>
      <c r="AC403" s="132">
        <f t="shared" si="159"/>
        <v>0</v>
      </c>
      <c r="AD403" s="133">
        <f t="shared" si="160"/>
        <v>0</v>
      </c>
      <c r="AE403" s="131">
        <f t="shared" si="161"/>
        <v>0</v>
      </c>
      <c r="AF403" s="133">
        <f t="shared" si="162"/>
        <v>0</v>
      </c>
      <c r="AG403" s="1"/>
    </row>
    <row r="404" ht="21.0" customHeight="1">
      <c r="A404" s="1"/>
      <c r="B404" s="89" t="s">
        <v>44</v>
      </c>
      <c r="C404" s="49"/>
      <c r="D404" s="90">
        <f t="array" ref="D404">iferror(vlookup(xlookup(B395,'현황'!O:O,'현황'!O:O,,-1,-1),'현황'!O:S,2,false),0)</f>
        <v>0</v>
      </c>
      <c r="E404" s="51" t="s">
        <v>45</v>
      </c>
      <c r="F404" s="52" t="s">
        <v>34</v>
      </c>
      <c r="G404" s="83"/>
      <c r="H404" s="84"/>
      <c r="I404" s="85"/>
      <c r="J404" s="72"/>
      <c r="K404" s="73"/>
      <c r="L404" s="72"/>
      <c r="M404" s="73"/>
      <c r="N404" s="72"/>
      <c r="O404" s="73"/>
      <c r="P404" s="72"/>
      <c r="Q404" s="73"/>
      <c r="R404" s="72"/>
      <c r="S404" s="73"/>
      <c r="T404" s="72"/>
      <c r="U404" s="73"/>
      <c r="V404" s="72"/>
      <c r="W404" s="73"/>
      <c r="X404" s="72"/>
      <c r="Y404" s="73"/>
      <c r="Z404" s="74" t="b">
        <v>0</v>
      </c>
      <c r="AA404" s="130">
        <f t="shared" si="157"/>
        <v>0</v>
      </c>
      <c r="AB404" s="131">
        <f t="shared" si="158"/>
        <v>0</v>
      </c>
      <c r="AC404" s="132">
        <f t="shared" si="159"/>
        <v>0</v>
      </c>
      <c r="AD404" s="133">
        <f t="shared" si="160"/>
        <v>0</v>
      </c>
      <c r="AE404" s="131">
        <f t="shared" si="161"/>
        <v>0</v>
      </c>
      <c r="AF404" s="133">
        <f t="shared" si="162"/>
        <v>0</v>
      </c>
      <c r="AG404" s="1"/>
    </row>
    <row r="405" ht="21.0" customHeight="1">
      <c r="A405" s="1"/>
      <c r="B405" s="48" t="s">
        <v>46</v>
      </c>
      <c r="C405" s="49"/>
      <c r="D405" s="91">
        <f t="array" ref="D405">iferror(vlookup(xlookup(B395,'현황'!O:O,'현황'!O:O,,-1,-1),'현황'!O:S,3,false),0)</f>
        <v>0</v>
      </c>
      <c r="E405" s="66"/>
      <c r="F405" s="52" t="s">
        <v>37</v>
      </c>
      <c r="G405" s="67"/>
      <c r="H405" s="80"/>
      <c r="I405" s="69"/>
      <c r="J405" s="72"/>
      <c r="K405" s="73"/>
      <c r="L405" s="72"/>
      <c r="M405" s="73"/>
      <c r="N405" s="72"/>
      <c r="O405" s="73"/>
      <c r="P405" s="72"/>
      <c r="Q405" s="73"/>
      <c r="R405" s="72"/>
      <c r="S405" s="73"/>
      <c r="T405" s="72"/>
      <c r="U405" s="73"/>
      <c r="V405" s="72"/>
      <c r="W405" s="73"/>
      <c r="X405" s="72"/>
      <c r="Y405" s="73"/>
      <c r="Z405" s="74" t="b">
        <v>0</v>
      </c>
      <c r="AA405" s="130">
        <f t="shared" si="157"/>
        <v>0</v>
      </c>
      <c r="AB405" s="131">
        <f t="shared" si="158"/>
        <v>0</v>
      </c>
      <c r="AC405" s="132">
        <f t="shared" si="159"/>
        <v>0</v>
      </c>
      <c r="AD405" s="133">
        <f t="shared" si="160"/>
        <v>0</v>
      </c>
      <c r="AE405" s="131">
        <f t="shared" si="161"/>
        <v>0</v>
      </c>
      <c r="AF405" s="133">
        <f t="shared" si="162"/>
        <v>0</v>
      </c>
      <c r="AG405" s="1"/>
    </row>
    <row r="406" ht="21.0" customHeight="1">
      <c r="A406" s="1"/>
      <c r="B406" s="48" t="s">
        <v>47</v>
      </c>
      <c r="C406" s="49"/>
      <c r="D406" s="91">
        <f t="array" ref="D406">iferror(vlookup(xlookup(B395,'현황'!O:O,'현황'!O:O,,-1,-1),'현황'!O:S,4,false),0)</f>
        <v>0</v>
      </c>
      <c r="E406" s="41"/>
      <c r="F406" s="92" t="s">
        <v>40</v>
      </c>
      <c r="G406" s="79"/>
      <c r="H406" s="93"/>
      <c r="I406" s="94"/>
      <c r="J406" s="95"/>
      <c r="K406" s="96"/>
      <c r="L406" s="95"/>
      <c r="M406" s="96"/>
      <c r="N406" s="95"/>
      <c r="O406" s="96"/>
      <c r="P406" s="95"/>
      <c r="Q406" s="96"/>
      <c r="R406" s="95"/>
      <c r="S406" s="96"/>
      <c r="T406" s="95"/>
      <c r="U406" s="96"/>
      <c r="V406" s="95"/>
      <c r="W406" s="96"/>
      <c r="X406" s="95"/>
      <c r="Y406" s="96"/>
      <c r="Z406" s="97" t="b">
        <v>0</v>
      </c>
      <c r="AA406" s="135">
        <f t="shared" si="157"/>
        <v>0</v>
      </c>
      <c r="AB406" s="136">
        <f t="shared" si="158"/>
        <v>0</v>
      </c>
      <c r="AC406" s="137">
        <f t="shared" si="159"/>
        <v>0</v>
      </c>
      <c r="AD406" s="138">
        <f t="shared" si="160"/>
        <v>0</v>
      </c>
      <c r="AE406" s="136">
        <f t="shared" si="161"/>
        <v>0</v>
      </c>
      <c r="AF406" s="138">
        <f t="shared" si="162"/>
        <v>0</v>
      </c>
      <c r="AG406" s="1"/>
    </row>
    <row r="407" ht="21.0" customHeight="1">
      <c r="A407" s="1"/>
      <c r="B407" s="102" t="s">
        <v>48</v>
      </c>
      <c r="C407" s="103"/>
      <c r="D407" s="104">
        <f>iferror(D406/D404,0)</f>
        <v>0</v>
      </c>
      <c r="E407" s="102" t="s">
        <v>49</v>
      </c>
      <c r="F407" s="103"/>
      <c r="G407" s="105"/>
      <c r="H407" s="106" t="s">
        <v>50</v>
      </c>
      <c r="I407" s="107"/>
      <c r="J407" s="11"/>
      <c r="K407" s="11"/>
      <c r="L407" s="11"/>
      <c r="M407" s="11"/>
      <c r="N407" s="11"/>
      <c r="O407" s="11"/>
      <c r="P407" s="108" t="s">
        <v>51</v>
      </c>
      <c r="Q407" s="12"/>
      <c r="R407" s="109"/>
      <c r="S407" s="11"/>
      <c r="T407" s="11"/>
      <c r="U407" s="11"/>
      <c r="V407" s="11"/>
      <c r="W407" s="11"/>
      <c r="X407" s="11"/>
      <c r="Y407" s="11"/>
      <c r="Z407" s="12"/>
      <c r="AA407" s="139">
        <f>SUM(AA398:AA406)</f>
        <v>0</v>
      </c>
      <c r="AB407" s="140" t="s">
        <v>151</v>
      </c>
      <c r="AG407" s="1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1"/>
      <c r="AA408" s="1"/>
      <c r="AB408" s="1"/>
      <c r="AC408" s="3"/>
      <c r="AD408" s="1"/>
      <c r="AE408" s="1"/>
      <c r="AF408" s="1"/>
      <c r="AG408" s="1"/>
    </row>
    <row r="409" ht="21.0" customHeight="1">
      <c r="A409" s="1"/>
      <c r="B409" s="4" t="s">
        <v>1</v>
      </c>
      <c r="C409" s="5"/>
      <c r="D409" s="6" t="s">
        <v>2</v>
      </c>
      <c r="E409" s="7"/>
      <c r="F409" s="7"/>
      <c r="G409" s="5"/>
      <c r="H409" s="8" t="s">
        <v>3</v>
      </c>
      <c r="I409" s="8" t="s">
        <v>4</v>
      </c>
      <c r="J409" s="9" t="s">
        <v>5</v>
      </c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5"/>
      <c r="AA409" s="117" t="s">
        <v>6</v>
      </c>
      <c r="AB409" s="11"/>
      <c r="AC409" s="11"/>
      <c r="AD409" s="11"/>
      <c r="AE409" s="11"/>
      <c r="AF409" s="12"/>
      <c r="AG409" s="1"/>
    </row>
    <row r="410" ht="21.0" customHeight="1">
      <c r="A410" s="1"/>
      <c r="B410" s="149" t="s">
        <v>138</v>
      </c>
      <c r="C410" s="14" t="str">
        <f>if(B410="0/0","",choose(weekday(B410),"(일)","(월)","(화)","(수)","(목)","(금)","(토)"))</f>
        <v/>
      </c>
      <c r="D410" s="15" t="s">
        <v>7</v>
      </c>
      <c r="E410" s="16" t="s">
        <v>8</v>
      </c>
      <c r="F410" s="17"/>
      <c r="G410" s="18" t="s">
        <v>9</v>
      </c>
      <c r="H410" s="150" t="s">
        <v>139</v>
      </c>
      <c r="I410" s="151"/>
      <c r="J410" s="21" t="s">
        <v>12</v>
      </c>
      <c r="K410" s="22"/>
      <c r="L410" s="21" t="s">
        <v>13</v>
      </c>
      <c r="M410" s="22"/>
      <c r="N410" s="21" t="s">
        <v>14</v>
      </c>
      <c r="O410" s="22"/>
      <c r="P410" s="21" t="s">
        <v>15</v>
      </c>
      <c r="Q410" s="22"/>
      <c r="R410" s="23" t="s">
        <v>16</v>
      </c>
      <c r="S410" s="22"/>
      <c r="T410" s="23" t="s">
        <v>17</v>
      </c>
      <c r="U410" s="22"/>
      <c r="V410" s="23" t="s">
        <v>18</v>
      </c>
      <c r="W410" s="22"/>
      <c r="X410" s="23" t="s">
        <v>19</v>
      </c>
      <c r="Y410" s="22"/>
      <c r="Z410" s="24" t="s">
        <v>152</v>
      </c>
      <c r="AA410" s="118" t="s">
        <v>21</v>
      </c>
      <c r="AB410" s="119" t="s">
        <v>22</v>
      </c>
      <c r="AC410" s="7"/>
      <c r="AD410" s="22"/>
      <c r="AE410" s="120" t="s">
        <v>23</v>
      </c>
      <c r="AF410" s="22"/>
      <c r="AG410" s="1"/>
    </row>
    <row r="411" ht="21.0" customHeight="1">
      <c r="A411" s="1"/>
      <c r="B411" s="27">
        <f>iferror(B410-'현황'!$C$4+1,0)</f>
        <v>0</v>
      </c>
      <c r="C411" s="28"/>
      <c r="D411" s="29">
        <v>0.0</v>
      </c>
      <c r="E411" s="30">
        <v>0.0</v>
      </c>
      <c r="F411" s="31"/>
      <c r="G411" s="32">
        <v>0.0</v>
      </c>
      <c r="H411" s="33">
        <v>0.0</v>
      </c>
      <c r="I411" s="34"/>
      <c r="J411" s="35"/>
      <c r="K411" s="36"/>
      <c r="L411" s="35"/>
      <c r="M411" s="36"/>
      <c r="N411" s="35"/>
      <c r="O411" s="36"/>
      <c r="P411" s="35"/>
      <c r="Q411" s="36"/>
      <c r="R411" s="35"/>
      <c r="S411" s="36"/>
      <c r="T411" s="35"/>
      <c r="U411" s="36"/>
      <c r="V411" s="35"/>
      <c r="W411" s="36"/>
      <c r="X411" s="35"/>
      <c r="Y411" s="36"/>
      <c r="Z411" s="37"/>
      <c r="AA411" s="37"/>
      <c r="AB411" s="35"/>
      <c r="AC411" s="38"/>
      <c r="AD411" s="36"/>
      <c r="AE411" s="35"/>
      <c r="AF411" s="36"/>
      <c r="AG411" s="1"/>
    </row>
    <row r="412" ht="21.0" customHeight="1">
      <c r="A412" s="1"/>
      <c r="B412" s="39" t="s">
        <v>24</v>
      </c>
      <c r="C412" s="40"/>
      <c r="D412" s="41"/>
      <c r="E412" s="42" t="s">
        <v>25</v>
      </c>
      <c r="F412" s="40"/>
      <c r="G412" s="41"/>
      <c r="H412" s="43" t="s">
        <v>26</v>
      </c>
      <c r="J412" s="44" t="s">
        <v>27</v>
      </c>
      <c r="K412" s="45" t="s">
        <v>28</v>
      </c>
      <c r="L412" s="44" t="s">
        <v>27</v>
      </c>
      <c r="M412" s="45" t="s">
        <v>28</v>
      </c>
      <c r="N412" s="44" t="s">
        <v>27</v>
      </c>
      <c r="O412" s="45" t="s">
        <v>28</v>
      </c>
      <c r="P412" s="44" t="s">
        <v>27</v>
      </c>
      <c r="Q412" s="45" t="s">
        <v>28</v>
      </c>
      <c r="R412" s="44" t="s">
        <v>27</v>
      </c>
      <c r="S412" s="45" t="s">
        <v>28</v>
      </c>
      <c r="T412" s="44" t="s">
        <v>27</v>
      </c>
      <c r="U412" s="45" t="s">
        <v>28</v>
      </c>
      <c r="V412" s="44" t="s">
        <v>27</v>
      </c>
      <c r="W412" s="45" t="s">
        <v>28</v>
      </c>
      <c r="X412" s="44" t="s">
        <v>27</v>
      </c>
      <c r="Y412" s="45" t="s">
        <v>28</v>
      </c>
      <c r="Z412" s="46"/>
      <c r="AA412" s="46"/>
      <c r="AB412" s="121" t="s">
        <v>29</v>
      </c>
      <c r="AC412" s="122" t="s">
        <v>30</v>
      </c>
      <c r="AD412" s="123" t="s">
        <v>31</v>
      </c>
      <c r="AE412" s="121" t="s">
        <v>27</v>
      </c>
      <c r="AF412" s="123" t="s">
        <v>28</v>
      </c>
      <c r="AG412" s="1"/>
    </row>
    <row r="413" ht="21.0" customHeight="1">
      <c r="A413" s="1"/>
      <c r="B413" s="48" t="s">
        <v>32</v>
      </c>
      <c r="C413" s="49"/>
      <c r="D413" s="50"/>
      <c r="E413" s="51" t="s">
        <v>33</v>
      </c>
      <c r="F413" s="52" t="s">
        <v>34</v>
      </c>
      <c r="G413" s="53"/>
      <c r="H413" s="148"/>
      <c r="I413" s="55"/>
      <c r="J413" s="58"/>
      <c r="K413" s="59"/>
      <c r="L413" s="58"/>
      <c r="M413" s="59"/>
      <c r="N413" s="58"/>
      <c r="O413" s="59"/>
      <c r="P413" s="58"/>
      <c r="Q413" s="59"/>
      <c r="R413" s="58"/>
      <c r="S413" s="59"/>
      <c r="T413" s="58"/>
      <c r="U413" s="59"/>
      <c r="V413" s="58"/>
      <c r="W413" s="59"/>
      <c r="X413" s="58"/>
      <c r="Y413" s="59"/>
      <c r="Z413" s="60" t="b">
        <v>0</v>
      </c>
      <c r="AA413" s="125">
        <f t="shared" ref="AA413:AA421" si="163">(J413*K413+L413*M413+N413*O413+P413*Q413+R413*S413+T413*U413+V413*W413+X413*Y413)*if(Z413=true,0.453592,1)</f>
        <v>0</v>
      </c>
      <c r="AB413" s="126">
        <f t="shared" ref="AB413:AB421" si="164">SUM(AE413*AF413*0.025,AE413)</f>
        <v>0</v>
      </c>
      <c r="AC413" s="127">
        <f t="shared" ref="AC413:AC421" si="165">AB413*87%</f>
        <v>0</v>
      </c>
      <c r="AD413" s="128">
        <f t="shared" ref="AD413:AD421" si="166">AB413*67%</f>
        <v>0</v>
      </c>
      <c r="AE413" s="126">
        <f t="shared" ref="AE413:AE421" si="167">MAX(J413,L413,N413,P413,R413,T413,V413,X413)*if(Z413=true,0.453592,1)</f>
        <v>0</v>
      </c>
      <c r="AF413" s="128">
        <f t="shared" ref="AF413:AF421" si="168">MAX(IF(J413*if(Z413=true,0.453592,1)=$AE413,K413,0),IF(L413*if(Z413=true,0.453592,1)=$AE413,M413,0),IF(N413*if(Z413=true,0.453592,1)=$AE413,O413,0),IF(P413*if(Z413=true,0.453592,1)=$AE413,Q413,0),IF(R413*if(Z413=true,0.453592,1)=$AE413,S413,0),IF(T413*if(Z413=true,0.453592,1)=$AE413,U413,0),IF(V413*if(Z413=true,0.453592,1)=$AE413,W413,0),IF(X413*if(Z413=true,0.453592,1)=$AE413,Y413,0))</f>
        <v>0</v>
      </c>
      <c r="AG413" s="1"/>
    </row>
    <row r="414" ht="21.0" customHeight="1">
      <c r="A414" s="1"/>
      <c r="B414" s="48" t="s">
        <v>36</v>
      </c>
      <c r="C414" s="49"/>
      <c r="D414" s="65"/>
      <c r="E414" s="66"/>
      <c r="F414" s="52" t="s">
        <v>37</v>
      </c>
      <c r="G414" s="67"/>
      <c r="H414" s="129"/>
      <c r="I414" s="69"/>
      <c r="J414" s="72"/>
      <c r="K414" s="73"/>
      <c r="L414" s="72"/>
      <c r="M414" s="73"/>
      <c r="N414" s="72"/>
      <c r="O414" s="73"/>
      <c r="P414" s="72"/>
      <c r="Q414" s="73"/>
      <c r="R414" s="72"/>
      <c r="S414" s="73"/>
      <c r="T414" s="72"/>
      <c r="U414" s="73"/>
      <c r="V414" s="72"/>
      <c r="W414" s="73"/>
      <c r="X414" s="72"/>
      <c r="Y414" s="73"/>
      <c r="Z414" s="74" t="b">
        <v>0</v>
      </c>
      <c r="AA414" s="130">
        <f t="shared" si="163"/>
        <v>0</v>
      </c>
      <c r="AB414" s="131">
        <f t="shared" si="164"/>
        <v>0</v>
      </c>
      <c r="AC414" s="132">
        <f t="shared" si="165"/>
        <v>0</v>
      </c>
      <c r="AD414" s="133">
        <f t="shared" si="166"/>
        <v>0</v>
      </c>
      <c r="AE414" s="131">
        <f t="shared" si="167"/>
        <v>0</v>
      </c>
      <c r="AF414" s="133">
        <f t="shared" si="168"/>
        <v>0</v>
      </c>
      <c r="AG414" s="1"/>
    </row>
    <row r="415" ht="21.0" customHeight="1">
      <c r="A415" s="1"/>
      <c r="B415" s="48" t="s">
        <v>39</v>
      </c>
      <c r="C415" s="49"/>
      <c r="D415" s="65"/>
      <c r="E415" s="41"/>
      <c r="F415" s="52" t="s">
        <v>40</v>
      </c>
      <c r="G415" s="79"/>
      <c r="H415" s="80"/>
      <c r="I415" s="69"/>
      <c r="J415" s="72"/>
      <c r="K415" s="73"/>
      <c r="L415" s="72"/>
      <c r="M415" s="73"/>
      <c r="N415" s="72"/>
      <c r="O415" s="73"/>
      <c r="P415" s="72"/>
      <c r="Q415" s="73"/>
      <c r="R415" s="72"/>
      <c r="S415" s="73"/>
      <c r="T415" s="72"/>
      <c r="U415" s="73"/>
      <c r="V415" s="72"/>
      <c r="W415" s="73"/>
      <c r="X415" s="72"/>
      <c r="Y415" s="73"/>
      <c r="Z415" s="74" t="b">
        <v>0</v>
      </c>
      <c r="AA415" s="130">
        <f t="shared" si="163"/>
        <v>0</v>
      </c>
      <c r="AB415" s="131">
        <f t="shared" si="164"/>
        <v>0</v>
      </c>
      <c r="AC415" s="132">
        <f t="shared" si="165"/>
        <v>0</v>
      </c>
      <c r="AD415" s="133">
        <f t="shared" si="166"/>
        <v>0</v>
      </c>
      <c r="AE415" s="131">
        <f t="shared" si="167"/>
        <v>0</v>
      </c>
      <c r="AF415" s="133">
        <f t="shared" si="168"/>
        <v>0</v>
      </c>
      <c r="AG415" s="1"/>
    </row>
    <row r="416" ht="21.0" customHeight="1">
      <c r="A416" s="1"/>
      <c r="B416" s="48" t="s">
        <v>41</v>
      </c>
      <c r="C416" s="81"/>
      <c r="D416" s="82" t="b">
        <v>0</v>
      </c>
      <c r="E416" s="51" t="s">
        <v>42</v>
      </c>
      <c r="F416" s="52" t="s">
        <v>34</v>
      </c>
      <c r="G416" s="83"/>
      <c r="H416" s="84"/>
      <c r="I416" s="85"/>
      <c r="J416" s="72"/>
      <c r="K416" s="73"/>
      <c r="L416" s="72"/>
      <c r="M416" s="73"/>
      <c r="N416" s="72"/>
      <c r="O416" s="73"/>
      <c r="P416" s="72"/>
      <c r="Q416" s="73"/>
      <c r="R416" s="72"/>
      <c r="S416" s="73"/>
      <c r="T416" s="72"/>
      <c r="U416" s="73"/>
      <c r="V416" s="72"/>
      <c r="W416" s="73"/>
      <c r="X416" s="72"/>
      <c r="Y416" s="73"/>
      <c r="Z416" s="74" t="b">
        <v>0</v>
      </c>
      <c r="AA416" s="130">
        <f t="shared" si="163"/>
        <v>0</v>
      </c>
      <c r="AB416" s="131">
        <f t="shared" si="164"/>
        <v>0</v>
      </c>
      <c r="AC416" s="132">
        <f t="shared" si="165"/>
        <v>0</v>
      </c>
      <c r="AD416" s="133">
        <f t="shared" si="166"/>
        <v>0</v>
      </c>
      <c r="AE416" s="131">
        <f t="shared" si="167"/>
        <v>0</v>
      </c>
      <c r="AF416" s="133">
        <f t="shared" si="168"/>
        <v>0</v>
      </c>
      <c r="AG416" s="1"/>
    </row>
    <row r="417" ht="21.0" customHeight="1">
      <c r="A417" s="1"/>
      <c r="B417" s="48" t="s">
        <v>43</v>
      </c>
      <c r="C417" s="49"/>
      <c r="D417" s="86" t="b">
        <v>0</v>
      </c>
      <c r="E417" s="66"/>
      <c r="F417" s="52" t="s">
        <v>37</v>
      </c>
      <c r="G417" s="67"/>
      <c r="H417" s="80"/>
      <c r="I417" s="69"/>
      <c r="J417" s="72"/>
      <c r="K417" s="73"/>
      <c r="L417" s="72"/>
      <c r="M417" s="73"/>
      <c r="N417" s="72"/>
      <c r="O417" s="73"/>
      <c r="P417" s="72"/>
      <c r="Q417" s="73"/>
      <c r="R417" s="72"/>
      <c r="S417" s="73"/>
      <c r="T417" s="72"/>
      <c r="U417" s="73"/>
      <c r="V417" s="72"/>
      <c r="W417" s="73"/>
      <c r="X417" s="72"/>
      <c r="Y417" s="73"/>
      <c r="Z417" s="74" t="b">
        <v>0</v>
      </c>
      <c r="AA417" s="130">
        <f t="shared" si="163"/>
        <v>0</v>
      </c>
      <c r="AB417" s="131">
        <f t="shared" si="164"/>
        <v>0</v>
      </c>
      <c r="AC417" s="132">
        <f t="shared" si="165"/>
        <v>0</v>
      </c>
      <c r="AD417" s="133">
        <f t="shared" si="166"/>
        <v>0</v>
      </c>
      <c r="AE417" s="131">
        <f t="shared" si="167"/>
        <v>0</v>
      </c>
      <c r="AF417" s="133">
        <f t="shared" si="168"/>
        <v>0</v>
      </c>
      <c r="AG417" s="1"/>
    </row>
    <row r="418" ht="21.0" customHeight="1">
      <c r="A418" s="1"/>
      <c r="B418" s="87" t="str">
        <f t="array" ref="B418">"📌최근 인바디 결과 : "&amp;text(xlookup(B410,'현황'!O:O,'현황'!O:O,,-1,-1),"m/d(ddd)")</f>
        <v>#REF!</v>
      </c>
      <c r="C418" s="88"/>
      <c r="D418" s="49"/>
      <c r="E418" s="41"/>
      <c r="F418" s="52" t="s">
        <v>40</v>
      </c>
      <c r="G418" s="79"/>
      <c r="H418" s="80"/>
      <c r="I418" s="69"/>
      <c r="J418" s="72"/>
      <c r="K418" s="73"/>
      <c r="L418" s="72"/>
      <c r="M418" s="73"/>
      <c r="N418" s="72"/>
      <c r="O418" s="73"/>
      <c r="P418" s="72"/>
      <c r="Q418" s="73"/>
      <c r="R418" s="72"/>
      <c r="S418" s="73"/>
      <c r="T418" s="72"/>
      <c r="U418" s="73"/>
      <c r="V418" s="72"/>
      <c r="W418" s="73"/>
      <c r="X418" s="72"/>
      <c r="Y418" s="73"/>
      <c r="Z418" s="74" t="b">
        <v>0</v>
      </c>
      <c r="AA418" s="130">
        <f t="shared" si="163"/>
        <v>0</v>
      </c>
      <c r="AB418" s="131">
        <f t="shared" si="164"/>
        <v>0</v>
      </c>
      <c r="AC418" s="132">
        <f t="shared" si="165"/>
        <v>0</v>
      </c>
      <c r="AD418" s="133">
        <f t="shared" si="166"/>
        <v>0</v>
      </c>
      <c r="AE418" s="131">
        <f t="shared" si="167"/>
        <v>0</v>
      </c>
      <c r="AF418" s="133">
        <f t="shared" si="168"/>
        <v>0</v>
      </c>
      <c r="AG418" s="1"/>
    </row>
    <row r="419" ht="21.0" customHeight="1">
      <c r="A419" s="1"/>
      <c r="B419" s="89" t="s">
        <v>44</v>
      </c>
      <c r="C419" s="49"/>
      <c r="D419" s="90">
        <f t="array" ref="D419">iferror(vlookup(xlookup(B410,'현황'!O:O,'현황'!O:O,,-1,-1),'현황'!O:S,2,false),0)</f>
        <v>0</v>
      </c>
      <c r="E419" s="51" t="s">
        <v>45</v>
      </c>
      <c r="F419" s="52" t="s">
        <v>34</v>
      </c>
      <c r="G419" s="83"/>
      <c r="H419" s="84"/>
      <c r="I419" s="85"/>
      <c r="J419" s="72"/>
      <c r="K419" s="73"/>
      <c r="L419" s="72"/>
      <c r="M419" s="73"/>
      <c r="N419" s="72"/>
      <c r="O419" s="73"/>
      <c r="P419" s="72"/>
      <c r="Q419" s="73"/>
      <c r="R419" s="72"/>
      <c r="S419" s="73"/>
      <c r="T419" s="72"/>
      <c r="U419" s="73"/>
      <c r="V419" s="72"/>
      <c r="W419" s="73"/>
      <c r="X419" s="72"/>
      <c r="Y419" s="73"/>
      <c r="Z419" s="74" t="b">
        <v>0</v>
      </c>
      <c r="AA419" s="130">
        <f t="shared" si="163"/>
        <v>0</v>
      </c>
      <c r="AB419" s="131">
        <f t="shared" si="164"/>
        <v>0</v>
      </c>
      <c r="AC419" s="132">
        <f t="shared" si="165"/>
        <v>0</v>
      </c>
      <c r="AD419" s="133">
        <f t="shared" si="166"/>
        <v>0</v>
      </c>
      <c r="AE419" s="131">
        <f t="shared" si="167"/>
        <v>0</v>
      </c>
      <c r="AF419" s="133">
        <f t="shared" si="168"/>
        <v>0</v>
      </c>
      <c r="AG419" s="1"/>
    </row>
    <row r="420" ht="21.0" customHeight="1">
      <c r="A420" s="1"/>
      <c r="B420" s="48" t="s">
        <v>46</v>
      </c>
      <c r="C420" s="49"/>
      <c r="D420" s="91">
        <f t="array" ref="D420">iferror(vlookup(xlookup(B410,'현황'!O:O,'현황'!O:O,,-1,-1),'현황'!O:S,3,false),0)</f>
        <v>0</v>
      </c>
      <c r="E420" s="66"/>
      <c r="F420" s="52" t="s">
        <v>37</v>
      </c>
      <c r="G420" s="67"/>
      <c r="H420" s="80"/>
      <c r="I420" s="69"/>
      <c r="J420" s="72"/>
      <c r="K420" s="73"/>
      <c r="L420" s="72"/>
      <c r="M420" s="73"/>
      <c r="N420" s="72"/>
      <c r="O420" s="73"/>
      <c r="P420" s="72"/>
      <c r="Q420" s="73"/>
      <c r="R420" s="72"/>
      <c r="S420" s="73"/>
      <c r="T420" s="72"/>
      <c r="U420" s="73"/>
      <c r="V420" s="72"/>
      <c r="W420" s="73"/>
      <c r="X420" s="72"/>
      <c r="Y420" s="73"/>
      <c r="Z420" s="74" t="b">
        <v>0</v>
      </c>
      <c r="AA420" s="130">
        <f t="shared" si="163"/>
        <v>0</v>
      </c>
      <c r="AB420" s="131">
        <f t="shared" si="164"/>
        <v>0</v>
      </c>
      <c r="AC420" s="132">
        <f t="shared" si="165"/>
        <v>0</v>
      </c>
      <c r="AD420" s="133">
        <f t="shared" si="166"/>
        <v>0</v>
      </c>
      <c r="AE420" s="131">
        <f t="shared" si="167"/>
        <v>0</v>
      </c>
      <c r="AF420" s="133">
        <f t="shared" si="168"/>
        <v>0</v>
      </c>
      <c r="AG420" s="1"/>
    </row>
    <row r="421" ht="21.0" customHeight="1">
      <c r="A421" s="1"/>
      <c r="B421" s="48" t="s">
        <v>47</v>
      </c>
      <c r="C421" s="49"/>
      <c r="D421" s="91">
        <f t="array" ref="D421">iferror(vlookup(xlookup(B410,'현황'!O:O,'현황'!O:O,,-1,-1),'현황'!O:S,4,false),0)</f>
        <v>0</v>
      </c>
      <c r="E421" s="41"/>
      <c r="F421" s="92" t="s">
        <v>40</v>
      </c>
      <c r="G421" s="79"/>
      <c r="H421" s="93"/>
      <c r="I421" s="94"/>
      <c r="J421" s="95"/>
      <c r="K421" s="96"/>
      <c r="L421" s="95"/>
      <c r="M421" s="96"/>
      <c r="N421" s="95"/>
      <c r="O421" s="96"/>
      <c r="P421" s="95"/>
      <c r="Q421" s="96"/>
      <c r="R421" s="95"/>
      <c r="S421" s="96"/>
      <c r="T421" s="95"/>
      <c r="U421" s="96"/>
      <c r="V421" s="95"/>
      <c r="W421" s="96"/>
      <c r="X421" s="95"/>
      <c r="Y421" s="96"/>
      <c r="Z421" s="97" t="b">
        <v>0</v>
      </c>
      <c r="AA421" s="135">
        <f t="shared" si="163"/>
        <v>0</v>
      </c>
      <c r="AB421" s="136">
        <f t="shared" si="164"/>
        <v>0</v>
      </c>
      <c r="AC421" s="137">
        <f t="shared" si="165"/>
        <v>0</v>
      </c>
      <c r="AD421" s="138">
        <f t="shared" si="166"/>
        <v>0</v>
      </c>
      <c r="AE421" s="136">
        <f t="shared" si="167"/>
        <v>0</v>
      </c>
      <c r="AF421" s="138">
        <f t="shared" si="168"/>
        <v>0</v>
      </c>
      <c r="AG421" s="1"/>
    </row>
    <row r="422" ht="21.0" customHeight="1">
      <c r="A422" s="1"/>
      <c r="B422" s="102" t="s">
        <v>48</v>
      </c>
      <c r="C422" s="103"/>
      <c r="D422" s="104">
        <f>iferror(D421/D419,0)</f>
        <v>0</v>
      </c>
      <c r="E422" s="102" t="s">
        <v>49</v>
      </c>
      <c r="F422" s="103"/>
      <c r="G422" s="105"/>
      <c r="H422" s="143" t="s">
        <v>50</v>
      </c>
      <c r="I422" s="144"/>
      <c r="J422" s="11"/>
      <c r="K422" s="11"/>
      <c r="L422" s="11"/>
      <c r="M422" s="11"/>
      <c r="N422" s="11"/>
      <c r="O422" s="11"/>
      <c r="P422" s="145" t="s">
        <v>51</v>
      </c>
      <c r="Q422" s="12"/>
      <c r="R422" s="146"/>
      <c r="S422" s="11"/>
      <c r="T422" s="11"/>
      <c r="U422" s="11"/>
      <c r="V422" s="11"/>
      <c r="W422" s="11"/>
      <c r="X422" s="11"/>
      <c r="Y422" s="11"/>
      <c r="Z422" s="12"/>
      <c r="AA422" s="139">
        <f>SUM(AA413:AA421)</f>
        <v>0</v>
      </c>
      <c r="AB422" s="140" t="s">
        <v>153</v>
      </c>
      <c r="AG422" s="1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1"/>
      <c r="AA423" s="1"/>
      <c r="AB423" s="1"/>
      <c r="AC423" s="3"/>
      <c r="AD423" s="1"/>
      <c r="AE423" s="1"/>
      <c r="AF423" s="1"/>
      <c r="AG423" s="1"/>
    </row>
    <row r="424" ht="21.0" customHeight="1">
      <c r="A424" s="1"/>
      <c r="B424" s="4" t="s">
        <v>1</v>
      </c>
      <c r="C424" s="5"/>
      <c r="D424" s="6" t="s">
        <v>2</v>
      </c>
      <c r="E424" s="7"/>
      <c r="F424" s="7"/>
      <c r="G424" s="5"/>
      <c r="H424" s="8" t="s">
        <v>3</v>
      </c>
      <c r="I424" s="8" t="s">
        <v>4</v>
      </c>
      <c r="J424" s="9" t="s">
        <v>5</v>
      </c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5"/>
      <c r="AA424" s="117" t="s">
        <v>6</v>
      </c>
      <c r="AB424" s="11"/>
      <c r="AC424" s="11"/>
      <c r="AD424" s="11"/>
      <c r="AE424" s="11"/>
      <c r="AF424" s="12"/>
      <c r="AG424" s="1"/>
    </row>
    <row r="425" ht="21.0" customHeight="1">
      <c r="A425" s="1"/>
      <c r="B425" s="149" t="s">
        <v>138</v>
      </c>
      <c r="C425" s="14" t="str">
        <f>if(B425="0/0","",choose(weekday(B425),"(일)","(월)","(화)","(수)","(목)","(금)","(토)"))</f>
        <v/>
      </c>
      <c r="D425" s="15" t="s">
        <v>7</v>
      </c>
      <c r="E425" s="16" t="s">
        <v>8</v>
      </c>
      <c r="F425" s="17"/>
      <c r="G425" s="18" t="s">
        <v>9</v>
      </c>
      <c r="H425" s="150" t="s">
        <v>139</v>
      </c>
      <c r="I425" s="151"/>
      <c r="J425" s="21" t="s">
        <v>12</v>
      </c>
      <c r="K425" s="22"/>
      <c r="L425" s="21" t="s">
        <v>13</v>
      </c>
      <c r="M425" s="22"/>
      <c r="N425" s="21" t="s">
        <v>14</v>
      </c>
      <c r="O425" s="22"/>
      <c r="P425" s="21" t="s">
        <v>15</v>
      </c>
      <c r="Q425" s="22"/>
      <c r="R425" s="23" t="s">
        <v>16</v>
      </c>
      <c r="S425" s="22"/>
      <c r="T425" s="23" t="s">
        <v>17</v>
      </c>
      <c r="U425" s="22"/>
      <c r="V425" s="23" t="s">
        <v>18</v>
      </c>
      <c r="W425" s="22"/>
      <c r="X425" s="23" t="s">
        <v>19</v>
      </c>
      <c r="Y425" s="22"/>
      <c r="Z425" s="24" t="s">
        <v>154</v>
      </c>
      <c r="AA425" s="118" t="s">
        <v>21</v>
      </c>
      <c r="AB425" s="119" t="s">
        <v>22</v>
      </c>
      <c r="AC425" s="7"/>
      <c r="AD425" s="22"/>
      <c r="AE425" s="120" t="s">
        <v>23</v>
      </c>
      <c r="AF425" s="22"/>
      <c r="AG425" s="1"/>
    </row>
    <row r="426" ht="21.0" customHeight="1">
      <c r="A426" s="1"/>
      <c r="B426" s="27">
        <f>iferror(B425-'현황'!$C$4+1,0)</f>
        <v>0</v>
      </c>
      <c r="C426" s="28"/>
      <c r="D426" s="29">
        <v>0.0</v>
      </c>
      <c r="E426" s="30">
        <v>0.0</v>
      </c>
      <c r="F426" s="31"/>
      <c r="G426" s="32">
        <v>0.0</v>
      </c>
      <c r="H426" s="33">
        <v>0.0</v>
      </c>
      <c r="I426" s="34"/>
      <c r="J426" s="35"/>
      <c r="K426" s="36"/>
      <c r="L426" s="35"/>
      <c r="M426" s="36"/>
      <c r="N426" s="35"/>
      <c r="O426" s="36"/>
      <c r="P426" s="35"/>
      <c r="Q426" s="36"/>
      <c r="R426" s="35"/>
      <c r="S426" s="36"/>
      <c r="T426" s="35"/>
      <c r="U426" s="36"/>
      <c r="V426" s="35"/>
      <c r="W426" s="36"/>
      <c r="X426" s="35"/>
      <c r="Y426" s="36"/>
      <c r="Z426" s="37"/>
      <c r="AA426" s="37"/>
      <c r="AB426" s="35"/>
      <c r="AC426" s="38"/>
      <c r="AD426" s="36"/>
      <c r="AE426" s="35"/>
      <c r="AF426" s="36"/>
      <c r="AG426" s="1"/>
    </row>
    <row r="427" ht="21.0" customHeight="1">
      <c r="A427" s="1"/>
      <c r="B427" s="39" t="s">
        <v>24</v>
      </c>
      <c r="C427" s="40"/>
      <c r="D427" s="41"/>
      <c r="E427" s="42" t="s">
        <v>25</v>
      </c>
      <c r="F427" s="40"/>
      <c r="G427" s="41"/>
      <c r="H427" s="43" t="s">
        <v>26</v>
      </c>
      <c r="J427" s="44" t="s">
        <v>27</v>
      </c>
      <c r="K427" s="45" t="s">
        <v>28</v>
      </c>
      <c r="L427" s="44" t="s">
        <v>27</v>
      </c>
      <c r="M427" s="45" t="s">
        <v>28</v>
      </c>
      <c r="N427" s="44" t="s">
        <v>27</v>
      </c>
      <c r="O427" s="45" t="s">
        <v>28</v>
      </c>
      <c r="P427" s="44" t="s">
        <v>27</v>
      </c>
      <c r="Q427" s="45" t="s">
        <v>28</v>
      </c>
      <c r="R427" s="44" t="s">
        <v>27</v>
      </c>
      <c r="S427" s="45" t="s">
        <v>28</v>
      </c>
      <c r="T427" s="44" t="s">
        <v>27</v>
      </c>
      <c r="U427" s="45" t="s">
        <v>28</v>
      </c>
      <c r="V427" s="44" t="s">
        <v>27</v>
      </c>
      <c r="W427" s="45" t="s">
        <v>28</v>
      </c>
      <c r="X427" s="44" t="s">
        <v>27</v>
      </c>
      <c r="Y427" s="45" t="s">
        <v>28</v>
      </c>
      <c r="Z427" s="46"/>
      <c r="AA427" s="46"/>
      <c r="AB427" s="121" t="s">
        <v>29</v>
      </c>
      <c r="AC427" s="122" t="s">
        <v>30</v>
      </c>
      <c r="AD427" s="123" t="s">
        <v>31</v>
      </c>
      <c r="AE427" s="121" t="s">
        <v>27</v>
      </c>
      <c r="AF427" s="123" t="s">
        <v>28</v>
      </c>
      <c r="AG427" s="1"/>
    </row>
    <row r="428" ht="21.0" customHeight="1">
      <c r="A428" s="1"/>
      <c r="B428" s="48" t="s">
        <v>32</v>
      </c>
      <c r="C428" s="49"/>
      <c r="D428" s="50"/>
      <c r="E428" s="51" t="s">
        <v>33</v>
      </c>
      <c r="F428" s="52" t="s">
        <v>34</v>
      </c>
      <c r="G428" s="53"/>
      <c r="H428" s="148"/>
      <c r="I428" s="55"/>
      <c r="J428" s="58"/>
      <c r="K428" s="59"/>
      <c r="L428" s="58"/>
      <c r="M428" s="59"/>
      <c r="N428" s="58"/>
      <c r="O428" s="59"/>
      <c r="P428" s="58"/>
      <c r="Q428" s="59"/>
      <c r="R428" s="58"/>
      <c r="S428" s="59"/>
      <c r="T428" s="58"/>
      <c r="U428" s="59"/>
      <c r="V428" s="58"/>
      <c r="W428" s="59"/>
      <c r="X428" s="58"/>
      <c r="Y428" s="59"/>
      <c r="Z428" s="60" t="b">
        <v>0</v>
      </c>
      <c r="AA428" s="125">
        <f t="shared" ref="AA428:AA436" si="169">(J428*K428+L428*M428+N428*O428+P428*Q428+R428*S428+T428*U428+V428*W428+X428*Y428)*if(Z428=true,0.453592,1)</f>
        <v>0</v>
      </c>
      <c r="AB428" s="126">
        <f t="shared" ref="AB428:AB436" si="170">SUM(AE428*AF428*0.025,AE428)</f>
        <v>0</v>
      </c>
      <c r="AC428" s="127">
        <f t="shared" ref="AC428:AC436" si="171">AB428*87%</f>
        <v>0</v>
      </c>
      <c r="AD428" s="128">
        <f t="shared" ref="AD428:AD436" si="172">AB428*67%</f>
        <v>0</v>
      </c>
      <c r="AE428" s="126">
        <f t="shared" ref="AE428:AE436" si="173">MAX(J428,L428,N428,P428,R428,T428,V428,X428)*if(Z428=true,0.453592,1)</f>
        <v>0</v>
      </c>
      <c r="AF428" s="128">
        <f t="shared" ref="AF428:AF436" si="174">MAX(IF(J428*if(Z428=true,0.453592,1)=$AE428,K428,0),IF(L428*if(Z428=true,0.453592,1)=$AE428,M428,0),IF(N428*if(Z428=true,0.453592,1)=$AE428,O428,0),IF(P428*if(Z428=true,0.453592,1)=$AE428,Q428,0),IF(R428*if(Z428=true,0.453592,1)=$AE428,S428,0),IF(T428*if(Z428=true,0.453592,1)=$AE428,U428,0),IF(V428*if(Z428=true,0.453592,1)=$AE428,W428,0),IF(X428*if(Z428=true,0.453592,1)=$AE428,Y428,0))</f>
        <v>0</v>
      </c>
      <c r="AG428" s="1"/>
    </row>
    <row r="429" ht="21.0" customHeight="1">
      <c r="A429" s="1"/>
      <c r="B429" s="48" t="s">
        <v>36</v>
      </c>
      <c r="C429" s="49"/>
      <c r="D429" s="65"/>
      <c r="E429" s="66"/>
      <c r="F429" s="52" t="s">
        <v>37</v>
      </c>
      <c r="G429" s="67"/>
      <c r="H429" s="129"/>
      <c r="I429" s="69"/>
      <c r="J429" s="72"/>
      <c r="K429" s="73"/>
      <c r="L429" s="72"/>
      <c r="M429" s="73"/>
      <c r="N429" s="72"/>
      <c r="O429" s="73"/>
      <c r="P429" s="72"/>
      <c r="Q429" s="73"/>
      <c r="R429" s="72"/>
      <c r="S429" s="73"/>
      <c r="T429" s="72"/>
      <c r="U429" s="73"/>
      <c r="V429" s="72"/>
      <c r="W429" s="73"/>
      <c r="X429" s="72"/>
      <c r="Y429" s="73"/>
      <c r="Z429" s="74" t="b">
        <v>0</v>
      </c>
      <c r="AA429" s="130">
        <f t="shared" si="169"/>
        <v>0</v>
      </c>
      <c r="AB429" s="131">
        <f t="shared" si="170"/>
        <v>0</v>
      </c>
      <c r="AC429" s="132">
        <f t="shared" si="171"/>
        <v>0</v>
      </c>
      <c r="AD429" s="133">
        <f t="shared" si="172"/>
        <v>0</v>
      </c>
      <c r="AE429" s="131">
        <f t="shared" si="173"/>
        <v>0</v>
      </c>
      <c r="AF429" s="133">
        <f t="shared" si="174"/>
        <v>0</v>
      </c>
      <c r="AG429" s="1"/>
    </row>
    <row r="430" ht="21.0" customHeight="1">
      <c r="A430" s="1"/>
      <c r="B430" s="48" t="s">
        <v>39</v>
      </c>
      <c r="C430" s="49"/>
      <c r="D430" s="65"/>
      <c r="E430" s="41"/>
      <c r="F430" s="52" t="s">
        <v>40</v>
      </c>
      <c r="G430" s="79"/>
      <c r="H430" s="80"/>
      <c r="I430" s="69"/>
      <c r="J430" s="72"/>
      <c r="K430" s="73"/>
      <c r="L430" s="72"/>
      <c r="M430" s="73"/>
      <c r="N430" s="72"/>
      <c r="O430" s="73"/>
      <c r="P430" s="72"/>
      <c r="Q430" s="73"/>
      <c r="R430" s="72"/>
      <c r="S430" s="73"/>
      <c r="T430" s="72"/>
      <c r="U430" s="73"/>
      <c r="V430" s="72"/>
      <c r="W430" s="73"/>
      <c r="X430" s="72"/>
      <c r="Y430" s="73"/>
      <c r="Z430" s="74" t="b">
        <v>0</v>
      </c>
      <c r="AA430" s="130">
        <f t="shared" si="169"/>
        <v>0</v>
      </c>
      <c r="AB430" s="131">
        <f t="shared" si="170"/>
        <v>0</v>
      </c>
      <c r="AC430" s="132">
        <f t="shared" si="171"/>
        <v>0</v>
      </c>
      <c r="AD430" s="133">
        <f t="shared" si="172"/>
        <v>0</v>
      </c>
      <c r="AE430" s="131">
        <f t="shared" si="173"/>
        <v>0</v>
      </c>
      <c r="AF430" s="133">
        <f t="shared" si="174"/>
        <v>0</v>
      </c>
      <c r="AG430" s="1"/>
    </row>
    <row r="431" ht="21.0" customHeight="1">
      <c r="A431" s="1"/>
      <c r="B431" s="48" t="s">
        <v>41</v>
      </c>
      <c r="C431" s="81"/>
      <c r="D431" s="82" t="b">
        <v>0</v>
      </c>
      <c r="E431" s="51" t="s">
        <v>42</v>
      </c>
      <c r="F431" s="52" t="s">
        <v>34</v>
      </c>
      <c r="G431" s="83"/>
      <c r="H431" s="84"/>
      <c r="I431" s="85"/>
      <c r="J431" s="72"/>
      <c r="K431" s="73"/>
      <c r="L431" s="72"/>
      <c r="M431" s="73"/>
      <c r="N431" s="72"/>
      <c r="O431" s="73"/>
      <c r="P431" s="72"/>
      <c r="Q431" s="73"/>
      <c r="R431" s="72"/>
      <c r="S431" s="73"/>
      <c r="T431" s="72"/>
      <c r="U431" s="73"/>
      <c r="V431" s="72"/>
      <c r="W431" s="73"/>
      <c r="X431" s="72"/>
      <c r="Y431" s="73"/>
      <c r="Z431" s="74" t="b">
        <v>0</v>
      </c>
      <c r="AA431" s="130">
        <f t="shared" si="169"/>
        <v>0</v>
      </c>
      <c r="AB431" s="131">
        <f t="shared" si="170"/>
        <v>0</v>
      </c>
      <c r="AC431" s="132">
        <f t="shared" si="171"/>
        <v>0</v>
      </c>
      <c r="AD431" s="133">
        <f t="shared" si="172"/>
        <v>0</v>
      </c>
      <c r="AE431" s="131">
        <f t="shared" si="173"/>
        <v>0</v>
      </c>
      <c r="AF431" s="133">
        <f t="shared" si="174"/>
        <v>0</v>
      </c>
      <c r="AG431" s="1"/>
    </row>
    <row r="432" ht="21.0" customHeight="1">
      <c r="A432" s="1"/>
      <c r="B432" s="48" t="s">
        <v>43</v>
      </c>
      <c r="C432" s="49"/>
      <c r="D432" s="86" t="b">
        <v>0</v>
      </c>
      <c r="E432" s="66"/>
      <c r="F432" s="52" t="s">
        <v>37</v>
      </c>
      <c r="G432" s="67"/>
      <c r="H432" s="80"/>
      <c r="I432" s="69"/>
      <c r="J432" s="72"/>
      <c r="K432" s="73"/>
      <c r="L432" s="72"/>
      <c r="M432" s="73"/>
      <c r="N432" s="72"/>
      <c r="O432" s="73"/>
      <c r="P432" s="72"/>
      <c r="Q432" s="73"/>
      <c r="R432" s="72"/>
      <c r="S432" s="73"/>
      <c r="T432" s="72"/>
      <c r="U432" s="73"/>
      <c r="V432" s="72"/>
      <c r="W432" s="73"/>
      <c r="X432" s="72"/>
      <c r="Y432" s="73"/>
      <c r="Z432" s="74" t="b">
        <v>0</v>
      </c>
      <c r="AA432" s="130">
        <f t="shared" si="169"/>
        <v>0</v>
      </c>
      <c r="AB432" s="131">
        <f t="shared" si="170"/>
        <v>0</v>
      </c>
      <c r="AC432" s="132">
        <f t="shared" si="171"/>
        <v>0</v>
      </c>
      <c r="AD432" s="133">
        <f t="shared" si="172"/>
        <v>0</v>
      </c>
      <c r="AE432" s="131">
        <f t="shared" si="173"/>
        <v>0</v>
      </c>
      <c r="AF432" s="133">
        <f t="shared" si="174"/>
        <v>0</v>
      </c>
      <c r="AG432" s="1"/>
    </row>
    <row r="433" ht="21.0" customHeight="1">
      <c r="A433" s="1"/>
      <c r="B433" s="87" t="str">
        <f t="array" ref="B433">"📌최근 인바디 결과 : "&amp;text(xlookup(B425,'현황'!O:O,'현황'!O:O,,-1,-1),"m/d(ddd)")</f>
        <v>#REF!</v>
      </c>
      <c r="C433" s="88"/>
      <c r="D433" s="49"/>
      <c r="E433" s="41"/>
      <c r="F433" s="52" t="s">
        <v>40</v>
      </c>
      <c r="G433" s="79"/>
      <c r="H433" s="80"/>
      <c r="I433" s="69"/>
      <c r="J433" s="72"/>
      <c r="K433" s="73"/>
      <c r="L433" s="72"/>
      <c r="M433" s="73"/>
      <c r="N433" s="72"/>
      <c r="O433" s="73"/>
      <c r="P433" s="72"/>
      <c r="Q433" s="73"/>
      <c r="R433" s="72"/>
      <c r="S433" s="73"/>
      <c r="T433" s="72"/>
      <c r="U433" s="73"/>
      <c r="V433" s="72"/>
      <c r="W433" s="73"/>
      <c r="X433" s="72"/>
      <c r="Y433" s="73"/>
      <c r="Z433" s="74" t="b">
        <v>0</v>
      </c>
      <c r="AA433" s="130">
        <f t="shared" si="169"/>
        <v>0</v>
      </c>
      <c r="AB433" s="131">
        <f t="shared" si="170"/>
        <v>0</v>
      </c>
      <c r="AC433" s="132">
        <f t="shared" si="171"/>
        <v>0</v>
      </c>
      <c r="AD433" s="133">
        <f t="shared" si="172"/>
        <v>0</v>
      </c>
      <c r="AE433" s="131">
        <f t="shared" si="173"/>
        <v>0</v>
      </c>
      <c r="AF433" s="133">
        <f t="shared" si="174"/>
        <v>0</v>
      </c>
      <c r="AG433" s="1"/>
    </row>
    <row r="434" ht="21.0" customHeight="1">
      <c r="A434" s="1"/>
      <c r="B434" s="89" t="s">
        <v>44</v>
      </c>
      <c r="C434" s="49"/>
      <c r="D434" s="90">
        <f t="array" ref="D434">iferror(vlookup(xlookup(B425,'현황'!O:O,'현황'!O:O,,-1,-1),'현황'!O:S,2,false),0)</f>
        <v>0</v>
      </c>
      <c r="E434" s="51" t="s">
        <v>45</v>
      </c>
      <c r="F434" s="52" t="s">
        <v>34</v>
      </c>
      <c r="G434" s="83"/>
      <c r="H434" s="84"/>
      <c r="I434" s="85"/>
      <c r="J434" s="72"/>
      <c r="K434" s="73"/>
      <c r="L434" s="72"/>
      <c r="M434" s="73"/>
      <c r="N434" s="72"/>
      <c r="O434" s="73"/>
      <c r="P434" s="72"/>
      <c r="Q434" s="73"/>
      <c r="R434" s="72"/>
      <c r="S434" s="73"/>
      <c r="T434" s="72"/>
      <c r="U434" s="73"/>
      <c r="V434" s="72"/>
      <c r="W434" s="73"/>
      <c r="X434" s="72"/>
      <c r="Y434" s="73"/>
      <c r="Z434" s="74" t="b">
        <v>0</v>
      </c>
      <c r="AA434" s="130">
        <f t="shared" si="169"/>
        <v>0</v>
      </c>
      <c r="AB434" s="131">
        <f t="shared" si="170"/>
        <v>0</v>
      </c>
      <c r="AC434" s="132">
        <f t="shared" si="171"/>
        <v>0</v>
      </c>
      <c r="AD434" s="133">
        <f t="shared" si="172"/>
        <v>0</v>
      </c>
      <c r="AE434" s="131">
        <f t="shared" si="173"/>
        <v>0</v>
      </c>
      <c r="AF434" s="133">
        <f t="shared" si="174"/>
        <v>0</v>
      </c>
      <c r="AG434" s="1"/>
    </row>
    <row r="435" ht="21.0" customHeight="1">
      <c r="A435" s="1"/>
      <c r="B435" s="48" t="s">
        <v>46</v>
      </c>
      <c r="C435" s="49"/>
      <c r="D435" s="91">
        <f t="array" ref="D435">iferror(vlookup(xlookup(B425,'현황'!O:O,'현황'!O:O,,-1,-1),'현황'!O:S,3,false),0)</f>
        <v>0</v>
      </c>
      <c r="E435" s="66"/>
      <c r="F435" s="52" t="s">
        <v>37</v>
      </c>
      <c r="G435" s="67"/>
      <c r="H435" s="80"/>
      <c r="I435" s="69"/>
      <c r="J435" s="72"/>
      <c r="K435" s="73"/>
      <c r="L435" s="72"/>
      <c r="M435" s="73"/>
      <c r="N435" s="72"/>
      <c r="O435" s="73"/>
      <c r="P435" s="72"/>
      <c r="Q435" s="73"/>
      <c r="R435" s="72"/>
      <c r="S435" s="73"/>
      <c r="T435" s="72"/>
      <c r="U435" s="73"/>
      <c r="V435" s="72"/>
      <c r="W435" s="73"/>
      <c r="X435" s="72"/>
      <c r="Y435" s="73"/>
      <c r="Z435" s="74" t="b">
        <v>0</v>
      </c>
      <c r="AA435" s="130">
        <f t="shared" si="169"/>
        <v>0</v>
      </c>
      <c r="AB435" s="131">
        <f t="shared" si="170"/>
        <v>0</v>
      </c>
      <c r="AC435" s="132">
        <f t="shared" si="171"/>
        <v>0</v>
      </c>
      <c r="AD435" s="133">
        <f t="shared" si="172"/>
        <v>0</v>
      </c>
      <c r="AE435" s="131">
        <f t="shared" si="173"/>
        <v>0</v>
      </c>
      <c r="AF435" s="133">
        <f t="shared" si="174"/>
        <v>0</v>
      </c>
      <c r="AG435" s="1"/>
    </row>
    <row r="436" ht="21.0" customHeight="1">
      <c r="A436" s="1"/>
      <c r="B436" s="48" t="s">
        <v>47</v>
      </c>
      <c r="C436" s="49"/>
      <c r="D436" s="91">
        <f t="array" ref="D436">iferror(vlookup(xlookup(B425,'현황'!O:O,'현황'!O:O,,-1,-1),'현황'!O:S,4,false),0)</f>
        <v>0</v>
      </c>
      <c r="E436" s="41"/>
      <c r="F436" s="92" t="s">
        <v>40</v>
      </c>
      <c r="G436" s="79"/>
      <c r="H436" s="93"/>
      <c r="I436" s="94"/>
      <c r="J436" s="95"/>
      <c r="K436" s="96"/>
      <c r="L436" s="95"/>
      <c r="M436" s="96"/>
      <c r="N436" s="95"/>
      <c r="O436" s="96"/>
      <c r="P436" s="95"/>
      <c r="Q436" s="96"/>
      <c r="R436" s="95"/>
      <c r="S436" s="96"/>
      <c r="T436" s="95"/>
      <c r="U436" s="96"/>
      <c r="V436" s="95"/>
      <c r="W436" s="96"/>
      <c r="X436" s="95"/>
      <c r="Y436" s="96"/>
      <c r="Z436" s="97" t="b">
        <v>0</v>
      </c>
      <c r="AA436" s="135">
        <f t="shared" si="169"/>
        <v>0</v>
      </c>
      <c r="AB436" s="136">
        <f t="shared" si="170"/>
        <v>0</v>
      </c>
      <c r="AC436" s="137">
        <f t="shared" si="171"/>
        <v>0</v>
      </c>
      <c r="AD436" s="138">
        <f t="shared" si="172"/>
        <v>0</v>
      </c>
      <c r="AE436" s="136">
        <f t="shared" si="173"/>
        <v>0</v>
      </c>
      <c r="AF436" s="138">
        <f t="shared" si="174"/>
        <v>0</v>
      </c>
      <c r="AG436" s="1"/>
    </row>
    <row r="437" ht="21.0" customHeight="1">
      <c r="A437" s="1"/>
      <c r="B437" s="102" t="s">
        <v>48</v>
      </c>
      <c r="C437" s="103"/>
      <c r="D437" s="104">
        <f>iferror(D436/D434,0)</f>
        <v>0</v>
      </c>
      <c r="E437" s="102" t="s">
        <v>49</v>
      </c>
      <c r="F437" s="103"/>
      <c r="G437" s="105"/>
      <c r="H437" s="106" t="s">
        <v>50</v>
      </c>
      <c r="I437" s="107"/>
      <c r="J437" s="11"/>
      <c r="K437" s="11"/>
      <c r="L437" s="11"/>
      <c r="M437" s="11"/>
      <c r="N437" s="11"/>
      <c r="O437" s="11"/>
      <c r="P437" s="108" t="s">
        <v>51</v>
      </c>
      <c r="Q437" s="12"/>
      <c r="R437" s="109"/>
      <c r="S437" s="11"/>
      <c r="T437" s="11"/>
      <c r="U437" s="11"/>
      <c r="V437" s="11"/>
      <c r="W437" s="11"/>
      <c r="X437" s="11"/>
      <c r="Y437" s="11"/>
      <c r="Z437" s="12"/>
      <c r="AA437" s="139">
        <f>SUM(AA428:AA436)</f>
        <v>0</v>
      </c>
      <c r="AB437" s="140" t="s">
        <v>155</v>
      </c>
      <c r="AG437" s="1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1"/>
      <c r="AA438" s="1"/>
      <c r="AB438" s="1"/>
      <c r="AC438" s="3"/>
      <c r="AD438" s="1"/>
      <c r="AE438" s="1"/>
      <c r="AF438" s="1"/>
      <c r="AG438" s="1"/>
    </row>
    <row r="439" ht="21.0" customHeight="1">
      <c r="A439" s="1"/>
      <c r="B439" s="4" t="s">
        <v>1</v>
      </c>
      <c r="C439" s="5"/>
      <c r="D439" s="6" t="s">
        <v>2</v>
      </c>
      <c r="E439" s="7"/>
      <c r="F439" s="7"/>
      <c r="G439" s="5"/>
      <c r="H439" s="8" t="s">
        <v>3</v>
      </c>
      <c r="I439" s="8" t="s">
        <v>4</v>
      </c>
      <c r="J439" s="9" t="s">
        <v>5</v>
      </c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5"/>
      <c r="AA439" s="117" t="s">
        <v>6</v>
      </c>
      <c r="AB439" s="11"/>
      <c r="AC439" s="11"/>
      <c r="AD439" s="11"/>
      <c r="AE439" s="11"/>
      <c r="AF439" s="12"/>
      <c r="AG439" s="1"/>
    </row>
    <row r="440" ht="21.0" customHeight="1">
      <c r="A440" s="1"/>
      <c r="B440" s="149" t="s">
        <v>138</v>
      </c>
      <c r="C440" s="14" t="str">
        <f>if(B440="0/0","",choose(weekday(B440),"(일)","(월)","(화)","(수)","(목)","(금)","(토)"))</f>
        <v/>
      </c>
      <c r="D440" s="15" t="s">
        <v>7</v>
      </c>
      <c r="E440" s="16" t="s">
        <v>8</v>
      </c>
      <c r="F440" s="17"/>
      <c r="G440" s="18" t="s">
        <v>9</v>
      </c>
      <c r="H440" s="150" t="s">
        <v>139</v>
      </c>
      <c r="I440" s="151"/>
      <c r="J440" s="21" t="s">
        <v>12</v>
      </c>
      <c r="K440" s="22"/>
      <c r="L440" s="21" t="s">
        <v>13</v>
      </c>
      <c r="M440" s="22"/>
      <c r="N440" s="21" t="s">
        <v>14</v>
      </c>
      <c r="O440" s="22"/>
      <c r="P440" s="21" t="s">
        <v>15</v>
      </c>
      <c r="Q440" s="22"/>
      <c r="R440" s="23" t="s">
        <v>16</v>
      </c>
      <c r="S440" s="22"/>
      <c r="T440" s="23" t="s">
        <v>17</v>
      </c>
      <c r="U440" s="22"/>
      <c r="V440" s="23" t="s">
        <v>18</v>
      </c>
      <c r="W440" s="22"/>
      <c r="X440" s="23" t="s">
        <v>19</v>
      </c>
      <c r="Y440" s="22"/>
      <c r="Z440" s="24" t="s">
        <v>156</v>
      </c>
      <c r="AA440" s="118" t="s">
        <v>21</v>
      </c>
      <c r="AB440" s="119" t="s">
        <v>22</v>
      </c>
      <c r="AC440" s="7"/>
      <c r="AD440" s="22"/>
      <c r="AE440" s="120" t="s">
        <v>23</v>
      </c>
      <c r="AF440" s="22"/>
      <c r="AG440" s="1"/>
    </row>
    <row r="441" ht="21.0" customHeight="1">
      <c r="A441" s="1"/>
      <c r="B441" s="27">
        <f>iferror(B440-'현황'!$C$4+1,0)</f>
        <v>0</v>
      </c>
      <c r="C441" s="28"/>
      <c r="D441" s="29">
        <v>0.0</v>
      </c>
      <c r="E441" s="30">
        <v>0.0</v>
      </c>
      <c r="F441" s="31"/>
      <c r="G441" s="32">
        <v>0.0</v>
      </c>
      <c r="H441" s="33">
        <v>0.0</v>
      </c>
      <c r="I441" s="34"/>
      <c r="J441" s="35"/>
      <c r="K441" s="36"/>
      <c r="L441" s="35"/>
      <c r="M441" s="36"/>
      <c r="N441" s="35"/>
      <c r="O441" s="36"/>
      <c r="P441" s="35"/>
      <c r="Q441" s="36"/>
      <c r="R441" s="35"/>
      <c r="S441" s="36"/>
      <c r="T441" s="35"/>
      <c r="U441" s="36"/>
      <c r="V441" s="35"/>
      <c r="W441" s="36"/>
      <c r="X441" s="35"/>
      <c r="Y441" s="36"/>
      <c r="Z441" s="37"/>
      <c r="AA441" s="37"/>
      <c r="AB441" s="35"/>
      <c r="AC441" s="38"/>
      <c r="AD441" s="36"/>
      <c r="AE441" s="35"/>
      <c r="AF441" s="36"/>
      <c r="AG441" s="1"/>
    </row>
    <row r="442" ht="21.0" customHeight="1">
      <c r="A442" s="1"/>
      <c r="B442" s="39" t="s">
        <v>24</v>
      </c>
      <c r="C442" s="40"/>
      <c r="D442" s="41"/>
      <c r="E442" s="42" t="s">
        <v>25</v>
      </c>
      <c r="F442" s="40"/>
      <c r="G442" s="41"/>
      <c r="H442" s="43" t="s">
        <v>26</v>
      </c>
      <c r="J442" s="44" t="s">
        <v>27</v>
      </c>
      <c r="K442" s="45" t="s">
        <v>28</v>
      </c>
      <c r="L442" s="44" t="s">
        <v>27</v>
      </c>
      <c r="M442" s="45" t="s">
        <v>28</v>
      </c>
      <c r="N442" s="44" t="s">
        <v>27</v>
      </c>
      <c r="O442" s="45" t="s">
        <v>28</v>
      </c>
      <c r="P442" s="44" t="s">
        <v>27</v>
      </c>
      <c r="Q442" s="45" t="s">
        <v>28</v>
      </c>
      <c r="R442" s="44" t="s">
        <v>27</v>
      </c>
      <c r="S442" s="45" t="s">
        <v>28</v>
      </c>
      <c r="T442" s="44" t="s">
        <v>27</v>
      </c>
      <c r="U442" s="45" t="s">
        <v>28</v>
      </c>
      <c r="V442" s="44" t="s">
        <v>27</v>
      </c>
      <c r="W442" s="45" t="s">
        <v>28</v>
      </c>
      <c r="X442" s="44" t="s">
        <v>27</v>
      </c>
      <c r="Y442" s="45" t="s">
        <v>28</v>
      </c>
      <c r="Z442" s="46"/>
      <c r="AA442" s="46"/>
      <c r="AB442" s="121" t="s">
        <v>29</v>
      </c>
      <c r="AC442" s="122" t="s">
        <v>30</v>
      </c>
      <c r="AD442" s="123" t="s">
        <v>31</v>
      </c>
      <c r="AE442" s="121" t="s">
        <v>27</v>
      </c>
      <c r="AF442" s="123" t="s">
        <v>28</v>
      </c>
      <c r="AG442" s="1"/>
    </row>
    <row r="443" ht="21.0" customHeight="1">
      <c r="A443" s="1"/>
      <c r="B443" s="48" t="s">
        <v>32</v>
      </c>
      <c r="C443" s="49"/>
      <c r="D443" s="50"/>
      <c r="E443" s="51" t="s">
        <v>33</v>
      </c>
      <c r="F443" s="52" t="s">
        <v>34</v>
      </c>
      <c r="G443" s="53"/>
      <c r="H443" s="148"/>
      <c r="I443" s="55"/>
      <c r="J443" s="58"/>
      <c r="K443" s="59"/>
      <c r="L443" s="58"/>
      <c r="M443" s="59"/>
      <c r="N443" s="58"/>
      <c r="O443" s="59"/>
      <c r="P443" s="58"/>
      <c r="Q443" s="59"/>
      <c r="R443" s="58"/>
      <c r="S443" s="59"/>
      <c r="T443" s="58"/>
      <c r="U443" s="59"/>
      <c r="V443" s="58"/>
      <c r="W443" s="59"/>
      <c r="X443" s="58"/>
      <c r="Y443" s="59"/>
      <c r="Z443" s="60" t="b">
        <v>0</v>
      </c>
      <c r="AA443" s="125">
        <f t="shared" ref="AA443:AA451" si="175">(J443*K443+L443*M443+N443*O443+P443*Q443+R443*S443+T443*U443+V443*W443+X443*Y443)*if(Z443=true,0.453592,1)</f>
        <v>0</v>
      </c>
      <c r="AB443" s="126">
        <f t="shared" ref="AB443:AB451" si="176">SUM(AE443*AF443*0.025,AE443)</f>
        <v>0</v>
      </c>
      <c r="AC443" s="127">
        <f t="shared" ref="AC443:AC451" si="177">AB443*87%</f>
        <v>0</v>
      </c>
      <c r="AD443" s="128">
        <f t="shared" ref="AD443:AD451" si="178">AB443*67%</f>
        <v>0</v>
      </c>
      <c r="AE443" s="126">
        <f t="shared" ref="AE443:AE451" si="179">MAX(J443,L443,N443,P443,R443,T443,V443,X443)*if(Z443=true,0.453592,1)</f>
        <v>0</v>
      </c>
      <c r="AF443" s="128">
        <f t="shared" ref="AF443:AF451" si="180">MAX(IF(J443*if(Z443=true,0.453592,1)=$AE443,K443,0),IF(L443*if(Z443=true,0.453592,1)=$AE443,M443,0),IF(N443*if(Z443=true,0.453592,1)=$AE443,O443,0),IF(P443*if(Z443=true,0.453592,1)=$AE443,Q443,0),IF(R443*if(Z443=true,0.453592,1)=$AE443,S443,0),IF(T443*if(Z443=true,0.453592,1)=$AE443,U443,0),IF(V443*if(Z443=true,0.453592,1)=$AE443,W443,0),IF(X443*if(Z443=true,0.453592,1)=$AE443,Y443,0))</f>
        <v>0</v>
      </c>
      <c r="AG443" s="1"/>
    </row>
    <row r="444" ht="21.0" customHeight="1">
      <c r="A444" s="1"/>
      <c r="B444" s="48" t="s">
        <v>36</v>
      </c>
      <c r="C444" s="49"/>
      <c r="D444" s="65"/>
      <c r="E444" s="66"/>
      <c r="F444" s="52" t="s">
        <v>37</v>
      </c>
      <c r="G444" s="67"/>
      <c r="H444" s="129"/>
      <c r="I444" s="69"/>
      <c r="J444" s="72"/>
      <c r="K444" s="73"/>
      <c r="L444" s="72"/>
      <c r="M444" s="73"/>
      <c r="N444" s="72"/>
      <c r="O444" s="73"/>
      <c r="P444" s="72"/>
      <c r="Q444" s="73"/>
      <c r="R444" s="72"/>
      <c r="S444" s="73"/>
      <c r="T444" s="72"/>
      <c r="U444" s="73"/>
      <c r="V444" s="72"/>
      <c r="W444" s="73"/>
      <c r="X444" s="72"/>
      <c r="Y444" s="73"/>
      <c r="Z444" s="74" t="b">
        <v>0</v>
      </c>
      <c r="AA444" s="130">
        <f t="shared" si="175"/>
        <v>0</v>
      </c>
      <c r="AB444" s="131">
        <f t="shared" si="176"/>
        <v>0</v>
      </c>
      <c r="AC444" s="132">
        <f t="shared" si="177"/>
        <v>0</v>
      </c>
      <c r="AD444" s="133">
        <f t="shared" si="178"/>
        <v>0</v>
      </c>
      <c r="AE444" s="131">
        <f t="shared" si="179"/>
        <v>0</v>
      </c>
      <c r="AF444" s="133">
        <f t="shared" si="180"/>
        <v>0</v>
      </c>
      <c r="AG444" s="1"/>
    </row>
    <row r="445" ht="21.0" customHeight="1">
      <c r="A445" s="1"/>
      <c r="B445" s="48" t="s">
        <v>39</v>
      </c>
      <c r="C445" s="49"/>
      <c r="D445" s="65"/>
      <c r="E445" s="41"/>
      <c r="F445" s="52" t="s">
        <v>40</v>
      </c>
      <c r="G445" s="79"/>
      <c r="H445" s="80"/>
      <c r="I445" s="69"/>
      <c r="J445" s="72"/>
      <c r="K445" s="73"/>
      <c r="L445" s="72"/>
      <c r="M445" s="73"/>
      <c r="N445" s="72"/>
      <c r="O445" s="73"/>
      <c r="P445" s="72"/>
      <c r="Q445" s="73"/>
      <c r="R445" s="72"/>
      <c r="S445" s="73"/>
      <c r="T445" s="72"/>
      <c r="U445" s="73"/>
      <c r="V445" s="72"/>
      <c r="W445" s="73"/>
      <c r="X445" s="72"/>
      <c r="Y445" s="73"/>
      <c r="Z445" s="74" t="b">
        <v>0</v>
      </c>
      <c r="AA445" s="130">
        <f t="shared" si="175"/>
        <v>0</v>
      </c>
      <c r="AB445" s="131">
        <f t="shared" si="176"/>
        <v>0</v>
      </c>
      <c r="AC445" s="132">
        <f t="shared" si="177"/>
        <v>0</v>
      </c>
      <c r="AD445" s="133">
        <f t="shared" si="178"/>
        <v>0</v>
      </c>
      <c r="AE445" s="131">
        <f t="shared" si="179"/>
        <v>0</v>
      </c>
      <c r="AF445" s="133">
        <f t="shared" si="180"/>
        <v>0</v>
      </c>
      <c r="AG445" s="1"/>
    </row>
    <row r="446" ht="21.0" customHeight="1">
      <c r="A446" s="1"/>
      <c r="B446" s="48" t="s">
        <v>41</v>
      </c>
      <c r="C446" s="81"/>
      <c r="D446" s="82" t="b">
        <v>0</v>
      </c>
      <c r="E446" s="51" t="s">
        <v>42</v>
      </c>
      <c r="F446" s="52" t="s">
        <v>34</v>
      </c>
      <c r="G446" s="83"/>
      <c r="H446" s="84"/>
      <c r="I446" s="85"/>
      <c r="J446" s="72"/>
      <c r="K446" s="73"/>
      <c r="L446" s="72"/>
      <c r="M446" s="73"/>
      <c r="N446" s="72"/>
      <c r="O446" s="73"/>
      <c r="P446" s="72"/>
      <c r="Q446" s="73"/>
      <c r="R446" s="72"/>
      <c r="S446" s="73"/>
      <c r="T446" s="72"/>
      <c r="U446" s="73"/>
      <c r="V446" s="72"/>
      <c r="W446" s="73"/>
      <c r="X446" s="72"/>
      <c r="Y446" s="73"/>
      <c r="Z446" s="74" t="b">
        <v>0</v>
      </c>
      <c r="AA446" s="130">
        <f t="shared" si="175"/>
        <v>0</v>
      </c>
      <c r="AB446" s="131">
        <f t="shared" si="176"/>
        <v>0</v>
      </c>
      <c r="AC446" s="132">
        <f t="shared" si="177"/>
        <v>0</v>
      </c>
      <c r="AD446" s="133">
        <f t="shared" si="178"/>
        <v>0</v>
      </c>
      <c r="AE446" s="131">
        <f t="shared" si="179"/>
        <v>0</v>
      </c>
      <c r="AF446" s="133">
        <f t="shared" si="180"/>
        <v>0</v>
      </c>
      <c r="AG446" s="1"/>
    </row>
    <row r="447" ht="21.0" customHeight="1">
      <c r="A447" s="1"/>
      <c r="B447" s="48" t="s">
        <v>43</v>
      </c>
      <c r="C447" s="49"/>
      <c r="D447" s="86" t="b">
        <v>0</v>
      </c>
      <c r="E447" s="66"/>
      <c r="F447" s="52" t="s">
        <v>37</v>
      </c>
      <c r="G447" s="67"/>
      <c r="H447" s="80"/>
      <c r="I447" s="69"/>
      <c r="J447" s="72"/>
      <c r="K447" s="73"/>
      <c r="L447" s="72"/>
      <c r="M447" s="73"/>
      <c r="N447" s="72"/>
      <c r="O447" s="73"/>
      <c r="P447" s="72"/>
      <c r="Q447" s="73"/>
      <c r="R447" s="72"/>
      <c r="S447" s="73"/>
      <c r="T447" s="72"/>
      <c r="U447" s="73"/>
      <c r="V447" s="72"/>
      <c r="W447" s="73"/>
      <c r="X447" s="72"/>
      <c r="Y447" s="73"/>
      <c r="Z447" s="74" t="b">
        <v>0</v>
      </c>
      <c r="AA447" s="130">
        <f t="shared" si="175"/>
        <v>0</v>
      </c>
      <c r="AB447" s="131">
        <f t="shared" si="176"/>
        <v>0</v>
      </c>
      <c r="AC447" s="132">
        <f t="shared" si="177"/>
        <v>0</v>
      </c>
      <c r="AD447" s="133">
        <f t="shared" si="178"/>
        <v>0</v>
      </c>
      <c r="AE447" s="131">
        <f t="shared" si="179"/>
        <v>0</v>
      </c>
      <c r="AF447" s="133">
        <f t="shared" si="180"/>
        <v>0</v>
      </c>
      <c r="AG447" s="1"/>
    </row>
    <row r="448" ht="21.0" customHeight="1">
      <c r="A448" s="1"/>
      <c r="B448" s="87" t="str">
        <f t="array" ref="B448">"📌최근 인바디 결과 : "&amp;text(xlookup(B440,'현황'!O:O,'현황'!O:O,,-1,-1),"m/d(ddd)")</f>
        <v>#REF!</v>
      </c>
      <c r="C448" s="88"/>
      <c r="D448" s="49"/>
      <c r="E448" s="41"/>
      <c r="F448" s="52" t="s">
        <v>40</v>
      </c>
      <c r="G448" s="79"/>
      <c r="H448" s="80"/>
      <c r="I448" s="69"/>
      <c r="J448" s="72"/>
      <c r="K448" s="73"/>
      <c r="L448" s="72"/>
      <c r="M448" s="73"/>
      <c r="N448" s="72"/>
      <c r="O448" s="73"/>
      <c r="P448" s="72"/>
      <c r="Q448" s="73"/>
      <c r="R448" s="72"/>
      <c r="S448" s="73"/>
      <c r="T448" s="72"/>
      <c r="U448" s="73"/>
      <c r="V448" s="72"/>
      <c r="W448" s="73"/>
      <c r="X448" s="72"/>
      <c r="Y448" s="73"/>
      <c r="Z448" s="74" t="b">
        <v>0</v>
      </c>
      <c r="AA448" s="130">
        <f t="shared" si="175"/>
        <v>0</v>
      </c>
      <c r="AB448" s="131">
        <f t="shared" si="176"/>
        <v>0</v>
      </c>
      <c r="AC448" s="132">
        <f t="shared" si="177"/>
        <v>0</v>
      </c>
      <c r="AD448" s="133">
        <f t="shared" si="178"/>
        <v>0</v>
      </c>
      <c r="AE448" s="131">
        <f t="shared" si="179"/>
        <v>0</v>
      </c>
      <c r="AF448" s="133">
        <f t="shared" si="180"/>
        <v>0</v>
      </c>
      <c r="AG448" s="1"/>
    </row>
    <row r="449" ht="21.0" customHeight="1">
      <c r="A449" s="1"/>
      <c r="B449" s="89" t="s">
        <v>44</v>
      </c>
      <c r="C449" s="49"/>
      <c r="D449" s="90">
        <f t="array" ref="D449">iferror(vlookup(xlookup(B440,'현황'!O:O,'현황'!O:O,,-1,-1),'현황'!O:S,2,false),0)</f>
        <v>0</v>
      </c>
      <c r="E449" s="51" t="s">
        <v>45</v>
      </c>
      <c r="F449" s="52" t="s">
        <v>34</v>
      </c>
      <c r="G449" s="83"/>
      <c r="H449" s="84"/>
      <c r="I449" s="85"/>
      <c r="J449" s="72"/>
      <c r="K449" s="73"/>
      <c r="L449" s="72"/>
      <c r="M449" s="73"/>
      <c r="N449" s="72"/>
      <c r="O449" s="73"/>
      <c r="P449" s="72"/>
      <c r="Q449" s="73"/>
      <c r="R449" s="72"/>
      <c r="S449" s="73"/>
      <c r="T449" s="72"/>
      <c r="U449" s="73"/>
      <c r="V449" s="72"/>
      <c r="W449" s="73"/>
      <c r="X449" s="72"/>
      <c r="Y449" s="73"/>
      <c r="Z449" s="74" t="b">
        <v>0</v>
      </c>
      <c r="AA449" s="130">
        <f t="shared" si="175"/>
        <v>0</v>
      </c>
      <c r="AB449" s="131">
        <f t="shared" si="176"/>
        <v>0</v>
      </c>
      <c r="AC449" s="132">
        <f t="shared" si="177"/>
        <v>0</v>
      </c>
      <c r="AD449" s="133">
        <f t="shared" si="178"/>
        <v>0</v>
      </c>
      <c r="AE449" s="131">
        <f t="shared" si="179"/>
        <v>0</v>
      </c>
      <c r="AF449" s="133">
        <f t="shared" si="180"/>
        <v>0</v>
      </c>
      <c r="AG449" s="1"/>
    </row>
    <row r="450" ht="21.0" customHeight="1">
      <c r="A450" s="1"/>
      <c r="B450" s="48" t="s">
        <v>46</v>
      </c>
      <c r="C450" s="49"/>
      <c r="D450" s="91">
        <f t="array" ref="D450">iferror(vlookup(xlookup(B440,'현황'!O:O,'현황'!O:O,,-1,-1),'현황'!O:S,3,false),0)</f>
        <v>0</v>
      </c>
      <c r="E450" s="66"/>
      <c r="F450" s="52" t="s">
        <v>37</v>
      </c>
      <c r="G450" s="67"/>
      <c r="H450" s="80"/>
      <c r="I450" s="69"/>
      <c r="J450" s="72"/>
      <c r="K450" s="73"/>
      <c r="L450" s="72"/>
      <c r="M450" s="73"/>
      <c r="N450" s="72"/>
      <c r="O450" s="73"/>
      <c r="P450" s="72"/>
      <c r="Q450" s="73"/>
      <c r="R450" s="72"/>
      <c r="S450" s="73"/>
      <c r="T450" s="72"/>
      <c r="U450" s="73"/>
      <c r="V450" s="72"/>
      <c r="W450" s="73"/>
      <c r="X450" s="72"/>
      <c r="Y450" s="73"/>
      <c r="Z450" s="74" t="b">
        <v>0</v>
      </c>
      <c r="AA450" s="130">
        <f t="shared" si="175"/>
        <v>0</v>
      </c>
      <c r="AB450" s="131">
        <f t="shared" si="176"/>
        <v>0</v>
      </c>
      <c r="AC450" s="132">
        <f t="shared" si="177"/>
        <v>0</v>
      </c>
      <c r="AD450" s="133">
        <f t="shared" si="178"/>
        <v>0</v>
      </c>
      <c r="AE450" s="131">
        <f t="shared" si="179"/>
        <v>0</v>
      </c>
      <c r="AF450" s="133">
        <f t="shared" si="180"/>
        <v>0</v>
      </c>
      <c r="AG450" s="1"/>
    </row>
    <row r="451" ht="21.0" customHeight="1">
      <c r="A451" s="1"/>
      <c r="B451" s="48" t="s">
        <v>47</v>
      </c>
      <c r="C451" s="49"/>
      <c r="D451" s="91">
        <f t="array" ref="D451">iferror(vlookup(xlookup(B440,'현황'!O:O,'현황'!O:O,,-1,-1),'현황'!O:S,4,false),0)</f>
        <v>0</v>
      </c>
      <c r="E451" s="41"/>
      <c r="F451" s="92" t="s">
        <v>40</v>
      </c>
      <c r="G451" s="79"/>
      <c r="H451" s="93"/>
      <c r="I451" s="94"/>
      <c r="J451" s="95"/>
      <c r="K451" s="96"/>
      <c r="L451" s="95"/>
      <c r="M451" s="96"/>
      <c r="N451" s="95"/>
      <c r="O451" s="96"/>
      <c r="P451" s="95"/>
      <c r="Q451" s="96"/>
      <c r="R451" s="95"/>
      <c r="S451" s="96"/>
      <c r="T451" s="95"/>
      <c r="U451" s="96"/>
      <c r="V451" s="95"/>
      <c r="W451" s="96"/>
      <c r="X451" s="95"/>
      <c r="Y451" s="96"/>
      <c r="Z451" s="97" t="b">
        <v>0</v>
      </c>
      <c r="AA451" s="135">
        <f t="shared" si="175"/>
        <v>0</v>
      </c>
      <c r="AB451" s="136">
        <f t="shared" si="176"/>
        <v>0</v>
      </c>
      <c r="AC451" s="137">
        <f t="shared" si="177"/>
        <v>0</v>
      </c>
      <c r="AD451" s="138">
        <f t="shared" si="178"/>
        <v>0</v>
      </c>
      <c r="AE451" s="136">
        <f t="shared" si="179"/>
        <v>0</v>
      </c>
      <c r="AF451" s="138">
        <f t="shared" si="180"/>
        <v>0</v>
      </c>
      <c r="AG451" s="1"/>
    </row>
    <row r="452" ht="21.0" customHeight="1">
      <c r="A452" s="1"/>
      <c r="B452" s="102" t="s">
        <v>48</v>
      </c>
      <c r="C452" s="103"/>
      <c r="D452" s="104">
        <f>iferror(D451/D449,0)</f>
        <v>0</v>
      </c>
      <c r="E452" s="102" t="s">
        <v>49</v>
      </c>
      <c r="F452" s="103"/>
      <c r="G452" s="105"/>
      <c r="H452" s="106" t="s">
        <v>50</v>
      </c>
      <c r="I452" s="107"/>
      <c r="J452" s="11"/>
      <c r="K452" s="11"/>
      <c r="L452" s="11"/>
      <c r="M452" s="11"/>
      <c r="N452" s="11"/>
      <c r="O452" s="11"/>
      <c r="P452" s="108" t="s">
        <v>51</v>
      </c>
      <c r="Q452" s="12"/>
      <c r="R452" s="109"/>
      <c r="S452" s="11"/>
      <c r="T452" s="11"/>
      <c r="U452" s="11"/>
      <c r="V452" s="11"/>
      <c r="W452" s="11"/>
      <c r="X452" s="11"/>
      <c r="Y452" s="11"/>
      <c r="Z452" s="12"/>
      <c r="AA452" s="139">
        <f>SUM(AA443:AA451)</f>
        <v>0</v>
      </c>
      <c r="AB452" s="140" t="s">
        <v>157</v>
      </c>
      <c r="AG452" s="1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1"/>
      <c r="AA453" s="1"/>
      <c r="AB453" s="1"/>
      <c r="AC453" s="3"/>
      <c r="AD453" s="1"/>
      <c r="AE453" s="1"/>
      <c r="AF453" s="1"/>
      <c r="AG453" s="1"/>
    </row>
    <row r="454" ht="21.0" customHeight="1">
      <c r="A454" s="1"/>
      <c r="B454" s="4" t="s">
        <v>1</v>
      </c>
      <c r="C454" s="5"/>
      <c r="D454" s="6" t="s">
        <v>2</v>
      </c>
      <c r="E454" s="7"/>
      <c r="F454" s="7"/>
      <c r="G454" s="5"/>
      <c r="H454" s="8" t="s">
        <v>3</v>
      </c>
      <c r="I454" s="8" t="s">
        <v>4</v>
      </c>
      <c r="J454" s="9" t="s">
        <v>5</v>
      </c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5"/>
      <c r="AA454" s="117" t="s">
        <v>6</v>
      </c>
      <c r="AB454" s="11"/>
      <c r="AC454" s="11"/>
      <c r="AD454" s="11"/>
      <c r="AE454" s="11"/>
      <c r="AF454" s="12"/>
      <c r="AG454" s="1"/>
    </row>
    <row r="455" ht="21.0" customHeight="1">
      <c r="A455" s="1"/>
      <c r="B455" s="149" t="s">
        <v>138</v>
      </c>
      <c r="C455" s="14" t="str">
        <f>if(B455="0/0","",choose(weekday(B455),"(일)","(월)","(화)","(수)","(목)","(금)","(토)"))</f>
        <v/>
      </c>
      <c r="D455" s="15" t="s">
        <v>7</v>
      </c>
      <c r="E455" s="16" t="s">
        <v>8</v>
      </c>
      <c r="F455" s="17"/>
      <c r="G455" s="18" t="s">
        <v>9</v>
      </c>
      <c r="H455" s="150" t="s">
        <v>139</v>
      </c>
      <c r="I455" s="151"/>
      <c r="J455" s="21" t="s">
        <v>12</v>
      </c>
      <c r="K455" s="22"/>
      <c r="L455" s="21" t="s">
        <v>13</v>
      </c>
      <c r="M455" s="22"/>
      <c r="N455" s="21" t="s">
        <v>14</v>
      </c>
      <c r="O455" s="22"/>
      <c r="P455" s="21" t="s">
        <v>15</v>
      </c>
      <c r="Q455" s="22"/>
      <c r="R455" s="23" t="s">
        <v>16</v>
      </c>
      <c r="S455" s="22"/>
      <c r="T455" s="23" t="s">
        <v>17</v>
      </c>
      <c r="U455" s="22"/>
      <c r="V455" s="23" t="s">
        <v>18</v>
      </c>
      <c r="W455" s="22"/>
      <c r="X455" s="23" t="s">
        <v>19</v>
      </c>
      <c r="Y455" s="22"/>
      <c r="Z455" s="24" t="s">
        <v>158</v>
      </c>
      <c r="AA455" s="118" t="s">
        <v>21</v>
      </c>
      <c r="AB455" s="119" t="s">
        <v>22</v>
      </c>
      <c r="AC455" s="7"/>
      <c r="AD455" s="22"/>
      <c r="AE455" s="120" t="s">
        <v>23</v>
      </c>
      <c r="AF455" s="22"/>
      <c r="AG455" s="1"/>
    </row>
    <row r="456" ht="21.0" customHeight="1">
      <c r="A456" s="1"/>
      <c r="B456" s="27">
        <f>iferror(B455-'현황'!$C$4+1,0)</f>
        <v>0</v>
      </c>
      <c r="C456" s="28"/>
      <c r="D456" s="29">
        <v>0.0</v>
      </c>
      <c r="E456" s="30">
        <v>0.0</v>
      </c>
      <c r="F456" s="31"/>
      <c r="G456" s="32">
        <v>0.0</v>
      </c>
      <c r="H456" s="33">
        <v>0.0</v>
      </c>
      <c r="I456" s="34"/>
      <c r="J456" s="35"/>
      <c r="K456" s="36"/>
      <c r="L456" s="35"/>
      <c r="M456" s="36"/>
      <c r="N456" s="35"/>
      <c r="O456" s="36"/>
      <c r="P456" s="35"/>
      <c r="Q456" s="36"/>
      <c r="R456" s="35"/>
      <c r="S456" s="36"/>
      <c r="T456" s="35"/>
      <c r="U456" s="36"/>
      <c r="V456" s="35"/>
      <c r="W456" s="36"/>
      <c r="X456" s="35"/>
      <c r="Y456" s="36"/>
      <c r="Z456" s="37"/>
      <c r="AA456" s="37"/>
      <c r="AB456" s="35"/>
      <c r="AC456" s="38"/>
      <c r="AD456" s="36"/>
      <c r="AE456" s="35"/>
      <c r="AF456" s="36"/>
      <c r="AG456" s="1"/>
    </row>
    <row r="457" ht="21.0" customHeight="1">
      <c r="A457" s="1"/>
      <c r="B457" s="39" t="s">
        <v>24</v>
      </c>
      <c r="C457" s="40"/>
      <c r="D457" s="41"/>
      <c r="E457" s="42" t="s">
        <v>25</v>
      </c>
      <c r="F457" s="40"/>
      <c r="G457" s="41"/>
      <c r="H457" s="43" t="s">
        <v>26</v>
      </c>
      <c r="J457" s="44" t="s">
        <v>27</v>
      </c>
      <c r="K457" s="45" t="s">
        <v>28</v>
      </c>
      <c r="L457" s="44" t="s">
        <v>27</v>
      </c>
      <c r="M457" s="45" t="s">
        <v>28</v>
      </c>
      <c r="N457" s="44" t="s">
        <v>27</v>
      </c>
      <c r="O457" s="45" t="s">
        <v>28</v>
      </c>
      <c r="P457" s="44" t="s">
        <v>27</v>
      </c>
      <c r="Q457" s="45" t="s">
        <v>28</v>
      </c>
      <c r="R457" s="44" t="s">
        <v>27</v>
      </c>
      <c r="S457" s="45" t="s">
        <v>28</v>
      </c>
      <c r="T457" s="44" t="s">
        <v>27</v>
      </c>
      <c r="U457" s="45" t="s">
        <v>28</v>
      </c>
      <c r="V457" s="44" t="s">
        <v>27</v>
      </c>
      <c r="W457" s="45" t="s">
        <v>28</v>
      </c>
      <c r="X457" s="44" t="s">
        <v>27</v>
      </c>
      <c r="Y457" s="45" t="s">
        <v>28</v>
      </c>
      <c r="Z457" s="46"/>
      <c r="AA457" s="46"/>
      <c r="AB457" s="121" t="s">
        <v>29</v>
      </c>
      <c r="AC457" s="122" t="s">
        <v>30</v>
      </c>
      <c r="AD457" s="123" t="s">
        <v>31</v>
      </c>
      <c r="AE457" s="121" t="s">
        <v>27</v>
      </c>
      <c r="AF457" s="123" t="s">
        <v>28</v>
      </c>
      <c r="AG457" s="1"/>
    </row>
    <row r="458" ht="21.0" customHeight="1">
      <c r="A458" s="1"/>
      <c r="B458" s="48" t="s">
        <v>32</v>
      </c>
      <c r="C458" s="49"/>
      <c r="D458" s="50"/>
      <c r="E458" s="51" t="s">
        <v>33</v>
      </c>
      <c r="F458" s="52" t="s">
        <v>34</v>
      </c>
      <c r="G458" s="53"/>
      <c r="H458" s="148"/>
      <c r="I458" s="55"/>
      <c r="J458" s="58"/>
      <c r="K458" s="59"/>
      <c r="L458" s="58"/>
      <c r="M458" s="59"/>
      <c r="N458" s="58"/>
      <c r="O458" s="59"/>
      <c r="P458" s="58"/>
      <c r="Q458" s="59"/>
      <c r="R458" s="58"/>
      <c r="S458" s="59"/>
      <c r="T458" s="58"/>
      <c r="U458" s="59"/>
      <c r="V458" s="58"/>
      <c r="W458" s="59"/>
      <c r="X458" s="58"/>
      <c r="Y458" s="59"/>
      <c r="Z458" s="60" t="b">
        <v>0</v>
      </c>
      <c r="AA458" s="125">
        <f t="shared" ref="AA458:AA466" si="181">(J458*K458+L458*M458+N458*O458+P458*Q458+R458*S458+T458*U458+V458*W458+X458*Y458)*if(Z458=true,0.453592,1)</f>
        <v>0</v>
      </c>
      <c r="AB458" s="126">
        <f t="shared" ref="AB458:AB466" si="182">SUM(AE458*AF458*0.025,AE458)</f>
        <v>0</v>
      </c>
      <c r="AC458" s="127">
        <f t="shared" ref="AC458:AC466" si="183">AB458*87%</f>
        <v>0</v>
      </c>
      <c r="AD458" s="128">
        <f t="shared" ref="AD458:AD466" si="184">AB458*67%</f>
        <v>0</v>
      </c>
      <c r="AE458" s="126">
        <f t="shared" ref="AE458:AE466" si="185">MAX(J458,L458,N458,P458,R458,T458,V458,X458)*if(Z458=true,0.453592,1)</f>
        <v>0</v>
      </c>
      <c r="AF458" s="128">
        <f t="shared" ref="AF458:AF466" si="186">MAX(IF(J458*if(Z458=true,0.453592,1)=$AE458,K458,0),IF(L458*if(Z458=true,0.453592,1)=$AE458,M458,0),IF(N458*if(Z458=true,0.453592,1)=$AE458,O458,0),IF(P458*if(Z458=true,0.453592,1)=$AE458,Q458,0),IF(R458*if(Z458=true,0.453592,1)=$AE458,S458,0),IF(T458*if(Z458=true,0.453592,1)=$AE458,U458,0),IF(V458*if(Z458=true,0.453592,1)=$AE458,W458,0),IF(X458*if(Z458=true,0.453592,1)=$AE458,Y458,0))</f>
        <v>0</v>
      </c>
      <c r="AG458" s="1"/>
    </row>
    <row r="459" ht="21.0" customHeight="1">
      <c r="A459" s="1"/>
      <c r="B459" s="48" t="s">
        <v>36</v>
      </c>
      <c r="C459" s="49"/>
      <c r="D459" s="65"/>
      <c r="E459" s="66"/>
      <c r="F459" s="52" t="s">
        <v>37</v>
      </c>
      <c r="G459" s="67"/>
      <c r="H459" s="129"/>
      <c r="I459" s="69"/>
      <c r="J459" s="72"/>
      <c r="K459" s="73"/>
      <c r="L459" s="72"/>
      <c r="M459" s="73"/>
      <c r="N459" s="72"/>
      <c r="O459" s="73"/>
      <c r="P459" s="72"/>
      <c r="Q459" s="73"/>
      <c r="R459" s="72"/>
      <c r="S459" s="73"/>
      <c r="T459" s="72"/>
      <c r="U459" s="73"/>
      <c r="V459" s="72"/>
      <c r="W459" s="73"/>
      <c r="X459" s="72"/>
      <c r="Y459" s="73"/>
      <c r="Z459" s="74" t="b">
        <v>0</v>
      </c>
      <c r="AA459" s="130">
        <f t="shared" si="181"/>
        <v>0</v>
      </c>
      <c r="AB459" s="131">
        <f t="shared" si="182"/>
        <v>0</v>
      </c>
      <c r="AC459" s="132">
        <f t="shared" si="183"/>
        <v>0</v>
      </c>
      <c r="AD459" s="133">
        <f t="shared" si="184"/>
        <v>0</v>
      </c>
      <c r="AE459" s="131">
        <f t="shared" si="185"/>
        <v>0</v>
      </c>
      <c r="AF459" s="133">
        <f t="shared" si="186"/>
        <v>0</v>
      </c>
      <c r="AG459" s="1"/>
    </row>
    <row r="460" ht="21.0" customHeight="1">
      <c r="A460" s="1"/>
      <c r="B460" s="48" t="s">
        <v>39</v>
      </c>
      <c r="C460" s="49"/>
      <c r="D460" s="65"/>
      <c r="E460" s="41"/>
      <c r="F460" s="52" t="s">
        <v>40</v>
      </c>
      <c r="G460" s="79"/>
      <c r="H460" s="80"/>
      <c r="I460" s="69"/>
      <c r="J460" s="72"/>
      <c r="K460" s="73"/>
      <c r="L460" s="72"/>
      <c r="M460" s="73"/>
      <c r="N460" s="72"/>
      <c r="O460" s="73"/>
      <c r="P460" s="72"/>
      <c r="Q460" s="73"/>
      <c r="R460" s="72"/>
      <c r="S460" s="73"/>
      <c r="T460" s="72"/>
      <c r="U460" s="73"/>
      <c r="V460" s="72"/>
      <c r="W460" s="73"/>
      <c r="X460" s="72"/>
      <c r="Y460" s="73"/>
      <c r="Z460" s="74" t="b">
        <v>0</v>
      </c>
      <c r="AA460" s="130">
        <f t="shared" si="181"/>
        <v>0</v>
      </c>
      <c r="AB460" s="131">
        <f t="shared" si="182"/>
        <v>0</v>
      </c>
      <c r="AC460" s="132">
        <f t="shared" si="183"/>
        <v>0</v>
      </c>
      <c r="AD460" s="133">
        <f t="shared" si="184"/>
        <v>0</v>
      </c>
      <c r="AE460" s="131">
        <f t="shared" si="185"/>
        <v>0</v>
      </c>
      <c r="AF460" s="133">
        <f t="shared" si="186"/>
        <v>0</v>
      </c>
      <c r="AG460" s="1"/>
    </row>
    <row r="461" ht="21.0" customHeight="1">
      <c r="A461" s="1"/>
      <c r="B461" s="48" t="s">
        <v>41</v>
      </c>
      <c r="C461" s="81"/>
      <c r="D461" s="82" t="b">
        <v>0</v>
      </c>
      <c r="E461" s="51" t="s">
        <v>42</v>
      </c>
      <c r="F461" s="52" t="s">
        <v>34</v>
      </c>
      <c r="G461" s="83"/>
      <c r="H461" s="84"/>
      <c r="I461" s="85"/>
      <c r="J461" s="72"/>
      <c r="K461" s="73"/>
      <c r="L461" s="72"/>
      <c r="M461" s="73"/>
      <c r="N461" s="72"/>
      <c r="O461" s="73"/>
      <c r="P461" s="72"/>
      <c r="Q461" s="73"/>
      <c r="R461" s="72"/>
      <c r="S461" s="73"/>
      <c r="T461" s="72"/>
      <c r="U461" s="73"/>
      <c r="V461" s="72"/>
      <c r="W461" s="73"/>
      <c r="X461" s="72"/>
      <c r="Y461" s="73"/>
      <c r="Z461" s="74" t="b">
        <v>0</v>
      </c>
      <c r="AA461" s="130">
        <f t="shared" si="181"/>
        <v>0</v>
      </c>
      <c r="AB461" s="131">
        <f t="shared" si="182"/>
        <v>0</v>
      </c>
      <c r="AC461" s="132">
        <f t="shared" si="183"/>
        <v>0</v>
      </c>
      <c r="AD461" s="133">
        <f t="shared" si="184"/>
        <v>0</v>
      </c>
      <c r="AE461" s="131">
        <f t="shared" si="185"/>
        <v>0</v>
      </c>
      <c r="AF461" s="133">
        <f t="shared" si="186"/>
        <v>0</v>
      </c>
      <c r="AG461" s="1"/>
    </row>
    <row r="462" ht="21.0" customHeight="1">
      <c r="A462" s="1"/>
      <c r="B462" s="48" t="s">
        <v>43</v>
      </c>
      <c r="C462" s="49"/>
      <c r="D462" s="86" t="b">
        <v>0</v>
      </c>
      <c r="E462" s="66"/>
      <c r="F462" s="52" t="s">
        <v>37</v>
      </c>
      <c r="G462" s="67"/>
      <c r="H462" s="80"/>
      <c r="I462" s="69"/>
      <c r="J462" s="72"/>
      <c r="K462" s="73"/>
      <c r="L462" s="72"/>
      <c r="M462" s="73"/>
      <c r="N462" s="72"/>
      <c r="O462" s="73"/>
      <c r="P462" s="72"/>
      <c r="Q462" s="73"/>
      <c r="R462" s="72"/>
      <c r="S462" s="73"/>
      <c r="T462" s="72"/>
      <c r="U462" s="73"/>
      <c r="V462" s="72"/>
      <c r="W462" s="73"/>
      <c r="X462" s="72"/>
      <c r="Y462" s="73"/>
      <c r="Z462" s="74" t="b">
        <v>0</v>
      </c>
      <c r="AA462" s="130">
        <f t="shared" si="181"/>
        <v>0</v>
      </c>
      <c r="AB462" s="131">
        <f t="shared" si="182"/>
        <v>0</v>
      </c>
      <c r="AC462" s="132">
        <f t="shared" si="183"/>
        <v>0</v>
      </c>
      <c r="AD462" s="133">
        <f t="shared" si="184"/>
        <v>0</v>
      </c>
      <c r="AE462" s="131">
        <f t="shared" si="185"/>
        <v>0</v>
      </c>
      <c r="AF462" s="133">
        <f t="shared" si="186"/>
        <v>0</v>
      </c>
      <c r="AG462" s="1"/>
    </row>
    <row r="463" ht="21.0" customHeight="1">
      <c r="A463" s="1"/>
      <c r="B463" s="87" t="str">
        <f t="array" ref="B463">"📌최근 인바디 결과 : "&amp;text(xlookup(B455,'현황'!O:O,'현황'!O:O,,-1,-1),"m/d(ddd)")</f>
        <v>#REF!</v>
      </c>
      <c r="C463" s="88"/>
      <c r="D463" s="49"/>
      <c r="E463" s="41"/>
      <c r="F463" s="52" t="s">
        <v>40</v>
      </c>
      <c r="G463" s="79"/>
      <c r="H463" s="80"/>
      <c r="I463" s="69"/>
      <c r="J463" s="72"/>
      <c r="K463" s="73"/>
      <c r="L463" s="72"/>
      <c r="M463" s="73"/>
      <c r="N463" s="72"/>
      <c r="O463" s="73"/>
      <c r="P463" s="72"/>
      <c r="Q463" s="73"/>
      <c r="R463" s="72"/>
      <c r="S463" s="73"/>
      <c r="T463" s="72"/>
      <c r="U463" s="73"/>
      <c r="V463" s="72"/>
      <c r="W463" s="73"/>
      <c r="X463" s="72"/>
      <c r="Y463" s="73"/>
      <c r="Z463" s="74" t="b">
        <v>0</v>
      </c>
      <c r="AA463" s="130">
        <f t="shared" si="181"/>
        <v>0</v>
      </c>
      <c r="AB463" s="131">
        <f t="shared" si="182"/>
        <v>0</v>
      </c>
      <c r="AC463" s="132">
        <f t="shared" si="183"/>
        <v>0</v>
      </c>
      <c r="AD463" s="133">
        <f t="shared" si="184"/>
        <v>0</v>
      </c>
      <c r="AE463" s="131">
        <f t="shared" si="185"/>
        <v>0</v>
      </c>
      <c r="AF463" s="133">
        <f t="shared" si="186"/>
        <v>0</v>
      </c>
      <c r="AG463" s="1"/>
    </row>
    <row r="464" ht="21.0" customHeight="1">
      <c r="A464" s="1"/>
      <c r="B464" s="89" t="s">
        <v>44</v>
      </c>
      <c r="C464" s="49"/>
      <c r="D464" s="90">
        <f t="array" ref="D464">iferror(vlookup(xlookup(B455,'현황'!O:O,'현황'!O:O,,-1,-1),'현황'!O:S,2,false),0)</f>
        <v>0</v>
      </c>
      <c r="E464" s="51" t="s">
        <v>45</v>
      </c>
      <c r="F464" s="52" t="s">
        <v>34</v>
      </c>
      <c r="G464" s="83"/>
      <c r="H464" s="84"/>
      <c r="I464" s="85"/>
      <c r="J464" s="72"/>
      <c r="K464" s="73"/>
      <c r="L464" s="72"/>
      <c r="M464" s="73"/>
      <c r="N464" s="72"/>
      <c r="O464" s="73"/>
      <c r="P464" s="72"/>
      <c r="Q464" s="73"/>
      <c r="R464" s="72"/>
      <c r="S464" s="73"/>
      <c r="T464" s="72"/>
      <c r="U464" s="73"/>
      <c r="V464" s="72"/>
      <c r="W464" s="73"/>
      <c r="X464" s="72"/>
      <c r="Y464" s="73"/>
      <c r="Z464" s="74" t="b">
        <v>0</v>
      </c>
      <c r="AA464" s="130">
        <f t="shared" si="181"/>
        <v>0</v>
      </c>
      <c r="AB464" s="131">
        <f t="shared" si="182"/>
        <v>0</v>
      </c>
      <c r="AC464" s="132">
        <f t="shared" si="183"/>
        <v>0</v>
      </c>
      <c r="AD464" s="133">
        <f t="shared" si="184"/>
        <v>0</v>
      </c>
      <c r="AE464" s="131">
        <f t="shared" si="185"/>
        <v>0</v>
      </c>
      <c r="AF464" s="133">
        <f t="shared" si="186"/>
        <v>0</v>
      </c>
      <c r="AG464" s="1"/>
    </row>
    <row r="465" ht="21.0" customHeight="1">
      <c r="A465" s="1"/>
      <c r="B465" s="48" t="s">
        <v>46</v>
      </c>
      <c r="C465" s="49"/>
      <c r="D465" s="91">
        <f t="array" ref="D465">iferror(vlookup(xlookup(B455,'현황'!O:O,'현황'!O:O,,-1,-1),'현황'!O:S,3,false),0)</f>
        <v>0</v>
      </c>
      <c r="E465" s="66"/>
      <c r="F465" s="52" t="s">
        <v>37</v>
      </c>
      <c r="G465" s="67"/>
      <c r="H465" s="80"/>
      <c r="I465" s="69"/>
      <c r="J465" s="72"/>
      <c r="K465" s="73"/>
      <c r="L465" s="72"/>
      <c r="M465" s="73"/>
      <c r="N465" s="72"/>
      <c r="O465" s="73"/>
      <c r="P465" s="72"/>
      <c r="Q465" s="73"/>
      <c r="R465" s="72"/>
      <c r="S465" s="73"/>
      <c r="T465" s="72"/>
      <c r="U465" s="73"/>
      <c r="V465" s="72"/>
      <c r="W465" s="73"/>
      <c r="X465" s="72"/>
      <c r="Y465" s="73"/>
      <c r="Z465" s="74" t="b">
        <v>0</v>
      </c>
      <c r="AA465" s="130">
        <f t="shared" si="181"/>
        <v>0</v>
      </c>
      <c r="AB465" s="131">
        <f t="shared" si="182"/>
        <v>0</v>
      </c>
      <c r="AC465" s="132">
        <f t="shared" si="183"/>
        <v>0</v>
      </c>
      <c r="AD465" s="133">
        <f t="shared" si="184"/>
        <v>0</v>
      </c>
      <c r="AE465" s="131">
        <f t="shared" si="185"/>
        <v>0</v>
      </c>
      <c r="AF465" s="133">
        <f t="shared" si="186"/>
        <v>0</v>
      </c>
      <c r="AG465" s="1"/>
    </row>
    <row r="466" ht="21.0" customHeight="1">
      <c r="A466" s="1"/>
      <c r="B466" s="48" t="s">
        <v>47</v>
      </c>
      <c r="C466" s="49"/>
      <c r="D466" s="91">
        <f t="array" ref="D466">iferror(vlookup(xlookup(B455,'현황'!O:O,'현황'!O:O,,-1,-1),'현황'!O:S,4,false),0)</f>
        <v>0</v>
      </c>
      <c r="E466" s="41"/>
      <c r="F466" s="92" t="s">
        <v>40</v>
      </c>
      <c r="G466" s="79"/>
      <c r="H466" s="93"/>
      <c r="I466" s="94"/>
      <c r="J466" s="95"/>
      <c r="K466" s="96"/>
      <c r="L466" s="95"/>
      <c r="M466" s="96"/>
      <c r="N466" s="95"/>
      <c r="O466" s="96"/>
      <c r="P466" s="95"/>
      <c r="Q466" s="96"/>
      <c r="R466" s="95"/>
      <c r="S466" s="96"/>
      <c r="T466" s="95"/>
      <c r="U466" s="96"/>
      <c r="V466" s="95"/>
      <c r="W466" s="96"/>
      <c r="X466" s="95"/>
      <c r="Y466" s="96"/>
      <c r="Z466" s="97" t="b">
        <v>0</v>
      </c>
      <c r="AA466" s="135">
        <f t="shared" si="181"/>
        <v>0</v>
      </c>
      <c r="AB466" s="136">
        <f t="shared" si="182"/>
        <v>0</v>
      </c>
      <c r="AC466" s="137">
        <f t="shared" si="183"/>
        <v>0</v>
      </c>
      <c r="AD466" s="138">
        <f t="shared" si="184"/>
        <v>0</v>
      </c>
      <c r="AE466" s="136">
        <f t="shared" si="185"/>
        <v>0</v>
      </c>
      <c r="AF466" s="138">
        <f t="shared" si="186"/>
        <v>0</v>
      </c>
      <c r="AG466" s="1"/>
    </row>
    <row r="467" ht="21.0" customHeight="1">
      <c r="A467" s="1"/>
      <c r="B467" s="102" t="s">
        <v>48</v>
      </c>
      <c r="C467" s="103"/>
      <c r="D467" s="104">
        <f>iferror(D466/D464,0)</f>
        <v>0</v>
      </c>
      <c r="E467" s="102" t="s">
        <v>49</v>
      </c>
      <c r="F467" s="103"/>
      <c r="G467" s="105"/>
      <c r="H467" s="106" t="s">
        <v>50</v>
      </c>
      <c r="I467" s="107"/>
      <c r="J467" s="11"/>
      <c r="K467" s="11"/>
      <c r="L467" s="11"/>
      <c r="M467" s="11"/>
      <c r="N467" s="11"/>
      <c r="O467" s="11"/>
      <c r="P467" s="108" t="s">
        <v>51</v>
      </c>
      <c r="Q467" s="12"/>
      <c r="R467" s="109"/>
      <c r="S467" s="11"/>
      <c r="T467" s="11"/>
      <c r="U467" s="11"/>
      <c r="V467" s="11"/>
      <c r="W467" s="11"/>
      <c r="X467" s="11"/>
      <c r="Y467" s="11"/>
      <c r="Z467" s="12"/>
      <c r="AA467" s="139">
        <f>SUM(AA458:AA466)</f>
        <v>0</v>
      </c>
      <c r="AB467" s="140" t="s">
        <v>159</v>
      </c>
      <c r="AG467" s="1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1"/>
      <c r="AA468" s="1"/>
      <c r="AB468" s="1"/>
      <c r="AC468" s="3"/>
      <c r="AD468" s="1"/>
      <c r="AE468" s="1"/>
      <c r="AF468" s="1"/>
      <c r="AG468" s="1"/>
    </row>
    <row r="469" ht="21.0" customHeight="1">
      <c r="A469" s="1"/>
      <c r="B469" s="4" t="s">
        <v>1</v>
      </c>
      <c r="C469" s="5"/>
      <c r="D469" s="6" t="s">
        <v>2</v>
      </c>
      <c r="E469" s="7"/>
      <c r="F469" s="7"/>
      <c r="G469" s="5"/>
      <c r="H469" s="8" t="s">
        <v>3</v>
      </c>
      <c r="I469" s="8" t="s">
        <v>4</v>
      </c>
      <c r="J469" s="9" t="s">
        <v>5</v>
      </c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5"/>
      <c r="AA469" s="117" t="s">
        <v>6</v>
      </c>
      <c r="AB469" s="11"/>
      <c r="AC469" s="11"/>
      <c r="AD469" s="11"/>
      <c r="AE469" s="11"/>
      <c r="AF469" s="12"/>
      <c r="AG469" s="1"/>
    </row>
    <row r="470" ht="21.0" customHeight="1">
      <c r="A470" s="1"/>
      <c r="B470" s="149" t="s">
        <v>138</v>
      </c>
      <c r="C470" s="14" t="str">
        <f>if(B470="0/0","",choose(weekday(B470),"(일)","(월)","(화)","(수)","(목)","(금)","(토)"))</f>
        <v/>
      </c>
      <c r="D470" s="15" t="s">
        <v>7</v>
      </c>
      <c r="E470" s="16" t="s">
        <v>8</v>
      </c>
      <c r="F470" s="17"/>
      <c r="G470" s="18" t="s">
        <v>9</v>
      </c>
      <c r="H470" s="150" t="s">
        <v>139</v>
      </c>
      <c r="I470" s="151"/>
      <c r="J470" s="21" t="s">
        <v>12</v>
      </c>
      <c r="K470" s="22"/>
      <c r="L470" s="21" t="s">
        <v>13</v>
      </c>
      <c r="M470" s="22"/>
      <c r="N470" s="21" t="s">
        <v>14</v>
      </c>
      <c r="O470" s="22"/>
      <c r="P470" s="21" t="s">
        <v>15</v>
      </c>
      <c r="Q470" s="22"/>
      <c r="R470" s="23" t="s">
        <v>16</v>
      </c>
      <c r="S470" s="22"/>
      <c r="T470" s="23" t="s">
        <v>17</v>
      </c>
      <c r="U470" s="22"/>
      <c r="V470" s="23" t="s">
        <v>18</v>
      </c>
      <c r="W470" s="22"/>
      <c r="X470" s="23" t="s">
        <v>19</v>
      </c>
      <c r="Y470" s="22"/>
      <c r="Z470" s="24" t="s">
        <v>160</v>
      </c>
      <c r="AA470" s="118" t="s">
        <v>21</v>
      </c>
      <c r="AB470" s="119" t="s">
        <v>22</v>
      </c>
      <c r="AC470" s="7"/>
      <c r="AD470" s="22"/>
      <c r="AE470" s="120" t="s">
        <v>23</v>
      </c>
      <c r="AF470" s="22"/>
      <c r="AG470" s="1"/>
    </row>
    <row r="471" ht="21.0" customHeight="1">
      <c r="A471" s="1"/>
      <c r="B471" s="27">
        <f>iferror(B470-'현황'!$C$4+1,0)</f>
        <v>0</v>
      </c>
      <c r="C471" s="28"/>
      <c r="D471" s="29">
        <v>0.0</v>
      </c>
      <c r="E471" s="30">
        <v>0.0</v>
      </c>
      <c r="F471" s="31"/>
      <c r="G471" s="32">
        <v>0.0</v>
      </c>
      <c r="H471" s="33">
        <v>0.0</v>
      </c>
      <c r="I471" s="34"/>
      <c r="J471" s="35"/>
      <c r="K471" s="36"/>
      <c r="L471" s="35"/>
      <c r="M471" s="36"/>
      <c r="N471" s="35"/>
      <c r="O471" s="36"/>
      <c r="P471" s="35"/>
      <c r="Q471" s="36"/>
      <c r="R471" s="35"/>
      <c r="S471" s="36"/>
      <c r="T471" s="35"/>
      <c r="U471" s="36"/>
      <c r="V471" s="35"/>
      <c r="W471" s="36"/>
      <c r="X471" s="35"/>
      <c r="Y471" s="36"/>
      <c r="Z471" s="37"/>
      <c r="AA471" s="37"/>
      <c r="AB471" s="35"/>
      <c r="AC471" s="38"/>
      <c r="AD471" s="36"/>
      <c r="AE471" s="35"/>
      <c r="AF471" s="36"/>
      <c r="AG471" s="1"/>
    </row>
    <row r="472" ht="21.0" customHeight="1">
      <c r="A472" s="1"/>
      <c r="B472" s="39" t="s">
        <v>24</v>
      </c>
      <c r="C472" s="40"/>
      <c r="D472" s="41"/>
      <c r="E472" s="42" t="s">
        <v>25</v>
      </c>
      <c r="F472" s="40"/>
      <c r="G472" s="41"/>
      <c r="H472" s="43" t="s">
        <v>26</v>
      </c>
      <c r="J472" s="44" t="s">
        <v>27</v>
      </c>
      <c r="K472" s="45" t="s">
        <v>28</v>
      </c>
      <c r="L472" s="44" t="s">
        <v>27</v>
      </c>
      <c r="M472" s="45" t="s">
        <v>28</v>
      </c>
      <c r="N472" s="44" t="s">
        <v>27</v>
      </c>
      <c r="O472" s="45" t="s">
        <v>28</v>
      </c>
      <c r="P472" s="44" t="s">
        <v>27</v>
      </c>
      <c r="Q472" s="45" t="s">
        <v>28</v>
      </c>
      <c r="R472" s="44" t="s">
        <v>27</v>
      </c>
      <c r="S472" s="45" t="s">
        <v>28</v>
      </c>
      <c r="T472" s="44" t="s">
        <v>27</v>
      </c>
      <c r="U472" s="45" t="s">
        <v>28</v>
      </c>
      <c r="V472" s="44" t="s">
        <v>27</v>
      </c>
      <c r="W472" s="45" t="s">
        <v>28</v>
      </c>
      <c r="X472" s="44" t="s">
        <v>27</v>
      </c>
      <c r="Y472" s="45" t="s">
        <v>28</v>
      </c>
      <c r="Z472" s="46"/>
      <c r="AA472" s="46"/>
      <c r="AB472" s="121" t="s">
        <v>29</v>
      </c>
      <c r="AC472" s="122" t="s">
        <v>30</v>
      </c>
      <c r="AD472" s="123" t="s">
        <v>31</v>
      </c>
      <c r="AE472" s="121" t="s">
        <v>27</v>
      </c>
      <c r="AF472" s="123" t="s">
        <v>28</v>
      </c>
      <c r="AG472" s="1"/>
    </row>
    <row r="473" ht="21.0" customHeight="1">
      <c r="A473" s="1"/>
      <c r="B473" s="48" t="s">
        <v>32</v>
      </c>
      <c r="C473" s="49"/>
      <c r="D473" s="50"/>
      <c r="E473" s="51" t="s">
        <v>33</v>
      </c>
      <c r="F473" s="52" t="s">
        <v>34</v>
      </c>
      <c r="G473" s="53"/>
      <c r="H473" s="148"/>
      <c r="I473" s="55"/>
      <c r="J473" s="58"/>
      <c r="K473" s="59"/>
      <c r="L473" s="58"/>
      <c r="M473" s="59"/>
      <c r="N473" s="58"/>
      <c r="O473" s="59"/>
      <c r="P473" s="58"/>
      <c r="Q473" s="59"/>
      <c r="R473" s="58"/>
      <c r="S473" s="59"/>
      <c r="T473" s="58"/>
      <c r="U473" s="59"/>
      <c r="V473" s="58"/>
      <c r="W473" s="59"/>
      <c r="X473" s="58"/>
      <c r="Y473" s="59"/>
      <c r="Z473" s="60" t="b">
        <v>0</v>
      </c>
      <c r="AA473" s="125">
        <f t="shared" ref="AA473:AA481" si="187">(J473*K473+L473*M473+N473*O473+P473*Q473+R473*S473+T473*U473+V473*W473+X473*Y473)*if(Z473=true,0.453592,1)</f>
        <v>0</v>
      </c>
      <c r="AB473" s="126">
        <f t="shared" ref="AB473:AB481" si="188">SUM(AE473*AF473*0.025,AE473)</f>
        <v>0</v>
      </c>
      <c r="AC473" s="127">
        <f t="shared" ref="AC473:AC481" si="189">AB473*87%</f>
        <v>0</v>
      </c>
      <c r="AD473" s="128">
        <f t="shared" ref="AD473:AD481" si="190">AB473*67%</f>
        <v>0</v>
      </c>
      <c r="AE473" s="126">
        <f t="shared" ref="AE473:AE481" si="191">MAX(J473,L473,N473,P473,R473,T473,V473,X473)*if(Z473=true,0.453592,1)</f>
        <v>0</v>
      </c>
      <c r="AF473" s="128">
        <f t="shared" ref="AF473:AF481" si="192">MAX(IF(J473*if(Z473=true,0.453592,1)=$AE473,K473,0),IF(L473*if(Z473=true,0.453592,1)=$AE473,M473,0),IF(N473*if(Z473=true,0.453592,1)=$AE473,O473,0),IF(P473*if(Z473=true,0.453592,1)=$AE473,Q473,0),IF(R473*if(Z473=true,0.453592,1)=$AE473,S473,0),IF(T473*if(Z473=true,0.453592,1)=$AE473,U473,0),IF(V473*if(Z473=true,0.453592,1)=$AE473,W473,0),IF(X473*if(Z473=true,0.453592,1)=$AE473,Y473,0))</f>
        <v>0</v>
      </c>
      <c r="AG473" s="1"/>
    </row>
    <row r="474" ht="21.0" customHeight="1">
      <c r="A474" s="1"/>
      <c r="B474" s="48" t="s">
        <v>36</v>
      </c>
      <c r="C474" s="49"/>
      <c r="D474" s="65"/>
      <c r="E474" s="66"/>
      <c r="F474" s="52" t="s">
        <v>37</v>
      </c>
      <c r="G474" s="67"/>
      <c r="H474" s="129"/>
      <c r="I474" s="69"/>
      <c r="J474" s="72"/>
      <c r="K474" s="73"/>
      <c r="L474" s="72"/>
      <c r="M474" s="73"/>
      <c r="N474" s="72"/>
      <c r="O474" s="73"/>
      <c r="P474" s="72"/>
      <c r="Q474" s="73"/>
      <c r="R474" s="72"/>
      <c r="S474" s="73"/>
      <c r="T474" s="72"/>
      <c r="U474" s="73"/>
      <c r="V474" s="72"/>
      <c r="W474" s="73"/>
      <c r="X474" s="72"/>
      <c r="Y474" s="73"/>
      <c r="Z474" s="74" t="b">
        <v>0</v>
      </c>
      <c r="AA474" s="130">
        <f t="shared" si="187"/>
        <v>0</v>
      </c>
      <c r="AB474" s="131">
        <f t="shared" si="188"/>
        <v>0</v>
      </c>
      <c r="AC474" s="132">
        <f t="shared" si="189"/>
        <v>0</v>
      </c>
      <c r="AD474" s="133">
        <f t="shared" si="190"/>
        <v>0</v>
      </c>
      <c r="AE474" s="131">
        <f t="shared" si="191"/>
        <v>0</v>
      </c>
      <c r="AF474" s="133">
        <f t="shared" si="192"/>
        <v>0</v>
      </c>
      <c r="AG474" s="1"/>
    </row>
    <row r="475" ht="21.0" customHeight="1">
      <c r="A475" s="1"/>
      <c r="B475" s="48" t="s">
        <v>39</v>
      </c>
      <c r="C475" s="49"/>
      <c r="D475" s="65"/>
      <c r="E475" s="41"/>
      <c r="F475" s="52" t="s">
        <v>40</v>
      </c>
      <c r="G475" s="79"/>
      <c r="H475" s="80"/>
      <c r="I475" s="69"/>
      <c r="J475" s="72"/>
      <c r="K475" s="73"/>
      <c r="L475" s="72"/>
      <c r="M475" s="73"/>
      <c r="N475" s="72"/>
      <c r="O475" s="73"/>
      <c r="P475" s="72"/>
      <c r="Q475" s="73"/>
      <c r="R475" s="72"/>
      <c r="S475" s="73"/>
      <c r="T475" s="72"/>
      <c r="U475" s="73"/>
      <c r="V475" s="72"/>
      <c r="W475" s="73"/>
      <c r="X475" s="72"/>
      <c r="Y475" s="73"/>
      <c r="Z475" s="74" t="b">
        <v>0</v>
      </c>
      <c r="AA475" s="130">
        <f t="shared" si="187"/>
        <v>0</v>
      </c>
      <c r="AB475" s="131">
        <f t="shared" si="188"/>
        <v>0</v>
      </c>
      <c r="AC475" s="132">
        <f t="shared" si="189"/>
        <v>0</v>
      </c>
      <c r="AD475" s="133">
        <f t="shared" si="190"/>
        <v>0</v>
      </c>
      <c r="AE475" s="131">
        <f t="shared" si="191"/>
        <v>0</v>
      </c>
      <c r="AF475" s="133">
        <f t="shared" si="192"/>
        <v>0</v>
      </c>
      <c r="AG475" s="1"/>
    </row>
    <row r="476" ht="21.0" customHeight="1">
      <c r="A476" s="1"/>
      <c r="B476" s="48" t="s">
        <v>41</v>
      </c>
      <c r="C476" s="81"/>
      <c r="D476" s="82" t="b">
        <v>0</v>
      </c>
      <c r="E476" s="51" t="s">
        <v>42</v>
      </c>
      <c r="F476" s="52" t="s">
        <v>34</v>
      </c>
      <c r="G476" s="83"/>
      <c r="H476" s="84"/>
      <c r="I476" s="85"/>
      <c r="J476" s="72"/>
      <c r="K476" s="73"/>
      <c r="L476" s="72"/>
      <c r="M476" s="73"/>
      <c r="N476" s="72"/>
      <c r="O476" s="73"/>
      <c r="P476" s="72"/>
      <c r="Q476" s="73"/>
      <c r="R476" s="72"/>
      <c r="S476" s="73"/>
      <c r="T476" s="72"/>
      <c r="U476" s="73"/>
      <c r="V476" s="72"/>
      <c r="W476" s="73"/>
      <c r="X476" s="72"/>
      <c r="Y476" s="73"/>
      <c r="Z476" s="74" t="b">
        <v>0</v>
      </c>
      <c r="AA476" s="130">
        <f t="shared" si="187"/>
        <v>0</v>
      </c>
      <c r="AB476" s="131">
        <f t="shared" si="188"/>
        <v>0</v>
      </c>
      <c r="AC476" s="132">
        <f t="shared" si="189"/>
        <v>0</v>
      </c>
      <c r="AD476" s="133">
        <f t="shared" si="190"/>
        <v>0</v>
      </c>
      <c r="AE476" s="131">
        <f t="shared" si="191"/>
        <v>0</v>
      </c>
      <c r="AF476" s="133">
        <f t="shared" si="192"/>
        <v>0</v>
      </c>
      <c r="AG476" s="1"/>
    </row>
    <row r="477" ht="21.0" customHeight="1">
      <c r="A477" s="1"/>
      <c r="B477" s="48" t="s">
        <v>43</v>
      </c>
      <c r="C477" s="49"/>
      <c r="D477" s="86" t="b">
        <v>0</v>
      </c>
      <c r="E477" s="66"/>
      <c r="F477" s="52" t="s">
        <v>37</v>
      </c>
      <c r="G477" s="67"/>
      <c r="H477" s="80"/>
      <c r="I477" s="69"/>
      <c r="J477" s="72"/>
      <c r="K477" s="73"/>
      <c r="L477" s="72"/>
      <c r="M477" s="73"/>
      <c r="N477" s="72"/>
      <c r="O477" s="73"/>
      <c r="P477" s="72"/>
      <c r="Q477" s="73"/>
      <c r="R477" s="72"/>
      <c r="S477" s="73"/>
      <c r="T477" s="72"/>
      <c r="U477" s="73"/>
      <c r="V477" s="72"/>
      <c r="W477" s="73"/>
      <c r="X477" s="72"/>
      <c r="Y477" s="73"/>
      <c r="Z477" s="74" t="b">
        <v>0</v>
      </c>
      <c r="AA477" s="130">
        <f t="shared" si="187"/>
        <v>0</v>
      </c>
      <c r="AB477" s="131">
        <f t="shared" si="188"/>
        <v>0</v>
      </c>
      <c r="AC477" s="132">
        <f t="shared" si="189"/>
        <v>0</v>
      </c>
      <c r="AD477" s="133">
        <f t="shared" si="190"/>
        <v>0</v>
      </c>
      <c r="AE477" s="131">
        <f t="shared" si="191"/>
        <v>0</v>
      </c>
      <c r="AF477" s="133">
        <f t="shared" si="192"/>
        <v>0</v>
      </c>
      <c r="AG477" s="1"/>
    </row>
    <row r="478" ht="21.0" customHeight="1">
      <c r="A478" s="1"/>
      <c r="B478" s="87" t="str">
        <f t="array" ref="B478">"📌최근 인바디 결과 : "&amp;text(xlookup(B470,'현황'!O:O,'현황'!O:O,,-1,-1),"m/d(ddd)")</f>
        <v>#REF!</v>
      </c>
      <c r="C478" s="88"/>
      <c r="D478" s="49"/>
      <c r="E478" s="41"/>
      <c r="F478" s="52" t="s">
        <v>40</v>
      </c>
      <c r="G478" s="79"/>
      <c r="H478" s="80"/>
      <c r="I478" s="69"/>
      <c r="J478" s="72"/>
      <c r="K478" s="73"/>
      <c r="L478" s="72"/>
      <c r="M478" s="73"/>
      <c r="N478" s="72"/>
      <c r="O478" s="73"/>
      <c r="P478" s="72"/>
      <c r="Q478" s="73"/>
      <c r="R478" s="72"/>
      <c r="S478" s="73"/>
      <c r="T478" s="72"/>
      <c r="U478" s="73"/>
      <c r="V478" s="72"/>
      <c r="W478" s="73"/>
      <c r="X478" s="72"/>
      <c r="Y478" s="73"/>
      <c r="Z478" s="74" t="b">
        <v>0</v>
      </c>
      <c r="AA478" s="130">
        <f t="shared" si="187"/>
        <v>0</v>
      </c>
      <c r="AB478" s="131">
        <f t="shared" si="188"/>
        <v>0</v>
      </c>
      <c r="AC478" s="132">
        <f t="shared" si="189"/>
        <v>0</v>
      </c>
      <c r="AD478" s="133">
        <f t="shared" si="190"/>
        <v>0</v>
      </c>
      <c r="AE478" s="131">
        <f t="shared" si="191"/>
        <v>0</v>
      </c>
      <c r="AF478" s="133">
        <f t="shared" si="192"/>
        <v>0</v>
      </c>
      <c r="AG478" s="1"/>
    </row>
    <row r="479" ht="21.0" customHeight="1">
      <c r="A479" s="1"/>
      <c r="B479" s="89" t="s">
        <v>44</v>
      </c>
      <c r="C479" s="49"/>
      <c r="D479" s="90">
        <f t="array" ref="D479">iferror(vlookup(xlookup(B470,'현황'!O:O,'현황'!O:O,,-1,-1),'현황'!O:S,2,false),0)</f>
        <v>0</v>
      </c>
      <c r="E479" s="51" t="s">
        <v>45</v>
      </c>
      <c r="F479" s="52" t="s">
        <v>34</v>
      </c>
      <c r="G479" s="83"/>
      <c r="H479" s="84"/>
      <c r="I479" s="85"/>
      <c r="J479" s="72"/>
      <c r="K479" s="73"/>
      <c r="L479" s="72"/>
      <c r="M479" s="73"/>
      <c r="N479" s="72"/>
      <c r="O479" s="73"/>
      <c r="P479" s="72"/>
      <c r="Q479" s="73"/>
      <c r="R479" s="72"/>
      <c r="S479" s="73"/>
      <c r="T479" s="72"/>
      <c r="U479" s="73"/>
      <c r="V479" s="72"/>
      <c r="W479" s="73"/>
      <c r="X479" s="72"/>
      <c r="Y479" s="73"/>
      <c r="Z479" s="74" t="b">
        <v>0</v>
      </c>
      <c r="AA479" s="130">
        <f t="shared" si="187"/>
        <v>0</v>
      </c>
      <c r="AB479" s="131">
        <f t="shared" si="188"/>
        <v>0</v>
      </c>
      <c r="AC479" s="132">
        <f t="shared" si="189"/>
        <v>0</v>
      </c>
      <c r="AD479" s="133">
        <f t="shared" si="190"/>
        <v>0</v>
      </c>
      <c r="AE479" s="131">
        <f t="shared" si="191"/>
        <v>0</v>
      </c>
      <c r="AF479" s="133">
        <f t="shared" si="192"/>
        <v>0</v>
      </c>
      <c r="AG479" s="1"/>
    </row>
    <row r="480" ht="21.0" customHeight="1">
      <c r="A480" s="1"/>
      <c r="B480" s="48" t="s">
        <v>46</v>
      </c>
      <c r="C480" s="49"/>
      <c r="D480" s="91">
        <f t="array" ref="D480">iferror(vlookup(xlookup(B470,'현황'!O:O,'현황'!O:O,,-1,-1),'현황'!O:S,3,false),0)</f>
        <v>0</v>
      </c>
      <c r="E480" s="66"/>
      <c r="F480" s="52" t="s">
        <v>37</v>
      </c>
      <c r="G480" s="67"/>
      <c r="H480" s="80"/>
      <c r="I480" s="69"/>
      <c r="J480" s="72"/>
      <c r="K480" s="73"/>
      <c r="L480" s="72"/>
      <c r="M480" s="73"/>
      <c r="N480" s="72"/>
      <c r="O480" s="73"/>
      <c r="P480" s="72"/>
      <c r="Q480" s="73"/>
      <c r="R480" s="72"/>
      <c r="S480" s="73"/>
      <c r="T480" s="72"/>
      <c r="U480" s="73"/>
      <c r="V480" s="72"/>
      <c r="W480" s="73"/>
      <c r="X480" s="72"/>
      <c r="Y480" s="73"/>
      <c r="Z480" s="74" t="b">
        <v>0</v>
      </c>
      <c r="AA480" s="130">
        <f t="shared" si="187"/>
        <v>0</v>
      </c>
      <c r="AB480" s="131">
        <f t="shared" si="188"/>
        <v>0</v>
      </c>
      <c r="AC480" s="132">
        <f t="shared" si="189"/>
        <v>0</v>
      </c>
      <c r="AD480" s="133">
        <f t="shared" si="190"/>
        <v>0</v>
      </c>
      <c r="AE480" s="131">
        <f t="shared" si="191"/>
        <v>0</v>
      </c>
      <c r="AF480" s="133">
        <f t="shared" si="192"/>
        <v>0</v>
      </c>
      <c r="AG480" s="1"/>
    </row>
    <row r="481" ht="21.0" customHeight="1">
      <c r="A481" s="1"/>
      <c r="B481" s="48" t="s">
        <v>47</v>
      </c>
      <c r="C481" s="49"/>
      <c r="D481" s="91">
        <f t="array" ref="D481">iferror(vlookup(xlookup(B470,'현황'!O:O,'현황'!O:O,,-1,-1),'현황'!O:S,4,false),0)</f>
        <v>0</v>
      </c>
      <c r="E481" s="41"/>
      <c r="F481" s="92" t="s">
        <v>40</v>
      </c>
      <c r="G481" s="79"/>
      <c r="H481" s="93"/>
      <c r="I481" s="94"/>
      <c r="J481" s="95"/>
      <c r="K481" s="96"/>
      <c r="L481" s="95"/>
      <c r="M481" s="96"/>
      <c r="N481" s="95"/>
      <c r="O481" s="96"/>
      <c r="P481" s="95"/>
      <c r="Q481" s="96"/>
      <c r="R481" s="95"/>
      <c r="S481" s="96"/>
      <c r="T481" s="95"/>
      <c r="U481" s="96"/>
      <c r="V481" s="95"/>
      <c r="W481" s="96"/>
      <c r="X481" s="95"/>
      <c r="Y481" s="96"/>
      <c r="Z481" s="97" t="b">
        <v>0</v>
      </c>
      <c r="AA481" s="135">
        <f t="shared" si="187"/>
        <v>0</v>
      </c>
      <c r="AB481" s="136">
        <f t="shared" si="188"/>
        <v>0</v>
      </c>
      <c r="AC481" s="137">
        <f t="shared" si="189"/>
        <v>0</v>
      </c>
      <c r="AD481" s="138">
        <f t="shared" si="190"/>
        <v>0</v>
      </c>
      <c r="AE481" s="136">
        <f t="shared" si="191"/>
        <v>0</v>
      </c>
      <c r="AF481" s="138">
        <f t="shared" si="192"/>
        <v>0</v>
      </c>
      <c r="AG481" s="1"/>
    </row>
    <row r="482" ht="21.0" customHeight="1">
      <c r="A482" s="1"/>
      <c r="B482" s="102" t="s">
        <v>48</v>
      </c>
      <c r="C482" s="103"/>
      <c r="D482" s="104">
        <f>iferror(D481/D479,0)</f>
        <v>0</v>
      </c>
      <c r="E482" s="102" t="s">
        <v>49</v>
      </c>
      <c r="F482" s="103"/>
      <c r="G482" s="105"/>
      <c r="H482" s="143" t="s">
        <v>50</v>
      </c>
      <c r="I482" s="144"/>
      <c r="J482" s="11"/>
      <c r="K482" s="11"/>
      <c r="L482" s="11"/>
      <c r="M482" s="11"/>
      <c r="N482" s="11"/>
      <c r="O482" s="11"/>
      <c r="P482" s="145" t="s">
        <v>51</v>
      </c>
      <c r="Q482" s="12"/>
      <c r="R482" s="146"/>
      <c r="S482" s="11"/>
      <c r="T482" s="11"/>
      <c r="U482" s="11"/>
      <c r="V482" s="11"/>
      <c r="W482" s="11"/>
      <c r="X482" s="11"/>
      <c r="Y482" s="11"/>
      <c r="Z482" s="12"/>
      <c r="AA482" s="139">
        <f>SUM(AA473:AA481)</f>
        <v>0</v>
      </c>
      <c r="AB482" s="140" t="s">
        <v>161</v>
      </c>
      <c r="AG482" s="1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1"/>
      <c r="AA483" s="1"/>
      <c r="AB483" s="1"/>
      <c r="AC483" s="3"/>
      <c r="AD483" s="1"/>
      <c r="AE483" s="1"/>
      <c r="AF483" s="1"/>
      <c r="AG483" s="1"/>
    </row>
    <row r="484" ht="21.0" customHeight="1">
      <c r="A484" s="1"/>
      <c r="B484" s="4" t="s">
        <v>1</v>
      </c>
      <c r="C484" s="5"/>
      <c r="D484" s="6" t="s">
        <v>2</v>
      </c>
      <c r="E484" s="7"/>
      <c r="F484" s="7"/>
      <c r="G484" s="5"/>
      <c r="H484" s="8" t="s">
        <v>3</v>
      </c>
      <c r="I484" s="8" t="s">
        <v>4</v>
      </c>
      <c r="J484" s="9" t="s">
        <v>5</v>
      </c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5"/>
      <c r="AA484" s="117" t="s">
        <v>6</v>
      </c>
      <c r="AB484" s="11"/>
      <c r="AC484" s="11"/>
      <c r="AD484" s="11"/>
      <c r="AE484" s="11"/>
      <c r="AF484" s="12"/>
      <c r="AG484" s="1"/>
    </row>
    <row r="485" ht="21.0" customHeight="1">
      <c r="A485" s="1"/>
      <c r="B485" s="149" t="s">
        <v>138</v>
      </c>
      <c r="C485" s="14" t="str">
        <f>if(B485="0/0","",choose(weekday(B485),"(일)","(월)","(화)","(수)","(목)","(금)","(토)"))</f>
        <v/>
      </c>
      <c r="D485" s="15" t="s">
        <v>7</v>
      </c>
      <c r="E485" s="16" t="s">
        <v>8</v>
      </c>
      <c r="F485" s="17"/>
      <c r="G485" s="18" t="s">
        <v>9</v>
      </c>
      <c r="H485" s="150" t="s">
        <v>139</v>
      </c>
      <c r="I485" s="151"/>
      <c r="J485" s="21" t="s">
        <v>12</v>
      </c>
      <c r="K485" s="22"/>
      <c r="L485" s="21" t="s">
        <v>13</v>
      </c>
      <c r="M485" s="22"/>
      <c r="N485" s="21" t="s">
        <v>14</v>
      </c>
      <c r="O485" s="22"/>
      <c r="P485" s="21" t="s">
        <v>15</v>
      </c>
      <c r="Q485" s="22"/>
      <c r="R485" s="23" t="s">
        <v>16</v>
      </c>
      <c r="S485" s="22"/>
      <c r="T485" s="23" t="s">
        <v>17</v>
      </c>
      <c r="U485" s="22"/>
      <c r="V485" s="23" t="s">
        <v>18</v>
      </c>
      <c r="W485" s="22"/>
      <c r="X485" s="23" t="s">
        <v>19</v>
      </c>
      <c r="Y485" s="22"/>
      <c r="Z485" s="24" t="s">
        <v>162</v>
      </c>
      <c r="AA485" s="118" t="s">
        <v>21</v>
      </c>
      <c r="AB485" s="119" t="s">
        <v>22</v>
      </c>
      <c r="AC485" s="7"/>
      <c r="AD485" s="22"/>
      <c r="AE485" s="120" t="s">
        <v>23</v>
      </c>
      <c r="AF485" s="22"/>
      <c r="AG485" s="1"/>
    </row>
    <row r="486" ht="21.0" customHeight="1">
      <c r="A486" s="1"/>
      <c r="B486" s="27">
        <f>iferror(B485-'현황'!$C$4+1,0)</f>
        <v>0</v>
      </c>
      <c r="C486" s="28"/>
      <c r="D486" s="29">
        <v>0.0</v>
      </c>
      <c r="E486" s="30">
        <v>0.0</v>
      </c>
      <c r="F486" s="31"/>
      <c r="G486" s="32">
        <v>0.0</v>
      </c>
      <c r="H486" s="33">
        <v>0.0</v>
      </c>
      <c r="I486" s="34"/>
      <c r="J486" s="35"/>
      <c r="K486" s="36"/>
      <c r="L486" s="35"/>
      <c r="M486" s="36"/>
      <c r="N486" s="35"/>
      <c r="O486" s="36"/>
      <c r="P486" s="35"/>
      <c r="Q486" s="36"/>
      <c r="R486" s="35"/>
      <c r="S486" s="36"/>
      <c r="T486" s="35"/>
      <c r="U486" s="36"/>
      <c r="V486" s="35"/>
      <c r="W486" s="36"/>
      <c r="X486" s="35"/>
      <c r="Y486" s="36"/>
      <c r="Z486" s="37"/>
      <c r="AA486" s="37"/>
      <c r="AB486" s="35"/>
      <c r="AC486" s="38"/>
      <c r="AD486" s="36"/>
      <c r="AE486" s="35"/>
      <c r="AF486" s="36"/>
      <c r="AG486" s="1"/>
    </row>
    <row r="487" ht="21.0" customHeight="1">
      <c r="A487" s="1"/>
      <c r="B487" s="39" t="s">
        <v>24</v>
      </c>
      <c r="C487" s="40"/>
      <c r="D487" s="41"/>
      <c r="E487" s="42" t="s">
        <v>25</v>
      </c>
      <c r="F487" s="40"/>
      <c r="G487" s="41"/>
      <c r="H487" s="43" t="s">
        <v>26</v>
      </c>
      <c r="J487" s="44" t="s">
        <v>27</v>
      </c>
      <c r="K487" s="45" t="s">
        <v>28</v>
      </c>
      <c r="L487" s="44" t="s">
        <v>27</v>
      </c>
      <c r="M487" s="45" t="s">
        <v>28</v>
      </c>
      <c r="N487" s="44" t="s">
        <v>27</v>
      </c>
      <c r="O487" s="45" t="s">
        <v>28</v>
      </c>
      <c r="P487" s="44" t="s">
        <v>27</v>
      </c>
      <c r="Q487" s="45" t="s">
        <v>28</v>
      </c>
      <c r="R487" s="44" t="s">
        <v>27</v>
      </c>
      <c r="S487" s="45" t="s">
        <v>28</v>
      </c>
      <c r="T487" s="44" t="s">
        <v>27</v>
      </c>
      <c r="U487" s="45" t="s">
        <v>28</v>
      </c>
      <c r="V487" s="44" t="s">
        <v>27</v>
      </c>
      <c r="W487" s="45" t="s">
        <v>28</v>
      </c>
      <c r="X487" s="44" t="s">
        <v>27</v>
      </c>
      <c r="Y487" s="45" t="s">
        <v>28</v>
      </c>
      <c r="Z487" s="46"/>
      <c r="AA487" s="46"/>
      <c r="AB487" s="121" t="s">
        <v>29</v>
      </c>
      <c r="AC487" s="122" t="s">
        <v>30</v>
      </c>
      <c r="AD487" s="123" t="s">
        <v>31</v>
      </c>
      <c r="AE487" s="121" t="s">
        <v>27</v>
      </c>
      <c r="AF487" s="123" t="s">
        <v>28</v>
      </c>
      <c r="AG487" s="1"/>
    </row>
    <row r="488" ht="21.0" customHeight="1">
      <c r="A488" s="1"/>
      <c r="B488" s="48" t="s">
        <v>32</v>
      </c>
      <c r="C488" s="49"/>
      <c r="D488" s="50"/>
      <c r="E488" s="51" t="s">
        <v>33</v>
      </c>
      <c r="F488" s="52" t="s">
        <v>34</v>
      </c>
      <c r="G488" s="53"/>
      <c r="H488" s="148"/>
      <c r="I488" s="55"/>
      <c r="J488" s="58"/>
      <c r="K488" s="59"/>
      <c r="L488" s="58"/>
      <c r="M488" s="59"/>
      <c r="N488" s="58"/>
      <c r="O488" s="59"/>
      <c r="P488" s="58"/>
      <c r="Q488" s="59"/>
      <c r="R488" s="58"/>
      <c r="S488" s="59"/>
      <c r="T488" s="58"/>
      <c r="U488" s="59"/>
      <c r="V488" s="58"/>
      <c r="W488" s="59"/>
      <c r="X488" s="58"/>
      <c r="Y488" s="59"/>
      <c r="Z488" s="60" t="b">
        <v>0</v>
      </c>
      <c r="AA488" s="125">
        <f t="shared" ref="AA488:AA496" si="193">(J488*K488+L488*M488+N488*O488+P488*Q488+R488*S488+T488*U488+V488*W488+X488*Y488)*if(Z488=true,0.453592,1)</f>
        <v>0</v>
      </c>
      <c r="AB488" s="126">
        <f t="shared" ref="AB488:AB496" si="194">SUM(AE488*AF488*0.025,AE488)</f>
        <v>0</v>
      </c>
      <c r="AC488" s="127">
        <f t="shared" ref="AC488:AC496" si="195">AB488*87%</f>
        <v>0</v>
      </c>
      <c r="AD488" s="128">
        <f t="shared" ref="AD488:AD496" si="196">AB488*67%</f>
        <v>0</v>
      </c>
      <c r="AE488" s="126">
        <f t="shared" ref="AE488:AE496" si="197">MAX(J488,L488,N488,P488,R488,T488,V488,X488)*if(Z488=true,0.453592,1)</f>
        <v>0</v>
      </c>
      <c r="AF488" s="128">
        <f t="shared" ref="AF488:AF496" si="198">MAX(IF(J488*if(Z488=true,0.453592,1)=$AE488,K488,0),IF(L488*if(Z488=true,0.453592,1)=$AE488,M488,0),IF(N488*if(Z488=true,0.453592,1)=$AE488,O488,0),IF(P488*if(Z488=true,0.453592,1)=$AE488,Q488,0),IF(R488*if(Z488=true,0.453592,1)=$AE488,S488,0),IF(T488*if(Z488=true,0.453592,1)=$AE488,U488,0),IF(V488*if(Z488=true,0.453592,1)=$AE488,W488,0),IF(X488*if(Z488=true,0.453592,1)=$AE488,Y488,0))</f>
        <v>0</v>
      </c>
      <c r="AG488" s="1"/>
    </row>
    <row r="489" ht="21.0" customHeight="1">
      <c r="A489" s="1"/>
      <c r="B489" s="48" t="s">
        <v>36</v>
      </c>
      <c r="C489" s="49"/>
      <c r="D489" s="65"/>
      <c r="E489" s="66"/>
      <c r="F489" s="52" t="s">
        <v>37</v>
      </c>
      <c r="G489" s="67"/>
      <c r="H489" s="129"/>
      <c r="I489" s="69"/>
      <c r="J489" s="72"/>
      <c r="K489" s="73"/>
      <c r="L489" s="72"/>
      <c r="M489" s="73"/>
      <c r="N489" s="72"/>
      <c r="O489" s="73"/>
      <c r="P489" s="72"/>
      <c r="Q489" s="73"/>
      <c r="R489" s="72"/>
      <c r="S489" s="73"/>
      <c r="T489" s="72"/>
      <c r="U489" s="73"/>
      <c r="V489" s="72"/>
      <c r="W489" s="73"/>
      <c r="X489" s="72"/>
      <c r="Y489" s="73"/>
      <c r="Z489" s="74" t="b">
        <v>0</v>
      </c>
      <c r="AA489" s="130">
        <f t="shared" si="193"/>
        <v>0</v>
      </c>
      <c r="AB489" s="131">
        <f t="shared" si="194"/>
        <v>0</v>
      </c>
      <c r="AC489" s="132">
        <f t="shared" si="195"/>
        <v>0</v>
      </c>
      <c r="AD489" s="133">
        <f t="shared" si="196"/>
        <v>0</v>
      </c>
      <c r="AE489" s="131">
        <f t="shared" si="197"/>
        <v>0</v>
      </c>
      <c r="AF489" s="133">
        <f t="shared" si="198"/>
        <v>0</v>
      </c>
      <c r="AG489" s="1"/>
    </row>
    <row r="490" ht="21.0" customHeight="1">
      <c r="A490" s="1"/>
      <c r="B490" s="48" t="s">
        <v>39</v>
      </c>
      <c r="C490" s="49"/>
      <c r="D490" s="65"/>
      <c r="E490" s="41"/>
      <c r="F490" s="52" t="s">
        <v>40</v>
      </c>
      <c r="G490" s="79"/>
      <c r="H490" s="80"/>
      <c r="I490" s="69"/>
      <c r="J490" s="72"/>
      <c r="K490" s="73"/>
      <c r="L490" s="72"/>
      <c r="M490" s="73"/>
      <c r="N490" s="72"/>
      <c r="O490" s="73"/>
      <c r="P490" s="72"/>
      <c r="Q490" s="73"/>
      <c r="R490" s="72"/>
      <c r="S490" s="73"/>
      <c r="T490" s="72"/>
      <c r="U490" s="73"/>
      <c r="V490" s="72"/>
      <c r="W490" s="73"/>
      <c r="X490" s="72"/>
      <c r="Y490" s="73"/>
      <c r="Z490" s="74" t="b">
        <v>0</v>
      </c>
      <c r="AA490" s="130">
        <f t="shared" si="193"/>
        <v>0</v>
      </c>
      <c r="AB490" s="131">
        <f t="shared" si="194"/>
        <v>0</v>
      </c>
      <c r="AC490" s="132">
        <f t="shared" si="195"/>
        <v>0</v>
      </c>
      <c r="AD490" s="133">
        <f t="shared" si="196"/>
        <v>0</v>
      </c>
      <c r="AE490" s="131">
        <f t="shared" si="197"/>
        <v>0</v>
      </c>
      <c r="AF490" s="133">
        <f t="shared" si="198"/>
        <v>0</v>
      </c>
      <c r="AG490" s="1"/>
    </row>
    <row r="491" ht="21.0" customHeight="1">
      <c r="A491" s="1"/>
      <c r="B491" s="48" t="s">
        <v>41</v>
      </c>
      <c r="C491" s="81"/>
      <c r="D491" s="82" t="b">
        <v>0</v>
      </c>
      <c r="E491" s="51" t="s">
        <v>42</v>
      </c>
      <c r="F491" s="52" t="s">
        <v>34</v>
      </c>
      <c r="G491" s="83"/>
      <c r="H491" s="84"/>
      <c r="I491" s="85"/>
      <c r="J491" s="72"/>
      <c r="K491" s="73"/>
      <c r="L491" s="72"/>
      <c r="M491" s="73"/>
      <c r="N491" s="72"/>
      <c r="O491" s="73"/>
      <c r="P491" s="72"/>
      <c r="Q491" s="73"/>
      <c r="R491" s="72"/>
      <c r="S491" s="73"/>
      <c r="T491" s="72"/>
      <c r="U491" s="73"/>
      <c r="V491" s="72"/>
      <c r="W491" s="73"/>
      <c r="X491" s="72"/>
      <c r="Y491" s="73"/>
      <c r="Z491" s="74" t="b">
        <v>0</v>
      </c>
      <c r="AA491" s="130">
        <f t="shared" si="193"/>
        <v>0</v>
      </c>
      <c r="AB491" s="131">
        <f t="shared" si="194"/>
        <v>0</v>
      </c>
      <c r="AC491" s="132">
        <f t="shared" si="195"/>
        <v>0</v>
      </c>
      <c r="AD491" s="133">
        <f t="shared" si="196"/>
        <v>0</v>
      </c>
      <c r="AE491" s="131">
        <f t="shared" si="197"/>
        <v>0</v>
      </c>
      <c r="AF491" s="133">
        <f t="shared" si="198"/>
        <v>0</v>
      </c>
      <c r="AG491" s="1"/>
    </row>
    <row r="492" ht="21.0" customHeight="1">
      <c r="A492" s="1"/>
      <c r="B492" s="48" t="s">
        <v>43</v>
      </c>
      <c r="C492" s="49"/>
      <c r="D492" s="86" t="b">
        <v>0</v>
      </c>
      <c r="E492" s="66"/>
      <c r="F492" s="52" t="s">
        <v>37</v>
      </c>
      <c r="G492" s="67"/>
      <c r="H492" s="80"/>
      <c r="I492" s="69"/>
      <c r="J492" s="72"/>
      <c r="K492" s="73"/>
      <c r="L492" s="72"/>
      <c r="M492" s="73"/>
      <c r="N492" s="72"/>
      <c r="O492" s="73"/>
      <c r="P492" s="72"/>
      <c r="Q492" s="73"/>
      <c r="R492" s="72"/>
      <c r="S492" s="73"/>
      <c r="T492" s="72"/>
      <c r="U492" s="73"/>
      <c r="V492" s="72"/>
      <c r="W492" s="73"/>
      <c r="X492" s="72"/>
      <c r="Y492" s="73"/>
      <c r="Z492" s="74" t="b">
        <v>0</v>
      </c>
      <c r="AA492" s="130">
        <f t="shared" si="193"/>
        <v>0</v>
      </c>
      <c r="AB492" s="131">
        <f t="shared" si="194"/>
        <v>0</v>
      </c>
      <c r="AC492" s="132">
        <f t="shared" si="195"/>
        <v>0</v>
      </c>
      <c r="AD492" s="133">
        <f t="shared" si="196"/>
        <v>0</v>
      </c>
      <c r="AE492" s="131">
        <f t="shared" si="197"/>
        <v>0</v>
      </c>
      <c r="AF492" s="133">
        <f t="shared" si="198"/>
        <v>0</v>
      </c>
      <c r="AG492" s="1"/>
    </row>
    <row r="493" ht="21.0" customHeight="1">
      <c r="A493" s="1"/>
      <c r="B493" s="87" t="str">
        <f t="array" ref="B493">"📌최근 인바디 결과 : "&amp;text(xlookup(B485,'현황'!O:O,'현황'!O:O,,-1,-1),"m/d(ddd)")</f>
        <v>#REF!</v>
      </c>
      <c r="C493" s="88"/>
      <c r="D493" s="49"/>
      <c r="E493" s="41"/>
      <c r="F493" s="52" t="s">
        <v>40</v>
      </c>
      <c r="G493" s="79"/>
      <c r="H493" s="80"/>
      <c r="I493" s="69"/>
      <c r="J493" s="72"/>
      <c r="K493" s="73"/>
      <c r="L493" s="72"/>
      <c r="M493" s="73"/>
      <c r="N493" s="72"/>
      <c r="O493" s="73"/>
      <c r="P493" s="72"/>
      <c r="Q493" s="73"/>
      <c r="R493" s="72"/>
      <c r="S493" s="73"/>
      <c r="T493" s="72"/>
      <c r="U493" s="73"/>
      <c r="V493" s="72"/>
      <c r="W493" s="73"/>
      <c r="X493" s="72"/>
      <c r="Y493" s="73"/>
      <c r="Z493" s="74" t="b">
        <v>0</v>
      </c>
      <c r="AA493" s="130">
        <f t="shared" si="193"/>
        <v>0</v>
      </c>
      <c r="AB493" s="131">
        <f t="shared" si="194"/>
        <v>0</v>
      </c>
      <c r="AC493" s="132">
        <f t="shared" si="195"/>
        <v>0</v>
      </c>
      <c r="AD493" s="133">
        <f t="shared" si="196"/>
        <v>0</v>
      </c>
      <c r="AE493" s="131">
        <f t="shared" si="197"/>
        <v>0</v>
      </c>
      <c r="AF493" s="133">
        <f t="shared" si="198"/>
        <v>0</v>
      </c>
      <c r="AG493" s="1"/>
    </row>
    <row r="494" ht="21.0" customHeight="1">
      <c r="A494" s="1"/>
      <c r="B494" s="89" t="s">
        <v>44</v>
      </c>
      <c r="C494" s="49"/>
      <c r="D494" s="90">
        <f t="array" ref="D494">iferror(vlookup(xlookup(B485,'현황'!O:O,'현황'!O:O,,-1,-1),'현황'!O:S,2,false),0)</f>
        <v>0</v>
      </c>
      <c r="E494" s="51" t="s">
        <v>45</v>
      </c>
      <c r="F494" s="52" t="s">
        <v>34</v>
      </c>
      <c r="G494" s="83"/>
      <c r="H494" s="84"/>
      <c r="I494" s="85"/>
      <c r="J494" s="72"/>
      <c r="K494" s="73"/>
      <c r="L494" s="72"/>
      <c r="M494" s="73"/>
      <c r="N494" s="72"/>
      <c r="O494" s="73"/>
      <c r="P494" s="72"/>
      <c r="Q494" s="73"/>
      <c r="R494" s="72"/>
      <c r="S494" s="73"/>
      <c r="T494" s="72"/>
      <c r="U494" s="73"/>
      <c r="V494" s="72"/>
      <c r="W494" s="73"/>
      <c r="X494" s="72"/>
      <c r="Y494" s="73"/>
      <c r="Z494" s="74" t="b">
        <v>0</v>
      </c>
      <c r="AA494" s="130">
        <f t="shared" si="193"/>
        <v>0</v>
      </c>
      <c r="AB494" s="131">
        <f t="shared" si="194"/>
        <v>0</v>
      </c>
      <c r="AC494" s="132">
        <f t="shared" si="195"/>
        <v>0</v>
      </c>
      <c r="AD494" s="133">
        <f t="shared" si="196"/>
        <v>0</v>
      </c>
      <c r="AE494" s="131">
        <f t="shared" si="197"/>
        <v>0</v>
      </c>
      <c r="AF494" s="133">
        <f t="shared" si="198"/>
        <v>0</v>
      </c>
      <c r="AG494" s="1"/>
    </row>
    <row r="495" ht="21.0" customHeight="1">
      <c r="A495" s="1"/>
      <c r="B495" s="48" t="s">
        <v>46</v>
      </c>
      <c r="C495" s="49"/>
      <c r="D495" s="91">
        <f t="array" ref="D495">iferror(vlookup(xlookup(B485,'현황'!O:O,'현황'!O:O,,-1,-1),'현황'!O:S,3,false),0)</f>
        <v>0</v>
      </c>
      <c r="E495" s="66"/>
      <c r="F495" s="52" t="s">
        <v>37</v>
      </c>
      <c r="G495" s="67"/>
      <c r="H495" s="80"/>
      <c r="I495" s="69"/>
      <c r="J495" s="72"/>
      <c r="K495" s="73"/>
      <c r="L495" s="72"/>
      <c r="M495" s="73"/>
      <c r="N495" s="72"/>
      <c r="O495" s="73"/>
      <c r="P495" s="72"/>
      <c r="Q495" s="73"/>
      <c r="R495" s="72"/>
      <c r="S495" s="73"/>
      <c r="T495" s="72"/>
      <c r="U495" s="73"/>
      <c r="V495" s="72"/>
      <c r="W495" s="73"/>
      <c r="X495" s="72"/>
      <c r="Y495" s="73"/>
      <c r="Z495" s="74" t="b">
        <v>0</v>
      </c>
      <c r="AA495" s="130">
        <f t="shared" si="193"/>
        <v>0</v>
      </c>
      <c r="AB495" s="131">
        <f t="shared" si="194"/>
        <v>0</v>
      </c>
      <c r="AC495" s="132">
        <f t="shared" si="195"/>
        <v>0</v>
      </c>
      <c r="AD495" s="133">
        <f t="shared" si="196"/>
        <v>0</v>
      </c>
      <c r="AE495" s="131">
        <f t="shared" si="197"/>
        <v>0</v>
      </c>
      <c r="AF495" s="133">
        <f t="shared" si="198"/>
        <v>0</v>
      </c>
      <c r="AG495" s="1"/>
    </row>
    <row r="496" ht="21.0" customHeight="1">
      <c r="A496" s="1"/>
      <c r="B496" s="48" t="s">
        <v>47</v>
      </c>
      <c r="C496" s="49"/>
      <c r="D496" s="91">
        <f t="array" ref="D496">iferror(vlookup(xlookup(B485,'현황'!O:O,'현황'!O:O,,-1,-1),'현황'!O:S,4,false),0)</f>
        <v>0</v>
      </c>
      <c r="E496" s="41"/>
      <c r="F496" s="92" t="s">
        <v>40</v>
      </c>
      <c r="G496" s="79"/>
      <c r="H496" s="93"/>
      <c r="I496" s="94"/>
      <c r="J496" s="95"/>
      <c r="K496" s="96"/>
      <c r="L496" s="95"/>
      <c r="M496" s="96"/>
      <c r="N496" s="95"/>
      <c r="O496" s="96"/>
      <c r="P496" s="95"/>
      <c r="Q496" s="96"/>
      <c r="R496" s="95"/>
      <c r="S496" s="96"/>
      <c r="T496" s="95"/>
      <c r="U496" s="96"/>
      <c r="V496" s="95"/>
      <c r="W496" s="96"/>
      <c r="X496" s="95"/>
      <c r="Y496" s="96"/>
      <c r="Z496" s="97" t="b">
        <v>0</v>
      </c>
      <c r="AA496" s="135">
        <f t="shared" si="193"/>
        <v>0</v>
      </c>
      <c r="AB496" s="136">
        <f t="shared" si="194"/>
        <v>0</v>
      </c>
      <c r="AC496" s="137">
        <f t="shared" si="195"/>
        <v>0</v>
      </c>
      <c r="AD496" s="138">
        <f t="shared" si="196"/>
        <v>0</v>
      </c>
      <c r="AE496" s="136">
        <f t="shared" si="197"/>
        <v>0</v>
      </c>
      <c r="AF496" s="138">
        <f t="shared" si="198"/>
        <v>0</v>
      </c>
      <c r="AG496" s="1"/>
    </row>
    <row r="497" ht="21.0" customHeight="1">
      <c r="A497" s="1"/>
      <c r="B497" s="102" t="s">
        <v>48</v>
      </c>
      <c r="C497" s="103"/>
      <c r="D497" s="104">
        <f>iferror(D496/D494,0)</f>
        <v>0</v>
      </c>
      <c r="E497" s="102" t="s">
        <v>49</v>
      </c>
      <c r="F497" s="103"/>
      <c r="G497" s="105"/>
      <c r="H497" s="106" t="s">
        <v>50</v>
      </c>
      <c r="I497" s="107"/>
      <c r="J497" s="11"/>
      <c r="K497" s="11"/>
      <c r="L497" s="11"/>
      <c r="M497" s="11"/>
      <c r="N497" s="11"/>
      <c r="O497" s="11"/>
      <c r="P497" s="108" t="s">
        <v>51</v>
      </c>
      <c r="Q497" s="12"/>
      <c r="R497" s="109"/>
      <c r="S497" s="11"/>
      <c r="T497" s="11"/>
      <c r="U497" s="11"/>
      <c r="V497" s="11"/>
      <c r="W497" s="11"/>
      <c r="X497" s="11"/>
      <c r="Y497" s="11"/>
      <c r="Z497" s="12"/>
      <c r="AA497" s="139">
        <f>SUM(AA488:AA496)</f>
        <v>0</v>
      </c>
      <c r="AB497" s="140" t="s">
        <v>163</v>
      </c>
      <c r="AG497" s="1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1"/>
      <c r="AA498" s="1"/>
      <c r="AB498" s="1"/>
      <c r="AC498" s="3"/>
      <c r="AD498" s="1"/>
      <c r="AE498" s="1"/>
      <c r="AF498" s="1"/>
      <c r="AG498" s="1"/>
    </row>
    <row r="499" ht="21.0" customHeight="1">
      <c r="A499" s="1"/>
      <c r="B499" s="4" t="s">
        <v>1</v>
      </c>
      <c r="C499" s="5"/>
      <c r="D499" s="6" t="s">
        <v>2</v>
      </c>
      <c r="E499" s="7"/>
      <c r="F499" s="7"/>
      <c r="G499" s="5"/>
      <c r="H499" s="8" t="s">
        <v>3</v>
      </c>
      <c r="I499" s="8" t="s">
        <v>4</v>
      </c>
      <c r="J499" s="9" t="s">
        <v>5</v>
      </c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5"/>
      <c r="AA499" s="117" t="s">
        <v>6</v>
      </c>
      <c r="AB499" s="11"/>
      <c r="AC499" s="11"/>
      <c r="AD499" s="11"/>
      <c r="AE499" s="11"/>
      <c r="AF499" s="12"/>
      <c r="AG499" s="1"/>
    </row>
    <row r="500" ht="21.0" customHeight="1">
      <c r="A500" s="1"/>
      <c r="B500" s="149" t="s">
        <v>138</v>
      </c>
      <c r="C500" s="14" t="str">
        <f>if(B500="0/0","",choose(weekday(B500),"(일)","(월)","(화)","(수)","(목)","(금)","(토)"))</f>
        <v/>
      </c>
      <c r="D500" s="15" t="s">
        <v>7</v>
      </c>
      <c r="E500" s="16" t="s">
        <v>8</v>
      </c>
      <c r="F500" s="17"/>
      <c r="G500" s="18" t="s">
        <v>9</v>
      </c>
      <c r="H500" s="150" t="s">
        <v>139</v>
      </c>
      <c r="I500" s="151"/>
      <c r="J500" s="21" t="s">
        <v>12</v>
      </c>
      <c r="K500" s="22"/>
      <c r="L500" s="21" t="s">
        <v>13</v>
      </c>
      <c r="M500" s="22"/>
      <c r="N500" s="21" t="s">
        <v>14</v>
      </c>
      <c r="O500" s="22"/>
      <c r="P500" s="21" t="s">
        <v>15</v>
      </c>
      <c r="Q500" s="22"/>
      <c r="R500" s="23" t="s">
        <v>16</v>
      </c>
      <c r="S500" s="22"/>
      <c r="T500" s="23" t="s">
        <v>17</v>
      </c>
      <c r="U500" s="22"/>
      <c r="V500" s="23" t="s">
        <v>18</v>
      </c>
      <c r="W500" s="22"/>
      <c r="X500" s="23" t="s">
        <v>19</v>
      </c>
      <c r="Y500" s="22"/>
      <c r="Z500" s="24" t="s">
        <v>164</v>
      </c>
      <c r="AA500" s="118" t="s">
        <v>21</v>
      </c>
      <c r="AB500" s="119" t="s">
        <v>22</v>
      </c>
      <c r="AC500" s="7"/>
      <c r="AD500" s="22"/>
      <c r="AE500" s="120" t="s">
        <v>23</v>
      </c>
      <c r="AF500" s="22"/>
      <c r="AG500" s="1"/>
    </row>
    <row r="501" ht="21.0" customHeight="1">
      <c r="A501" s="1"/>
      <c r="B501" s="27">
        <f>iferror(B500-'현황'!$C$4+1,0)</f>
        <v>0</v>
      </c>
      <c r="C501" s="28"/>
      <c r="D501" s="29">
        <v>0.0</v>
      </c>
      <c r="E501" s="30">
        <v>0.0</v>
      </c>
      <c r="F501" s="31"/>
      <c r="G501" s="32">
        <v>0.0</v>
      </c>
      <c r="H501" s="33">
        <v>0.0</v>
      </c>
      <c r="I501" s="34"/>
      <c r="J501" s="35"/>
      <c r="K501" s="36"/>
      <c r="L501" s="35"/>
      <c r="M501" s="36"/>
      <c r="N501" s="35"/>
      <c r="O501" s="36"/>
      <c r="P501" s="35"/>
      <c r="Q501" s="36"/>
      <c r="R501" s="35"/>
      <c r="S501" s="36"/>
      <c r="T501" s="35"/>
      <c r="U501" s="36"/>
      <c r="V501" s="35"/>
      <c r="W501" s="36"/>
      <c r="X501" s="35"/>
      <c r="Y501" s="36"/>
      <c r="Z501" s="37"/>
      <c r="AA501" s="37"/>
      <c r="AB501" s="35"/>
      <c r="AC501" s="38"/>
      <c r="AD501" s="36"/>
      <c r="AE501" s="35"/>
      <c r="AF501" s="36"/>
      <c r="AG501" s="1"/>
    </row>
    <row r="502" ht="21.0" customHeight="1">
      <c r="A502" s="1"/>
      <c r="B502" s="39" t="s">
        <v>24</v>
      </c>
      <c r="C502" s="40"/>
      <c r="D502" s="41"/>
      <c r="E502" s="42" t="s">
        <v>25</v>
      </c>
      <c r="F502" s="40"/>
      <c r="G502" s="41"/>
      <c r="H502" s="43" t="s">
        <v>26</v>
      </c>
      <c r="J502" s="44" t="s">
        <v>27</v>
      </c>
      <c r="K502" s="45" t="s">
        <v>28</v>
      </c>
      <c r="L502" s="44" t="s">
        <v>27</v>
      </c>
      <c r="M502" s="45" t="s">
        <v>28</v>
      </c>
      <c r="N502" s="44" t="s">
        <v>27</v>
      </c>
      <c r="O502" s="45" t="s">
        <v>28</v>
      </c>
      <c r="P502" s="44" t="s">
        <v>27</v>
      </c>
      <c r="Q502" s="45" t="s">
        <v>28</v>
      </c>
      <c r="R502" s="44" t="s">
        <v>27</v>
      </c>
      <c r="S502" s="45" t="s">
        <v>28</v>
      </c>
      <c r="T502" s="44" t="s">
        <v>27</v>
      </c>
      <c r="U502" s="45" t="s">
        <v>28</v>
      </c>
      <c r="V502" s="44" t="s">
        <v>27</v>
      </c>
      <c r="W502" s="45" t="s">
        <v>28</v>
      </c>
      <c r="X502" s="44" t="s">
        <v>27</v>
      </c>
      <c r="Y502" s="45" t="s">
        <v>28</v>
      </c>
      <c r="Z502" s="46"/>
      <c r="AA502" s="46"/>
      <c r="AB502" s="121" t="s">
        <v>29</v>
      </c>
      <c r="AC502" s="122" t="s">
        <v>30</v>
      </c>
      <c r="AD502" s="123" t="s">
        <v>31</v>
      </c>
      <c r="AE502" s="121" t="s">
        <v>27</v>
      </c>
      <c r="AF502" s="123" t="s">
        <v>28</v>
      </c>
      <c r="AG502" s="1"/>
    </row>
    <row r="503" ht="21.0" customHeight="1">
      <c r="A503" s="1"/>
      <c r="B503" s="48" t="s">
        <v>32</v>
      </c>
      <c r="C503" s="49"/>
      <c r="D503" s="50"/>
      <c r="E503" s="51" t="s">
        <v>33</v>
      </c>
      <c r="F503" s="52" t="s">
        <v>34</v>
      </c>
      <c r="G503" s="53"/>
      <c r="H503" s="148"/>
      <c r="I503" s="55"/>
      <c r="J503" s="58"/>
      <c r="K503" s="59"/>
      <c r="L503" s="58"/>
      <c r="M503" s="59"/>
      <c r="N503" s="58"/>
      <c r="O503" s="59"/>
      <c r="P503" s="58"/>
      <c r="Q503" s="59"/>
      <c r="R503" s="58"/>
      <c r="S503" s="59"/>
      <c r="T503" s="58"/>
      <c r="U503" s="59"/>
      <c r="V503" s="58"/>
      <c r="W503" s="59"/>
      <c r="X503" s="58"/>
      <c r="Y503" s="59"/>
      <c r="Z503" s="60" t="b">
        <v>0</v>
      </c>
      <c r="AA503" s="125">
        <f t="shared" ref="AA503:AA511" si="199">(J503*K503+L503*M503+N503*O503+P503*Q503+R503*S503+T503*U503+V503*W503+X503*Y503)*if(Z503=true,0.453592,1)</f>
        <v>0</v>
      </c>
      <c r="AB503" s="126">
        <f t="shared" ref="AB503:AB511" si="200">SUM(AE503*AF503*0.025,AE503)</f>
        <v>0</v>
      </c>
      <c r="AC503" s="127">
        <f t="shared" ref="AC503:AC511" si="201">AB503*87%</f>
        <v>0</v>
      </c>
      <c r="AD503" s="128">
        <f t="shared" ref="AD503:AD511" si="202">AB503*67%</f>
        <v>0</v>
      </c>
      <c r="AE503" s="126">
        <f t="shared" ref="AE503:AE511" si="203">MAX(J503,L503,N503,P503,R503,T503,V503,X503)*if(Z503=true,0.453592,1)</f>
        <v>0</v>
      </c>
      <c r="AF503" s="128">
        <f t="shared" ref="AF503:AF511" si="204">MAX(IF(J503*if(Z503=true,0.453592,1)=$AE503,K503,0),IF(L503*if(Z503=true,0.453592,1)=$AE503,M503,0),IF(N503*if(Z503=true,0.453592,1)=$AE503,O503,0),IF(P503*if(Z503=true,0.453592,1)=$AE503,Q503,0),IF(R503*if(Z503=true,0.453592,1)=$AE503,S503,0),IF(T503*if(Z503=true,0.453592,1)=$AE503,U503,0),IF(V503*if(Z503=true,0.453592,1)=$AE503,W503,0),IF(X503*if(Z503=true,0.453592,1)=$AE503,Y503,0))</f>
        <v>0</v>
      </c>
      <c r="AG503" s="1"/>
    </row>
    <row r="504" ht="21.0" customHeight="1">
      <c r="A504" s="1"/>
      <c r="B504" s="48" t="s">
        <v>36</v>
      </c>
      <c r="C504" s="49"/>
      <c r="D504" s="65"/>
      <c r="E504" s="66"/>
      <c r="F504" s="52" t="s">
        <v>37</v>
      </c>
      <c r="G504" s="67"/>
      <c r="H504" s="129"/>
      <c r="I504" s="69"/>
      <c r="J504" s="72"/>
      <c r="K504" s="73"/>
      <c r="L504" s="72"/>
      <c r="M504" s="73"/>
      <c r="N504" s="72"/>
      <c r="O504" s="73"/>
      <c r="P504" s="72"/>
      <c r="Q504" s="73"/>
      <c r="R504" s="72"/>
      <c r="S504" s="73"/>
      <c r="T504" s="72"/>
      <c r="U504" s="73"/>
      <c r="V504" s="72"/>
      <c r="W504" s="73"/>
      <c r="X504" s="72"/>
      <c r="Y504" s="73"/>
      <c r="Z504" s="74" t="b">
        <v>0</v>
      </c>
      <c r="AA504" s="130">
        <f t="shared" si="199"/>
        <v>0</v>
      </c>
      <c r="AB504" s="131">
        <f t="shared" si="200"/>
        <v>0</v>
      </c>
      <c r="AC504" s="132">
        <f t="shared" si="201"/>
        <v>0</v>
      </c>
      <c r="AD504" s="133">
        <f t="shared" si="202"/>
        <v>0</v>
      </c>
      <c r="AE504" s="131">
        <f t="shared" si="203"/>
        <v>0</v>
      </c>
      <c r="AF504" s="133">
        <f t="shared" si="204"/>
        <v>0</v>
      </c>
      <c r="AG504" s="1"/>
    </row>
    <row r="505" ht="21.0" customHeight="1">
      <c r="A505" s="1"/>
      <c r="B505" s="48" t="s">
        <v>39</v>
      </c>
      <c r="C505" s="49"/>
      <c r="D505" s="65"/>
      <c r="E505" s="41"/>
      <c r="F505" s="52" t="s">
        <v>40</v>
      </c>
      <c r="G505" s="79"/>
      <c r="H505" s="80"/>
      <c r="I505" s="69"/>
      <c r="J505" s="72"/>
      <c r="K505" s="73"/>
      <c r="L505" s="72"/>
      <c r="M505" s="73"/>
      <c r="N505" s="72"/>
      <c r="O505" s="73"/>
      <c r="P505" s="72"/>
      <c r="Q505" s="73"/>
      <c r="R505" s="72"/>
      <c r="S505" s="73"/>
      <c r="T505" s="72"/>
      <c r="U505" s="73"/>
      <c r="V505" s="72"/>
      <c r="W505" s="73"/>
      <c r="X505" s="72"/>
      <c r="Y505" s="73"/>
      <c r="Z505" s="74" t="b">
        <v>0</v>
      </c>
      <c r="AA505" s="130">
        <f t="shared" si="199"/>
        <v>0</v>
      </c>
      <c r="AB505" s="131">
        <f t="shared" si="200"/>
        <v>0</v>
      </c>
      <c r="AC505" s="132">
        <f t="shared" si="201"/>
        <v>0</v>
      </c>
      <c r="AD505" s="133">
        <f t="shared" si="202"/>
        <v>0</v>
      </c>
      <c r="AE505" s="131">
        <f t="shared" si="203"/>
        <v>0</v>
      </c>
      <c r="AF505" s="133">
        <f t="shared" si="204"/>
        <v>0</v>
      </c>
      <c r="AG505" s="1"/>
    </row>
    <row r="506" ht="21.0" customHeight="1">
      <c r="A506" s="1"/>
      <c r="B506" s="48" t="s">
        <v>41</v>
      </c>
      <c r="C506" s="81"/>
      <c r="D506" s="82" t="b">
        <v>0</v>
      </c>
      <c r="E506" s="51" t="s">
        <v>42</v>
      </c>
      <c r="F506" s="52" t="s">
        <v>34</v>
      </c>
      <c r="G506" s="83"/>
      <c r="H506" s="84"/>
      <c r="I506" s="85"/>
      <c r="J506" s="72"/>
      <c r="K506" s="73"/>
      <c r="L506" s="72"/>
      <c r="M506" s="73"/>
      <c r="N506" s="72"/>
      <c r="O506" s="73"/>
      <c r="P506" s="72"/>
      <c r="Q506" s="73"/>
      <c r="R506" s="72"/>
      <c r="S506" s="73"/>
      <c r="T506" s="72"/>
      <c r="U506" s="73"/>
      <c r="V506" s="72"/>
      <c r="W506" s="73"/>
      <c r="X506" s="72"/>
      <c r="Y506" s="73"/>
      <c r="Z506" s="74" t="b">
        <v>0</v>
      </c>
      <c r="AA506" s="130">
        <f t="shared" si="199"/>
        <v>0</v>
      </c>
      <c r="AB506" s="131">
        <f t="shared" si="200"/>
        <v>0</v>
      </c>
      <c r="AC506" s="132">
        <f t="shared" si="201"/>
        <v>0</v>
      </c>
      <c r="AD506" s="133">
        <f t="shared" si="202"/>
        <v>0</v>
      </c>
      <c r="AE506" s="131">
        <f t="shared" si="203"/>
        <v>0</v>
      </c>
      <c r="AF506" s="133">
        <f t="shared" si="204"/>
        <v>0</v>
      </c>
      <c r="AG506" s="1"/>
    </row>
    <row r="507" ht="21.0" customHeight="1">
      <c r="A507" s="1"/>
      <c r="B507" s="48" t="s">
        <v>43</v>
      </c>
      <c r="C507" s="49"/>
      <c r="D507" s="86" t="b">
        <v>0</v>
      </c>
      <c r="E507" s="66"/>
      <c r="F507" s="52" t="s">
        <v>37</v>
      </c>
      <c r="G507" s="67"/>
      <c r="H507" s="80"/>
      <c r="I507" s="69"/>
      <c r="J507" s="72"/>
      <c r="K507" s="73"/>
      <c r="L507" s="72"/>
      <c r="M507" s="73"/>
      <c r="N507" s="72"/>
      <c r="O507" s="73"/>
      <c r="P507" s="72"/>
      <c r="Q507" s="73"/>
      <c r="R507" s="72"/>
      <c r="S507" s="73"/>
      <c r="T507" s="72"/>
      <c r="U507" s="73"/>
      <c r="V507" s="72"/>
      <c r="W507" s="73"/>
      <c r="X507" s="72"/>
      <c r="Y507" s="73"/>
      <c r="Z507" s="74" t="b">
        <v>0</v>
      </c>
      <c r="AA507" s="130">
        <f t="shared" si="199"/>
        <v>0</v>
      </c>
      <c r="AB507" s="131">
        <f t="shared" si="200"/>
        <v>0</v>
      </c>
      <c r="AC507" s="132">
        <f t="shared" si="201"/>
        <v>0</v>
      </c>
      <c r="AD507" s="133">
        <f t="shared" si="202"/>
        <v>0</v>
      </c>
      <c r="AE507" s="131">
        <f t="shared" si="203"/>
        <v>0</v>
      </c>
      <c r="AF507" s="133">
        <f t="shared" si="204"/>
        <v>0</v>
      </c>
      <c r="AG507" s="1"/>
    </row>
    <row r="508" ht="21.0" customHeight="1">
      <c r="A508" s="1"/>
      <c r="B508" s="87" t="str">
        <f t="array" ref="B508">"📌최근 인바디 결과 : "&amp;text(xlookup(B500,'현황'!O:O,'현황'!O:O,,-1,-1),"m/d(ddd)")</f>
        <v>#REF!</v>
      </c>
      <c r="C508" s="88"/>
      <c r="D508" s="49"/>
      <c r="E508" s="41"/>
      <c r="F508" s="52" t="s">
        <v>40</v>
      </c>
      <c r="G508" s="79"/>
      <c r="H508" s="80"/>
      <c r="I508" s="69"/>
      <c r="J508" s="72"/>
      <c r="K508" s="73"/>
      <c r="L508" s="72"/>
      <c r="M508" s="73"/>
      <c r="N508" s="72"/>
      <c r="O508" s="73"/>
      <c r="P508" s="72"/>
      <c r="Q508" s="73"/>
      <c r="R508" s="72"/>
      <c r="S508" s="73"/>
      <c r="T508" s="72"/>
      <c r="U508" s="73"/>
      <c r="V508" s="72"/>
      <c r="W508" s="73"/>
      <c r="X508" s="72"/>
      <c r="Y508" s="73"/>
      <c r="Z508" s="74" t="b">
        <v>0</v>
      </c>
      <c r="AA508" s="130">
        <f t="shared" si="199"/>
        <v>0</v>
      </c>
      <c r="AB508" s="131">
        <f t="shared" si="200"/>
        <v>0</v>
      </c>
      <c r="AC508" s="132">
        <f t="shared" si="201"/>
        <v>0</v>
      </c>
      <c r="AD508" s="133">
        <f t="shared" si="202"/>
        <v>0</v>
      </c>
      <c r="AE508" s="131">
        <f t="shared" si="203"/>
        <v>0</v>
      </c>
      <c r="AF508" s="133">
        <f t="shared" si="204"/>
        <v>0</v>
      </c>
      <c r="AG508" s="1"/>
    </row>
    <row r="509" ht="21.0" customHeight="1">
      <c r="A509" s="1"/>
      <c r="B509" s="89" t="s">
        <v>44</v>
      </c>
      <c r="C509" s="49"/>
      <c r="D509" s="90">
        <f t="array" ref="D509">iferror(vlookup(xlookup(B500,'현황'!O:O,'현황'!O:O,,-1,-1),'현황'!O:S,2,false),0)</f>
        <v>0</v>
      </c>
      <c r="E509" s="51" t="s">
        <v>45</v>
      </c>
      <c r="F509" s="52" t="s">
        <v>34</v>
      </c>
      <c r="G509" s="83"/>
      <c r="H509" s="84"/>
      <c r="I509" s="85"/>
      <c r="J509" s="72"/>
      <c r="K509" s="73"/>
      <c r="L509" s="72"/>
      <c r="M509" s="73"/>
      <c r="N509" s="72"/>
      <c r="O509" s="73"/>
      <c r="P509" s="72"/>
      <c r="Q509" s="73"/>
      <c r="R509" s="72"/>
      <c r="S509" s="73"/>
      <c r="T509" s="72"/>
      <c r="U509" s="73"/>
      <c r="V509" s="72"/>
      <c r="W509" s="73"/>
      <c r="X509" s="72"/>
      <c r="Y509" s="73"/>
      <c r="Z509" s="74" t="b">
        <v>0</v>
      </c>
      <c r="AA509" s="130">
        <f t="shared" si="199"/>
        <v>0</v>
      </c>
      <c r="AB509" s="131">
        <f t="shared" si="200"/>
        <v>0</v>
      </c>
      <c r="AC509" s="132">
        <f t="shared" si="201"/>
        <v>0</v>
      </c>
      <c r="AD509" s="133">
        <f t="shared" si="202"/>
        <v>0</v>
      </c>
      <c r="AE509" s="131">
        <f t="shared" si="203"/>
        <v>0</v>
      </c>
      <c r="AF509" s="133">
        <f t="shared" si="204"/>
        <v>0</v>
      </c>
      <c r="AG509" s="1"/>
    </row>
    <row r="510" ht="21.0" customHeight="1">
      <c r="A510" s="1"/>
      <c r="B510" s="48" t="s">
        <v>46</v>
      </c>
      <c r="C510" s="49"/>
      <c r="D510" s="91">
        <f t="array" ref="D510">iferror(vlookup(xlookup(B500,'현황'!O:O,'현황'!O:O,,-1,-1),'현황'!O:S,3,false),0)</f>
        <v>0</v>
      </c>
      <c r="E510" s="66"/>
      <c r="F510" s="52" t="s">
        <v>37</v>
      </c>
      <c r="G510" s="67"/>
      <c r="H510" s="80"/>
      <c r="I510" s="69"/>
      <c r="J510" s="72"/>
      <c r="K510" s="73"/>
      <c r="L510" s="72"/>
      <c r="M510" s="73"/>
      <c r="N510" s="72"/>
      <c r="O510" s="73"/>
      <c r="P510" s="72"/>
      <c r="Q510" s="73"/>
      <c r="R510" s="72"/>
      <c r="S510" s="73"/>
      <c r="T510" s="72"/>
      <c r="U510" s="73"/>
      <c r="V510" s="72"/>
      <c r="W510" s="73"/>
      <c r="X510" s="72"/>
      <c r="Y510" s="73"/>
      <c r="Z510" s="74" t="b">
        <v>0</v>
      </c>
      <c r="AA510" s="130">
        <f t="shared" si="199"/>
        <v>0</v>
      </c>
      <c r="AB510" s="131">
        <f t="shared" si="200"/>
        <v>0</v>
      </c>
      <c r="AC510" s="132">
        <f t="shared" si="201"/>
        <v>0</v>
      </c>
      <c r="AD510" s="133">
        <f t="shared" si="202"/>
        <v>0</v>
      </c>
      <c r="AE510" s="131">
        <f t="shared" si="203"/>
        <v>0</v>
      </c>
      <c r="AF510" s="133">
        <f t="shared" si="204"/>
        <v>0</v>
      </c>
      <c r="AG510" s="1"/>
    </row>
    <row r="511" ht="21.0" customHeight="1">
      <c r="A511" s="1"/>
      <c r="B511" s="48" t="s">
        <v>47</v>
      </c>
      <c r="C511" s="49"/>
      <c r="D511" s="91">
        <f t="array" ref="D511">iferror(vlookup(xlookup(B500,'현황'!O:O,'현황'!O:O,,-1,-1),'현황'!O:S,4,false),0)</f>
        <v>0</v>
      </c>
      <c r="E511" s="41"/>
      <c r="F511" s="92" t="s">
        <v>40</v>
      </c>
      <c r="G511" s="79"/>
      <c r="H511" s="93"/>
      <c r="I511" s="94"/>
      <c r="J511" s="95"/>
      <c r="K511" s="96"/>
      <c r="L511" s="95"/>
      <c r="M511" s="96"/>
      <c r="N511" s="95"/>
      <c r="O511" s="96"/>
      <c r="P511" s="95"/>
      <c r="Q511" s="96"/>
      <c r="R511" s="95"/>
      <c r="S511" s="96"/>
      <c r="T511" s="95"/>
      <c r="U511" s="96"/>
      <c r="V511" s="95"/>
      <c r="W511" s="96"/>
      <c r="X511" s="95"/>
      <c r="Y511" s="96"/>
      <c r="Z511" s="97" t="b">
        <v>0</v>
      </c>
      <c r="AA511" s="135">
        <f t="shared" si="199"/>
        <v>0</v>
      </c>
      <c r="AB511" s="136">
        <f t="shared" si="200"/>
        <v>0</v>
      </c>
      <c r="AC511" s="137">
        <f t="shared" si="201"/>
        <v>0</v>
      </c>
      <c r="AD511" s="138">
        <f t="shared" si="202"/>
        <v>0</v>
      </c>
      <c r="AE511" s="136">
        <f t="shared" si="203"/>
        <v>0</v>
      </c>
      <c r="AF511" s="138">
        <f t="shared" si="204"/>
        <v>0</v>
      </c>
      <c r="AG511" s="1"/>
    </row>
    <row r="512" ht="21.0" customHeight="1">
      <c r="A512" s="1"/>
      <c r="B512" s="102" t="s">
        <v>48</v>
      </c>
      <c r="C512" s="103"/>
      <c r="D512" s="104">
        <f>iferror(D511/D509,0)</f>
        <v>0</v>
      </c>
      <c r="E512" s="102" t="s">
        <v>49</v>
      </c>
      <c r="F512" s="103"/>
      <c r="G512" s="105"/>
      <c r="H512" s="106" t="s">
        <v>50</v>
      </c>
      <c r="I512" s="107"/>
      <c r="J512" s="11"/>
      <c r="K512" s="11"/>
      <c r="L512" s="11"/>
      <c r="M512" s="11"/>
      <c r="N512" s="11"/>
      <c r="O512" s="11"/>
      <c r="P512" s="108" t="s">
        <v>51</v>
      </c>
      <c r="Q512" s="12"/>
      <c r="R512" s="109"/>
      <c r="S512" s="11"/>
      <c r="T512" s="11"/>
      <c r="U512" s="11"/>
      <c r="V512" s="11"/>
      <c r="W512" s="11"/>
      <c r="X512" s="11"/>
      <c r="Y512" s="11"/>
      <c r="Z512" s="12"/>
      <c r="AA512" s="139">
        <f>SUM(AA503:AA511)</f>
        <v>0</v>
      </c>
      <c r="AB512" s="140" t="s">
        <v>165</v>
      </c>
      <c r="AG512" s="1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1"/>
      <c r="AA513" s="1"/>
      <c r="AB513" s="1"/>
      <c r="AC513" s="3"/>
      <c r="AD513" s="1"/>
      <c r="AE513" s="1"/>
      <c r="AF513" s="1"/>
      <c r="AG513" s="1"/>
    </row>
    <row r="514" ht="21.0" customHeight="1">
      <c r="A514" s="1"/>
      <c r="B514" s="4" t="s">
        <v>1</v>
      </c>
      <c r="C514" s="5"/>
      <c r="D514" s="6" t="s">
        <v>2</v>
      </c>
      <c r="E514" s="7"/>
      <c r="F514" s="7"/>
      <c r="G514" s="5"/>
      <c r="H514" s="8" t="s">
        <v>3</v>
      </c>
      <c r="I514" s="8" t="s">
        <v>4</v>
      </c>
      <c r="J514" s="9" t="s">
        <v>5</v>
      </c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5"/>
      <c r="AA514" s="117" t="s">
        <v>6</v>
      </c>
      <c r="AB514" s="11"/>
      <c r="AC514" s="11"/>
      <c r="AD514" s="11"/>
      <c r="AE514" s="11"/>
      <c r="AF514" s="12"/>
      <c r="AG514" s="1"/>
    </row>
    <row r="515" ht="21.0" customHeight="1">
      <c r="A515" s="1"/>
      <c r="B515" s="149" t="s">
        <v>138</v>
      </c>
      <c r="C515" s="14" t="str">
        <f>if(B515="0/0","",choose(weekday(B515),"(일)","(월)","(화)","(수)","(목)","(금)","(토)"))</f>
        <v/>
      </c>
      <c r="D515" s="15" t="s">
        <v>7</v>
      </c>
      <c r="E515" s="16" t="s">
        <v>8</v>
      </c>
      <c r="F515" s="17"/>
      <c r="G515" s="18" t="s">
        <v>9</v>
      </c>
      <c r="H515" s="150" t="s">
        <v>139</v>
      </c>
      <c r="I515" s="151"/>
      <c r="J515" s="21" t="s">
        <v>12</v>
      </c>
      <c r="K515" s="22"/>
      <c r="L515" s="21" t="s">
        <v>13</v>
      </c>
      <c r="M515" s="22"/>
      <c r="N515" s="21" t="s">
        <v>14</v>
      </c>
      <c r="O515" s="22"/>
      <c r="P515" s="21" t="s">
        <v>15</v>
      </c>
      <c r="Q515" s="22"/>
      <c r="R515" s="23" t="s">
        <v>16</v>
      </c>
      <c r="S515" s="22"/>
      <c r="T515" s="23" t="s">
        <v>17</v>
      </c>
      <c r="U515" s="22"/>
      <c r="V515" s="23" t="s">
        <v>18</v>
      </c>
      <c r="W515" s="22"/>
      <c r="X515" s="23" t="s">
        <v>19</v>
      </c>
      <c r="Y515" s="22"/>
      <c r="Z515" s="24" t="s">
        <v>166</v>
      </c>
      <c r="AA515" s="118" t="s">
        <v>21</v>
      </c>
      <c r="AB515" s="119" t="s">
        <v>22</v>
      </c>
      <c r="AC515" s="7"/>
      <c r="AD515" s="22"/>
      <c r="AE515" s="120" t="s">
        <v>23</v>
      </c>
      <c r="AF515" s="22"/>
      <c r="AG515" s="1"/>
    </row>
    <row r="516" ht="21.0" customHeight="1">
      <c r="A516" s="1"/>
      <c r="B516" s="27">
        <f>iferror(B515-'현황'!$C$4+1,0)</f>
        <v>0</v>
      </c>
      <c r="C516" s="28"/>
      <c r="D516" s="29">
        <v>0.0</v>
      </c>
      <c r="E516" s="30">
        <v>0.0</v>
      </c>
      <c r="F516" s="31"/>
      <c r="G516" s="32">
        <v>0.0</v>
      </c>
      <c r="H516" s="33">
        <v>0.0</v>
      </c>
      <c r="I516" s="34"/>
      <c r="J516" s="35"/>
      <c r="K516" s="36"/>
      <c r="L516" s="35"/>
      <c r="M516" s="36"/>
      <c r="N516" s="35"/>
      <c r="O516" s="36"/>
      <c r="P516" s="35"/>
      <c r="Q516" s="36"/>
      <c r="R516" s="35"/>
      <c r="S516" s="36"/>
      <c r="T516" s="35"/>
      <c r="U516" s="36"/>
      <c r="V516" s="35"/>
      <c r="W516" s="36"/>
      <c r="X516" s="35"/>
      <c r="Y516" s="36"/>
      <c r="Z516" s="37"/>
      <c r="AA516" s="37"/>
      <c r="AB516" s="35"/>
      <c r="AC516" s="38"/>
      <c r="AD516" s="36"/>
      <c r="AE516" s="35"/>
      <c r="AF516" s="36"/>
      <c r="AG516" s="1"/>
    </row>
    <row r="517" ht="21.0" customHeight="1">
      <c r="A517" s="1"/>
      <c r="B517" s="39" t="s">
        <v>24</v>
      </c>
      <c r="C517" s="40"/>
      <c r="D517" s="41"/>
      <c r="E517" s="42" t="s">
        <v>25</v>
      </c>
      <c r="F517" s="40"/>
      <c r="G517" s="41"/>
      <c r="H517" s="43" t="s">
        <v>26</v>
      </c>
      <c r="J517" s="44" t="s">
        <v>27</v>
      </c>
      <c r="K517" s="45" t="s">
        <v>28</v>
      </c>
      <c r="L517" s="44" t="s">
        <v>27</v>
      </c>
      <c r="M517" s="45" t="s">
        <v>28</v>
      </c>
      <c r="N517" s="44" t="s">
        <v>27</v>
      </c>
      <c r="O517" s="45" t="s">
        <v>28</v>
      </c>
      <c r="P517" s="44" t="s">
        <v>27</v>
      </c>
      <c r="Q517" s="45" t="s">
        <v>28</v>
      </c>
      <c r="R517" s="44" t="s">
        <v>27</v>
      </c>
      <c r="S517" s="45" t="s">
        <v>28</v>
      </c>
      <c r="T517" s="44" t="s">
        <v>27</v>
      </c>
      <c r="U517" s="45" t="s">
        <v>28</v>
      </c>
      <c r="V517" s="44" t="s">
        <v>27</v>
      </c>
      <c r="W517" s="45" t="s">
        <v>28</v>
      </c>
      <c r="X517" s="44" t="s">
        <v>27</v>
      </c>
      <c r="Y517" s="45" t="s">
        <v>28</v>
      </c>
      <c r="Z517" s="46"/>
      <c r="AA517" s="46"/>
      <c r="AB517" s="121" t="s">
        <v>29</v>
      </c>
      <c r="AC517" s="122" t="s">
        <v>30</v>
      </c>
      <c r="AD517" s="123" t="s">
        <v>31</v>
      </c>
      <c r="AE517" s="121" t="s">
        <v>27</v>
      </c>
      <c r="AF517" s="123" t="s">
        <v>28</v>
      </c>
      <c r="AG517" s="1"/>
    </row>
    <row r="518" ht="21.0" customHeight="1">
      <c r="A518" s="1"/>
      <c r="B518" s="48" t="s">
        <v>32</v>
      </c>
      <c r="C518" s="49"/>
      <c r="D518" s="50"/>
      <c r="E518" s="51" t="s">
        <v>33</v>
      </c>
      <c r="F518" s="52" t="s">
        <v>34</v>
      </c>
      <c r="G518" s="53"/>
      <c r="H518" s="148"/>
      <c r="I518" s="55"/>
      <c r="J518" s="58"/>
      <c r="K518" s="59"/>
      <c r="L518" s="58"/>
      <c r="M518" s="59"/>
      <c r="N518" s="58"/>
      <c r="O518" s="59"/>
      <c r="P518" s="58"/>
      <c r="Q518" s="59"/>
      <c r="R518" s="58"/>
      <c r="S518" s="59"/>
      <c r="T518" s="58"/>
      <c r="U518" s="59"/>
      <c r="V518" s="58"/>
      <c r="W518" s="59"/>
      <c r="X518" s="58"/>
      <c r="Y518" s="59"/>
      <c r="Z518" s="60" t="b">
        <v>0</v>
      </c>
      <c r="AA518" s="125">
        <f t="shared" ref="AA518:AA526" si="205">(J518*K518+L518*M518+N518*O518+P518*Q518+R518*S518+T518*U518+V518*W518+X518*Y518)*if(Z518=true,0.453592,1)</f>
        <v>0</v>
      </c>
      <c r="AB518" s="126">
        <f t="shared" ref="AB518:AB526" si="206">SUM(AE518*AF518*0.025,AE518)</f>
        <v>0</v>
      </c>
      <c r="AC518" s="127">
        <f t="shared" ref="AC518:AC526" si="207">AB518*87%</f>
        <v>0</v>
      </c>
      <c r="AD518" s="128">
        <f t="shared" ref="AD518:AD526" si="208">AB518*67%</f>
        <v>0</v>
      </c>
      <c r="AE518" s="126">
        <f t="shared" ref="AE518:AE526" si="209">MAX(J518,L518,N518,P518,R518,T518,V518,X518)*if(Z518=true,0.453592,1)</f>
        <v>0</v>
      </c>
      <c r="AF518" s="128">
        <f t="shared" ref="AF518:AF526" si="210">MAX(IF(J518*if(Z518=true,0.453592,1)=$AE518,K518,0),IF(L518*if(Z518=true,0.453592,1)=$AE518,M518,0),IF(N518*if(Z518=true,0.453592,1)=$AE518,O518,0),IF(P518*if(Z518=true,0.453592,1)=$AE518,Q518,0),IF(R518*if(Z518=true,0.453592,1)=$AE518,S518,0),IF(T518*if(Z518=true,0.453592,1)=$AE518,U518,0),IF(V518*if(Z518=true,0.453592,1)=$AE518,W518,0),IF(X518*if(Z518=true,0.453592,1)=$AE518,Y518,0))</f>
        <v>0</v>
      </c>
      <c r="AG518" s="1"/>
    </row>
    <row r="519" ht="21.0" customHeight="1">
      <c r="A519" s="1"/>
      <c r="B519" s="48" t="s">
        <v>36</v>
      </c>
      <c r="C519" s="49"/>
      <c r="D519" s="65"/>
      <c r="E519" s="66"/>
      <c r="F519" s="52" t="s">
        <v>37</v>
      </c>
      <c r="G519" s="67"/>
      <c r="H519" s="129"/>
      <c r="I519" s="69"/>
      <c r="J519" s="72"/>
      <c r="K519" s="73"/>
      <c r="L519" s="72"/>
      <c r="M519" s="73"/>
      <c r="N519" s="72"/>
      <c r="O519" s="73"/>
      <c r="P519" s="72"/>
      <c r="Q519" s="73"/>
      <c r="R519" s="72"/>
      <c r="S519" s="73"/>
      <c r="T519" s="72"/>
      <c r="U519" s="73"/>
      <c r="V519" s="72"/>
      <c r="W519" s="73"/>
      <c r="X519" s="72"/>
      <c r="Y519" s="73"/>
      <c r="Z519" s="74" t="b">
        <v>0</v>
      </c>
      <c r="AA519" s="130">
        <f t="shared" si="205"/>
        <v>0</v>
      </c>
      <c r="AB519" s="131">
        <f t="shared" si="206"/>
        <v>0</v>
      </c>
      <c r="AC519" s="132">
        <f t="shared" si="207"/>
        <v>0</v>
      </c>
      <c r="AD519" s="133">
        <f t="shared" si="208"/>
        <v>0</v>
      </c>
      <c r="AE519" s="131">
        <f t="shared" si="209"/>
        <v>0</v>
      </c>
      <c r="AF519" s="133">
        <f t="shared" si="210"/>
        <v>0</v>
      </c>
      <c r="AG519" s="1"/>
    </row>
    <row r="520" ht="21.0" customHeight="1">
      <c r="A520" s="1"/>
      <c r="B520" s="48" t="s">
        <v>39</v>
      </c>
      <c r="C520" s="49"/>
      <c r="D520" s="65"/>
      <c r="E520" s="41"/>
      <c r="F520" s="52" t="s">
        <v>40</v>
      </c>
      <c r="G520" s="79"/>
      <c r="H520" s="80"/>
      <c r="I520" s="69"/>
      <c r="J520" s="72"/>
      <c r="K520" s="73"/>
      <c r="L520" s="72"/>
      <c r="M520" s="73"/>
      <c r="N520" s="72"/>
      <c r="O520" s="73"/>
      <c r="P520" s="72"/>
      <c r="Q520" s="73"/>
      <c r="R520" s="72"/>
      <c r="S520" s="73"/>
      <c r="T520" s="72"/>
      <c r="U520" s="73"/>
      <c r="V520" s="72"/>
      <c r="W520" s="73"/>
      <c r="X520" s="72"/>
      <c r="Y520" s="73"/>
      <c r="Z520" s="74" t="b">
        <v>0</v>
      </c>
      <c r="AA520" s="130">
        <f t="shared" si="205"/>
        <v>0</v>
      </c>
      <c r="AB520" s="131">
        <f t="shared" si="206"/>
        <v>0</v>
      </c>
      <c r="AC520" s="132">
        <f t="shared" si="207"/>
        <v>0</v>
      </c>
      <c r="AD520" s="133">
        <f t="shared" si="208"/>
        <v>0</v>
      </c>
      <c r="AE520" s="131">
        <f t="shared" si="209"/>
        <v>0</v>
      </c>
      <c r="AF520" s="133">
        <f t="shared" si="210"/>
        <v>0</v>
      </c>
      <c r="AG520" s="1"/>
    </row>
    <row r="521" ht="21.0" customHeight="1">
      <c r="A521" s="1"/>
      <c r="B521" s="48" t="s">
        <v>41</v>
      </c>
      <c r="C521" s="81"/>
      <c r="D521" s="82" t="b">
        <v>0</v>
      </c>
      <c r="E521" s="51" t="s">
        <v>42</v>
      </c>
      <c r="F521" s="52" t="s">
        <v>34</v>
      </c>
      <c r="G521" s="83"/>
      <c r="H521" s="84"/>
      <c r="I521" s="85"/>
      <c r="J521" s="72"/>
      <c r="K521" s="73"/>
      <c r="L521" s="72"/>
      <c r="M521" s="73"/>
      <c r="N521" s="72"/>
      <c r="O521" s="73"/>
      <c r="P521" s="72"/>
      <c r="Q521" s="73"/>
      <c r="R521" s="72"/>
      <c r="S521" s="73"/>
      <c r="T521" s="72"/>
      <c r="U521" s="73"/>
      <c r="V521" s="72"/>
      <c r="W521" s="73"/>
      <c r="X521" s="72"/>
      <c r="Y521" s="73"/>
      <c r="Z521" s="74" t="b">
        <v>0</v>
      </c>
      <c r="AA521" s="130">
        <f t="shared" si="205"/>
        <v>0</v>
      </c>
      <c r="AB521" s="131">
        <f t="shared" si="206"/>
        <v>0</v>
      </c>
      <c r="AC521" s="132">
        <f t="shared" si="207"/>
        <v>0</v>
      </c>
      <c r="AD521" s="133">
        <f t="shared" si="208"/>
        <v>0</v>
      </c>
      <c r="AE521" s="131">
        <f t="shared" si="209"/>
        <v>0</v>
      </c>
      <c r="AF521" s="133">
        <f t="shared" si="210"/>
        <v>0</v>
      </c>
      <c r="AG521" s="1"/>
    </row>
    <row r="522" ht="21.0" customHeight="1">
      <c r="A522" s="1"/>
      <c r="B522" s="48" t="s">
        <v>43</v>
      </c>
      <c r="C522" s="49"/>
      <c r="D522" s="86" t="b">
        <v>0</v>
      </c>
      <c r="E522" s="66"/>
      <c r="F522" s="52" t="s">
        <v>37</v>
      </c>
      <c r="G522" s="67"/>
      <c r="H522" s="80"/>
      <c r="I522" s="69"/>
      <c r="J522" s="72"/>
      <c r="K522" s="73"/>
      <c r="L522" s="72"/>
      <c r="M522" s="73"/>
      <c r="N522" s="72"/>
      <c r="O522" s="73"/>
      <c r="P522" s="72"/>
      <c r="Q522" s="73"/>
      <c r="R522" s="72"/>
      <c r="S522" s="73"/>
      <c r="T522" s="72"/>
      <c r="U522" s="73"/>
      <c r="V522" s="72"/>
      <c r="W522" s="73"/>
      <c r="X522" s="72"/>
      <c r="Y522" s="73"/>
      <c r="Z522" s="74" t="b">
        <v>0</v>
      </c>
      <c r="AA522" s="130">
        <f t="shared" si="205"/>
        <v>0</v>
      </c>
      <c r="AB522" s="131">
        <f t="shared" si="206"/>
        <v>0</v>
      </c>
      <c r="AC522" s="132">
        <f t="shared" si="207"/>
        <v>0</v>
      </c>
      <c r="AD522" s="133">
        <f t="shared" si="208"/>
        <v>0</v>
      </c>
      <c r="AE522" s="131">
        <f t="shared" si="209"/>
        <v>0</v>
      </c>
      <c r="AF522" s="133">
        <f t="shared" si="210"/>
        <v>0</v>
      </c>
      <c r="AG522" s="1"/>
    </row>
    <row r="523" ht="21.0" customHeight="1">
      <c r="A523" s="1"/>
      <c r="B523" s="87" t="str">
        <f t="array" ref="B523">"📌최근 인바디 결과 : "&amp;text(xlookup(B515,'현황'!O:O,'현황'!O:O,,-1,-1),"m/d(ddd)")</f>
        <v>#REF!</v>
      </c>
      <c r="C523" s="88"/>
      <c r="D523" s="49"/>
      <c r="E523" s="41"/>
      <c r="F523" s="52" t="s">
        <v>40</v>
      </c>
      <c r="G523" s="79"/>
      <c r="H523" s="80"/>
      <c r="I523" s="69"/>
      <c r="J523" s="72"/>
      <c r="K523" s="73"/>
      <c r="L523" s="72"/>
      <c r="M523" s="73"/>
      <c r="N523" s="72"/>
      <c r="O523" s="73"/>
      <c r="P523" s="72"/>
      <c r="Q523" s="73"/>
      <c r="R523" s="72"/>
      <c r="S523" s="73"/>
      <c r="T523" s="72"/>
      <c r="U523" s="73"/>
      <c r="V523" s="72"/>
      <c r="W523" s="73"/>
      <c r="X523" s="72"/>
      <c r="Y523" s="73"/>
      <c r="Z523" s="74" t="b">
        <v>0</v>
      </c>
      <c r="AA523" s="130">
        <f t="shared" si="205"/>
        <v>0</v>
      </c>
      <c r="AB523" s="131">
        <f t="shared" si="206"/>
        <v>0</v>
      </c>
      <c r="AC523" s="132">
        <f t="shared" si="207"/>
        <v>0</v>
      </c>
      <c r="AD523" s="133">
        <f t="shared" si="208"/>
        <v>0</v>
      </c>
      <c r="AE523" s="131">
        <f t="shared" si="209"/>
        <v>0</v>
      </c>
      <c r="AF523" s="133">
        <f t="shared" si="210"/>
        <v>0</v>
      </c>
      <c r="AG523" s="1"/>
    </row>
    <row r="524" ht="21.0" customHeight="1">
      <c r="A524" s="1"/>
      <c r="B524" s="89" t="s">
        <v>44</v>
      </c>
      <c r="C524" s="49"/>
      <c r="D524" s="90">
        <f t="array" ref="D524">iferror(vlookup(xlookup(B515,'현황'!O:O,'현황'!O:O,,-1,-1),'현황'!O:S,2,false),0)</f>
        <v>0</v>
      </c>
      <c r="E524" s="51" t="s">
        <v>45</v>
      </c>
      <c r="F524" s="52" t="s">
        <v>34</v>
      </c>
      <c r="G524" s="83"/>
      <c r="H524" s="84"/>
      <c r="I524" s="85"/>
      <c r="J524" s="72"/>
      <c r="K524" s="73"/>
      <c r="L524" s="72"/>
      <c r="M524" s="73"/>
      <c r="N524" s="72"/>
      <c r="O524" s="73"/>
      <c r="P524" s="72"/>
      <c r="Q524" s="73"/>
      <c r="R524" s="72"/>
      <c r="S524" s="73"/>
      <c r="T524" s="72"/>
      <c r="U524" s="73"/>
      <c r="V524" s="72"/>
      <c r="W524" s="73"/>
      <c r="X524" s="72"/>
      <c r="Y524" s="73"/>
      <c r="Z524" s="74" t="b">
        <v>0</v>
      </c>
      <c r="AA524" s="130">
        <f t="shared" si="205"/>
        <v>0</v>
      </c>
      <c r="AB524" s="131">
        <f t="shared" si="206"/>
        <v>0</v>
      </c>
      <c r="AC524" s="132">
        <f t="shared" si="207"/>
        <v>0</v>
      </c>
      <c r="AD524" s="133">
        <f t="shared" si="208"/>
        <v>0</v>
      </c>
      <c r="AE524" s="131">
        <f t="shared" si="209"/>
        <v>0</v>
      </c>
      <c r="AF524" s="133">
        <f t="shared" si="210"/>
        <v>0</v>
      </c>
      <c r="AG524" s="1"/>
    </row>
    <row r="525" ht="21.0" customHeight="1">
      <c r="A525" s="1"/>
      <c r="B525" s="48" t="s">
        <v>46</v>
      </c>
      <c r="C525" s="49"/>
      <c r="D525" s="91">
        <f t="array" ref="D525">iferror(vlookup(xlookup(B515,'현황'!O:O,'현황'!O:O,,-1,-1),'현황'!O:S,3,false),0)</f>
        <v>0</v>
      </c>
      <c r="E525" s="66"/>
      <c r="F525" s="52" t="s">
        <v>37</v>
      </c>
      <c r="G525" s="67"/>
      <c r="H525" s="80"/>
      <c r="I525" s="69"/>
      <c r="J525" s="72"/>
      <c r="K525" s="73"/>
      <c r="L525" s="72"/>
      <c r="M525" s="73"/>
      <c r="N525" s="72"/>
      <c r="O525" s="73"/>
      <c r="P525" s="72"/>
      <c r="Q525" s="73"/>
      <c r="R525" s="72"/>
      <c r="S525" s="73"/>
      <c r="T525" s="72"/>
      <c r="U525" s="73"/>
      <c r="V525" s="72"/>
      <c r="W525" s="73"/>
      <c r="X525" s="72"/>
      <c r="Y525" s="73"/>
      <c r="Z525" s="74" t="b">
        <v>0</v>
      </c>
      <c r="AA525" s="130">
        <f t="shared" si="205"/>
        <v>0</v>
      </c>
      <c r="AB525" s="131">
        <f t="shared" si="206"/>
        <v>0</v>
      </c>
      <c r="AC525" s="132">
        <f t="shared" si="207"/>
        <v>0</v>
      </c>
      <c r="AD525" s="133">
        <f t="shared" si="208"/>
        <v>0</v>
      </c>
      <c r="AE525" s="131">
        <f t="shared" si="209"/>
        <v>0</v>
      </c>
      <c r="AF525" s="133">
        <f t="shared" si="210"/>
        <v>0</v>
      </c>
      <c r="AG525" s="1"/>
    </row>
    <row r="526" ht="21.0" customHeight="1">
      <c r="A526" s="1"/>
      <c r="B526" s="48" t="s">
        <v>47</v>
      </c>
      <c r="C526" s="49"/>
      <c r="D526" s="91">
        <f t="array" ref="D526">iferror(vlookup(xlookup(B515,'현황'!O:O,'현황'!O:O,,-1,-1),'현황'!O:S,4,false),0)</f>
        <v>0</v>
      </c>
      <c r="E526" s="41"/>
      <c r="F526" s="92" t="s">
        <v>40</v>
      </c>
      <c r="G526" s="79"/>
      <c r="H526" s="93"/>
      <c r="I526" s="94"/>
      <c r="J526" s="95"/>
      <c r="K526" s="96"/>
      <c r="L526" s="95"/>
      <c r="M526" s="96"/>
      <c r="N526" s="95"/>
      <c r="O526" s="96"/>
      <c r="P526" s="95"/>
      <c r="Q526" s="96"/>
      <c r="R526" s="95"/>
      <c r="S526" s="96"/>
      <c r="T526" s="95"/>
      <c r="U526" s="96"/>
      <c r="V526" s="95"/>
      <c r="W526" s="96"/>
      <c r="X526" s="95"/>
      <c r="Y526" s="96"/>
      <c r="Z526" s="97" t="b">
        <v>0</v>
      </c>
      <c r="AA526" s="135">
        <f t="shared" si="205"/>
        <v>0</v>
      </c>
      <c r="AB526" s="136">
        <f t="shared" si="206"/>
        <v>0</v>
      </c>
      <c r="AC526" s="137">
        <f t="shared" si="207"/>
        <v>0</v>
      </c>
      <c r="AD526" s="138">
        <f t="shared" si="208"/>
        <v>0</v>
      </c>
      <c r="AE526" s="136">
        <f t="shared" si="209"/>
        <v>0</v>
      </c>
      <c r="AF526" s="138">
        <f t="shared" si="210"/>
        <v>0</v>
      </c>
      <c r="AG526" s="1"/>
    </row>
    <row r="527" ht="21.0" customHeight="1">
      <c r="A527" s="1"/>
      <c r="B527" s="102" t="s">
        <v>48</v>
      </c>
      <c r="C527" s="103"/>
      <c r="D527" s="104">
        <f>iferror(D526/D524,0)</f>
        <v>0</v>
      </c>
      <c r="E527" s="102" t="s">
        <v>49</v>
      </c>
      <c r="F527" s="103"/>
      <c r="G527" s="105"/>
      <c r="H527" s="106" t="s">
        <v>50</v>
      </c>
      <c r="I527" s="107"/>
      <c r="J527" s="11"/>
      <c r="K527" s="11"/>
      <c r="L527" s="11"/>
      <c r="M527" s="11"/>
      <c r="N527" s="11"/>
      <c r="O527" s="11"/>
      <c r="P527" s="108" t="s">
        <v>51</v>
      </c>
      <c r="Q527" s="12"/>
      <c r="R527" s="109"/>
      <c r="S527" s="11"/>
      <c r="T527" s="11"/>
      <c r="U527" s="11"/>
      <c r="V527" s="11"/>
      <c r="W527" s="11"/>
      <c r="X527" s="11"/>
      <c r="Y527" s="11"/>
      <c r="Z527" s="12"/>
      <c r="AA527" s="139">
        <f>SUM(AA518:AA526)</f>
        <v>0</v>
      </c>
      <c r="AB527" s="140" t="s">
        <v>167</v>
      </c>
      <c r="AG527" s="1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1"/>
      <c r="AA528" s="1"/>
      <c r="AB528" s="1"/>
      <c r="AC528" s="3"/>
      <c r="AD528" s="1"/>
      <c r="AE528" s="1"/>
      <c r="AF528" s="1"/>
      <c r="AG528" s="1"/>
    </row>
    <row r="529" ht="21.0" customHeight="1">
      <c r="A529" s="1"/>
      <c r="B529" s="4" t="s">
        <v>1</v>
      </c>
      <c r="C529" s="5"/>
      <c r="D529" s="6" t="s">
        <v>2</v>
      </c>
      <c r="E529" s="7"/>
      <c r="F529" s="7"/>
      <c r="G529" s="5"/>
      <c r="H529" s="8" t="s">
        <v>3</v>
      </c>
      <c r="I529" s="8" t="s">
        <v>4</v>
      </c>
      <c r="J529" s="9" t="s">
        <v>5</v>
      </c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5"/>
      <c r="AA529" s="117" t="s">
        <v>6</v>
      </c>
      <c r="AB529" s="11"/>
      <c r="AC529" s="11"/>
      <c r="AD529" s="11"/>
      <c r="AE529" s="11"/>
      <c r="AF529" s="12"/>
      <c r="AG529" s="1"/>
    </row>
    <row r="530" ht="21.0" customHeight="1">
      <c r="A530" s="1"/>
      <c r="B530" s="149" t="s">
        <v>138</v>
      </c>
      <c r="C530" s="14" t="str">
        <f>if(B530="0/0","",choose(weekday(B530),"(일)","(월)","(화)","(수)","(목)","(금)","(토)"))</f>
        <v/>
      </c>
      <c r="D530" s="15" t="s">
        <v>7</v>
      </c>
      <c r="E530" s="16" t="s">
        <v>8</v>
      </c>
      <c r="F530" s="17"/>
      <c r="G530" s="18" t="s">
        <v>9</v>
      </c>
      <c r="H530" s="150" t="s">
        <v>139</v>
      </c>
      <c r="I530" s="151"/>
      <c r="J530" s="21" t="s">
        <v>12</v>
      </c>
      <c r="K530" s="22"/>
      <c r="L530" s="21" t="s">
        <v>13</v>
      </c>
      <c r="M530" s="22"/>
      <c r="N530" s="21" t="s">
        <v>14</v>
      </c>
      <c r="O530" s="22"/>
      <c r="P530" s="21" t="s">
        <v>15</v>
      </c>
      <c r="Q530" s="22"/>
      <c r="R530" s="23" t="s">
        <v>16</v>
      </c>
      <c r="S530" s="22"/>
      <c r="T530" s="23" t="s">
        <v>17</v>
      </c>
      <c r="U530" s="22"/>
      <c r="V530" s="23" t="s">
        <v>18</v>
      </c>
      <c r="W530" s="22"/>
      <c r="X530" s="23" t="s">
        <v>19</v>
      </c>
      <c r="Y530" s="22"/>
      <c r="Z530" s="24" t="s">
        <v>168</v>
      </c>
      <c r="AA530" s="118" t="s">
        <v>21</v>
      </c>
      <c r="AB530" s="119" t="s">
        <v>22</v>
      </c>
      <c r="AC530" s="7"/>
      <c r="AD530" s="22"/>
      <c r="AE530" s="120" t="s">
        <v>23</v>
      </c>
      <c r="AF530" s="22"/>
      <c r="AG530" s="1"/>
    </row>
    <row r="531" ht="21.0" customHeight="1">
      <c r="A531" s="1"/>
      <c r="B531" s="27">
        <f>iferror(B530-'현황'!$C$4+1,0)</f>
        <v>0</v>
      </c>
      <c r="C531" s="28"/>
      <c r="D531" s="29">
        <v>0.0</v>
      </c>
      <c r="E531" s="30">
        <v>0.0</v>
      </c>
      <c r="F531" s="31"/>
      <c r="G531" s="32">
        <v>0.0</v>
      </c>
      <c r="H531" s="33">
        <v>0.0</v>
      </c>
      <c r="I531" s="34"/>
      <c r="J531" s="35"/>
      <c r="K531" s="36"/>
      <c r="L531" s="35"/>
      <c r="M531" s="36"/>
      <c r="N531" s="35"/>
      <c r="O531" s="36"/>
      <c r="P531" s="35"/>
      <c r="Q531" s="36"/>
      <c r="R531" s="35"/>
      <c r="S531" s="36"/>
      <c r="T531" s="35"/>
      <c r="U531" s="36"/>
      <c r="V531" s="35"/>
      <c r="W531" s="36"/>
      <c r="X531" s="35"/>
      <c r="Y531" s="36"/>
      <c r="Z531" s="37"/>
      <c r="AA531" s="37"/>
      <c r="AB531" s="35"/>
      <c r="AC531" s="38"/>
      <c r="AD531" s="36"/>
      <c r="AE531" s="35"/>
      <c r="AF531" s="36"/>
      <c r="AG531" s="1"/>
    </row>
    <row r="532" ht="21.0" customHeight="1">
      <c r="A532" s="1"/>
      <c r="B532" s="39" t="s">
        <v>24</v>
      </c>
      <c r="C532" s="40"/>
      <c r="D532" s="41"/>
      <c r="E532" s="42" t="s">
        <v>25</v>
      </c>
      <c r="F532" s="40"/>
      <c r="G532" s="41"/>
      <c r="H532" s="43" t="s">
        <v>26</v>
      </c>
      <c r="J532" s="44" t="s">
        <v>27</v>
      </c>
      <c r="K532" s="45" t="s">
        <v>28</v>
      </c>
      <c r="L532" s="44" t="s">
        <v>27</v>
      </c>
      <c r="M532" s="45" t="s">
        <v>28</v>
      </c>
      <c r="N532" s="44" t="s">
        <v>27</v>
      </c>
      <c r="O532" s="45" t="s">
        <v>28</v>
      </c>
      <c r="P532" s="44" t="s">
        <v>27</v>
      </c>
      <c r="Q532" s="45" t="s">
        <v>28</v>
      </c>
      <c r="R532" s="44" t="s">
        <v>27</v>
      </c>
      <c r="S532" s="45" t="s">
        <v>28</v>
      </c>
      <c r="T532" s="44" t="s">
        <v>27</v>
      </c>
      <c r="U532" s="45" t="s">
        <v>28</v>
      </c>
      <c r="V532" s="44" t="s">
        <v>27</v>
      </c>
      <c r="W532" s="45" t="s">
        <v>28</v>
      </c>
      <c r="X532" s="44" t="s">
        <v>27</v>
      </c>
      <c r="Y532" s="45" t="s">
        <v>28</v>
      </c>
      <c r="Z532" s="46"/>
      <c r="AA532" s="46"/>
      <c r="AB532" s="121" t="s">
        <v>29</v>
      </c>
      <c r="AC532" s="122" t="s">
        <v>30</v>
      </c>
      <c r="AD532" s="123" t="s">
        <v>31</v>
      </c>
      <c r="AE532" s="121" t="s">
        <v>27</v>
      </c>
      <c r="AF532" s="123" t="s">
        <v>28</v>
      </c>
      <c r="AG532" s="1"/>
    </row>
    <row r="533" ht="21.0" customHeight="1">
      <c r="A533" s="1"/>
      <c r="B533" s="48" t="s">
        <v>32</v>
      </c>
      <c r="C533" s="49"/>
      <c r="D533" s="50"/>
      <c r="E533" s="51" t="s">
        <v>33</v>
      </c>
      <c r="F533" s="52" t="s">
        <v>34</v>
      </c>
      <c r="G533" s="53"/>
      <c r="H533" s="148"/>
      <c r="I533" s="55"/>
      <c r="J533" s="58"/>
      <c r="K533" s="59"/>
      <c r="L533" s="58"/>
      <c r="M533" s="59"/>
      <c r="N533" s="58"/>
      <c r="O533" s="59"/>
      <c r="P533" s="58"/>
      <c r="Q533" s="59"/>
      <c r="R533" s="58"/>
      <c r="S533" s="59"/>
      <c r="T533" s="58"/>
      <c r="U533" s="59"/>
      <c r="V533" s="58"/>
      <c r="W533" s="59"/>
      <c r="X533" s="58"/>
      <c r="Y533" s="59"/>
      <c r="Z533" s="60" t="b">
        <v>0</v>
      </c>
      <c r="AA533" s="125">
        <f t="shared" ref="AA533:AA541" si="211">(J533*K533+L533*M533+N533*O533+P533*Q533+R533*S533+T533*U533+V533*W533+X533*Y533)*if(Z533=true,0.453592,1)</f>
        <v>0</v>
      </c>
      <c r="AB533" s="126">
        <f t="shared" ref="AB533:AB541" si="212">SUM(AE533*AF533*0.025,AE533)</f>
        <v>0</v>
      </c>
      <c r="AC533" s="127">
        <f t="shared" ref="AC533:AC541" si="213">AB533*87%</f>
        <v>0</v>
      </c>
      <c r="AD533" s="128">
        <f t="shared" ref="AD533:AD541" si="214">AB533*67%</f>
        <v>0</v>
      </c>
      <c r="AE533" s="126">
        <f t="shared" ref="AE533:AE541" si="215">MAX(J533,L533,N533,P533,R533,T533,V533,X533)*if(Z533=true,0.453592,1)</f>
        <v>0</v>
      </c>
      <c r="AF533" s="128">
        <f t="shared" ref="AF533:AF541" si="216">MAX(IF(J533*if(Z533=true,0.453592,1)=$AE533,K533,0),IF(L533*if(Z533=true,0.453592,1)=$AE533,M533,0),IF(N533*if(Z533=true,0.453592,1)=$AE533,O533,0),IF(P533*if(Z533=true,0.453592,1)=$AE533,Q533,0),IF(R533*if(Z533=true,0.453592,1)=$AE533,S533,0),IF(T533*if(Z533=true,0.453592,1)=$AE533,U533,0),IF(V533*if(Z533=true,0.453592,1)=$AE533,W533,0),IF(X533*if(Z533=true,0.453592,1)=$AE533,Y533,0))</f>
        <v>0</v>
      </c>
      <c r="AG533" s="1"/>
    </row>
    <row r="534" ht="21.0" customHeight="1">
      <c r="A534" s="1"/>
      <c r="B534" s="48" t="s">
        <v>36</v>
      </c>
      <c r="C534" s="49"/>
      <c r="D534" s="65"/>
      <c r="E534" s="66"/>
      <c r="F534" s="52" t="s">
        <v>37</v>
      </c>
      <c r="G534" s="67"/>
      <c r="H534" s="129"/>
      <c r="I534" s="69"/>
      <c r="J534" s="72"/>
      <c r="K534" s="73"/>
      <c r="L534" s="72"/>
      <c r="M534" s="73"/>
      <c r="N534" s="72"/>
      <c r="O534" s="73"/>
      <c r="P534" s="72"/>
      <c r="Q534" s="73"/>
      <c r="R534" s="72"/>
      <c r="S534" s="73"/>
      <c r="T534" s="72"/>
      <c r="U534" s="73"/>
      <c r="V534" s="72"/>
      <c r="W534" s="73"/>
      <c r="X534" s="72"/>
      <c r="Y534" s="73"/>
      <c r="Z534" s="74" t="b">
        <v>0</v>
      </c>
      <c r="AA534" s="130">
        <f t="shared" si="211"/>
        <v>0</v>
      </c>
      <c r="AB534" s="131">
        <f t="shared" si="212"/>
        <v>0</v>
      </c>
      <c r="AC534" s="132">
        <f t="shared" si="213"/>
        <v>0</v>
      </c>
      <c r="AD534" s="133">
        <f t="shared" si="214"/>
        <v>0</v>
      </c>
      <c r="AE534" s="131">
        <f t="shared" si="215"/>
        <v>0</v>
      </c>
      <c r="AF534" s="133">
        <f t="shared" si="216"/>
        <v>0</v>
      </c>
      <c r="AG534" s="1"/>
    </row>
    <row r="535" ht="21.0" customHeight="1">
      <c r="A535" s="1"/>
      <c r="B535" s="48" t="s">
        <v>39</v>
      </c>
      <c r="C535" s="49"/>
      <c r="D535" s="65"/>
      <c r="E535" s="41"/>
      <c r="F535" s="52" t="s">
        <v>40</v>
      </c>
      <c r="G535" s="79"/>
      <c r="H535" s="80"/>
      <c r="I535" s="69"/>
      <c r="J535" s="72"/>
      <c r="K535" s="73"/>
      <c r="L535" s="72"/>
      <c r="M535" s="73"/>
      <c r="N535" s="72"/>
      <c r="O535" s="73"/>
      <c r="P535" s="72"/>
      <c r="Q535" s="73"/>
      <c r="R535" s="72"/>
      <c r="S535" s="73"/>
      <c r="T535" s="72"/>
      <c r="U535" s="73"/>
      <c r="V535" s="72"/>
      <c r="W535" s="73"/>
      <c r="X535" s="72"/>
      <c r="Y535" s="73"/>
      <c r="Z535" s="74" t="b">
        <v>0</v>
      </c>
      <c r="AA535" s="130">
        <f t="shared" si="211"/>
        <v>0</v>
      </c>
      <c r="AB535" s="131">
        <f t="shared" si="212"/>
        <v>0</v>
      </c>
      <c r="AC535" s="132">
        <f t="shared" si="213"/>
        <v>0</v>
      </c>
      <c r="AD535" s="133">
        <f t="shared" si="214"/>
        <v>0</v>
      </c>
      <c r="AE535" s="131">
        <f t="shared" si="215"/>
        <v>0</v>
      </c>
      <c r="AF535" s="133">
        <f t="shared" si="216"/>
        <v>0</v>
      </c>
      <c r="AG535" s="1"/>
    </row>
    <row r="536" ht="21.0" customHeight="1">
      <c r="A536" s="1"/>
      <c r="B536" s="48" t="s">
        <v>41</v>
      </c>
      <c r="C536" s="81"/>
      <c r="D536" s="82" t="b">
        <v>0</v>
      </c>
      <c r="E536" s="51" t="s">
        <v>42</v>
      </c>
      <c r="F536" s="52" t="s">
        <v>34</v>
      </c>
      <c r="G536" s="83"/>
      <c r="H536" s="84"/>
      <c r="I536" s="85"/>
      <c r="J536" s="72"/>
      <c r="K536" s="73"/>
      <c r="L536" s="72"/>
      <c r="M536" s="73"/>
      <c r="N536" s="72"/>
      <c r="O536" s="73"/>
      <c r="P536" s="72"/>
      <c r="Q536" s="73"/>
      <c r="R536" s="72"/>
      <c r="S536" s="73"/>
      <c r="T536" s="72"/>
      <c r="U536" s="73"/>
      <c r="V536" s="72"/>
      <c r="W536" s="73"/>
      <c r="X536" s="72"/>
      <c r="Y536" s="73"/>
      <c r="Z536" s="74" t="b">
        <v>0</v>
      </c>
      <c r="AA536" s="130">
        <f t="shared" si="211"/>
        <v>0</v>
      </c>
      <c r="AB536" s="131">
        <f t="shared" si="212"/>
        <v>0</v>
      </c>
      <c r="AC536" s="132">
        <f t="shared" si="213"/>
        <v>0</v>
      </c>
      <c r="AD536" s="133">
        <f t="shared" si="214"/>
        <v>0</v>
      </c>
      <c r="AE536" s="131">
        <f t="shared" si="215"/>
        <v>0</v>
      </c>
      <c r="AF536" s="133">
        <f t="shared" si="216"/>
        <v>0</v>
      </c>
      <c r="AG536" s="1"/>
    </row>
    <row r="537" ht="21.0" customHeight="1">
      <c r="A537" s="1"/>
      <c r="B537" s="48" t="s">
        <v>43</v>
      </c>
      <c r="C537" s="49"/>
      <c r="D537" s="86" t="b">
        <v>0</v>
      </c>
      <c r="E537" s="66"/>
      <c r="F537" s="52" t="s">
        <v>37</v>
      </c>
      <c r="G537" s="67"/>
      <c r="H537" s="80"/>
      <c r="I537" s="69"/>
      <c r="J537" s="72"/>
      <c r="K537" s="73"/>
      <c r="L537" s="72"/>
      <c r="M537" s="73"/>
      <c r="N537" s="72"/>
      <c r="O537" s="73"/>
      <c r="P537" s="72"/>
      <c r="Q537" s="73"/>
      <c r="R537" s="72"/>
      <c r="S537" s="73"/>
      <c r="T537" s="72"/>
      <c r="U537" s="73"/>
      <c r="V537" s="72"/>
      <c r="W537" s="73"/>
      <c r="X537" s="72"/>
      <c r="Y537" s="73"/>
      <c r="Z537" s="74" t="b">
        <v>0</v>
      </c>
      <c r="AA537" s="130">
        <f t="shared" si="211"/>
        <v>0</v>
      </c>
      <c r="AB537" s="131">
        <f t="shared" si="212"/>
        <v>0</v>
      </c>
      <c r="AC537" s="132">
        <f t="shared" si="213"/>
        <v>0</v>
      </c>
      <c r="AD537" s="133">
        <f t="shared" si="214"/>
        <v>0</v>
      </c>
      <c r="AE537" s="131">
        <f t="shared" si="215"/>
        <v>0</v>
      </c>
      <c r="AF537" s="133">
        <f t="shared" si="216"/>
        <v>0</v>
      </c>
      <c r="AG537" s="1"/>
    </row>
    <row r="538" ht="21.0" customHeight="1">
      <c r="A538" s="1"/>
      <c r="B538" s="87" t="str">
        <f t="array" ref="B538">"📌최근 인바디 결과 : "&amp;text(xlookup(B530,'현황'!O:O,'현황'!O:O,,-1,-1),"m/d(ddd)")</f>
        <v>#REF!</v>
      </c>
      <c r="C538" s="88"/>
      <c r="D538" s="49"/>
      <c r="E538" s="41"/>
      <c r="F538" s="52" t="s">
        <v>40</v>
      </c>
      <c r="G538" s="79"/>
      <c r="H538" s="80"/>
      <c r="I538" s="69"/>
      <c r="J538" s="72"/>
      <c r="K538" s="73"/>
      <c r="L538" s="72"/>
      <c r="M538" s="73"/>
      <c r="N538" s="72"/>
      <c r="O538" s="73"/>
      <c r="P538" s="72"/>
      <c r="Q538" s="73"/>
      <c r="R538" s="72"/>
      <c r="S538" s="73"/>
      <c r="T538" s="72"/>
      <c r="U538" s="73"/>
      <c r="V538" s="72"/>
      <c r="W538" s="73"/>
      <c r="X538" s="72"/>
      <c r="Y538" s="73"/>
      <c r="Z538" s="74" t="b">
        <v>0</v>
      </c>
      <c r="AA538" s="130">
        <f t="shared" si="211"/>
        <v>0</v>
      </c>
      <c r="AB538" s="131">
        <f t="shared" si="212"/>
        <v>0</v>
      </c>
      <c r="AC538" s="132">
        <f t="shared" si="213"/>
        <v>0</v>
      </c>
      <c r="AD538" s="133">
        <f t="shared" si="214"/>
        <v>0</v>
      </c>
      <c r="AE538" s="131">
        <f t="shared" si="215"/>
        <v>0</v>
      </c>
      <c r="AF538" s="133">
        <f t="shared" si="216"/>
        <v>0</v>
      </c>
      <c r="AG538" s="1"/>
    </row>
    <row r="539" ht="21.0" customHeight="1">
      <c r="A539" s="1"/>
      <c r="B539" s="89" t="s">
        <v>44</v>
      </c>
      <c r="C539" s="49"/>
      <c r="D539" s="90">
        <f t="array" ref="D539">iferror(vlookup(xlookup(B530,'현황'!O:O,'현황'!O:O,,-1,-1),'현황'!O:S,2,false),0)</f>
        <v>0</v>
      </c>
      <c r="E539" s="51" t="s">
        <v>45</v>
      </c>
      <c r="F539" s="52" t="s">
        <v>34</v>
      </c>
      <c r="G539" s="83"/>
      <c r="H539" s="84"/>
      <c r="I539" s="85"/>
      <c r="J539" s="72"/>
      <c r="K539" s="73"/>
      <c r="L539" s="72"/>
      <c r="M539" s="73"/>
      <c r="N539" s="72"/>
      <c r="O539" s="73"/>
      <c r="P539" s="72"/>
      <c r="Q539" s="73"/>
      <c r="R539" s="72"/>
      <c r="S539" s="73"/>
      <c r="T539" s="72"/>
      <c r="U539" s="73"/>
      <c r="V539" s="72"/>
      <c r="W539" s="73"/>
      <c r="X539" s="72"/>
      <c r="Y539" s="73"/>
      <c r="Z539" s="74" t="b">
        <v>0</v>
      </c>
      <c r="AA539" s="130">
        <f t="shared" si="211"/>
        <v>0</v>
      </c>
      <c r="AB539" s="131">
        <f t="shared" si="212"/>
        <v>0</v>
      </c>
      <c r="AC539" s="132">
        <f t="shared" si="213"/>
        <v>0</v>
      </c>
      <c r="AD539" s="133">
        <f t="shared" si="214"/>
        <v>0</v>
      </c>
      <c r="AE539" s="131">
        <f t="shared" si="215"/>
        <v>0</v>
      </c>
      <c r="AF539" s="133">
        <f t="shared" si="216"/>
        <v>0</v>
      </c>
      <c r="AG539" s="1"/>
    </row>
    <row r="540" ht="21.0" customHeight="1">
      <c r="A540" s="1"/>
      <c r="B540" s="48" t="s">
        <v>46</v>
      </c>
      <c r="C540" s="49"/>
      <c r="D540" s="91">
        <f t="array" ref="D540">iferror(vlookup(xlookup(B530,'현황'!O:O,'현황'!O:O,,-1,-1),'현황'!O:S,3,false),0)</f>
        <v>0</v>
      </c>
      <c r="E540" s="66"/>
      <c r="F540" s="52" t="s">
        <v>37</v>
      </c>
      <c r="G540" s="67"/>
      <c r="H540" s="80"/>
      <c r="I540" s="69"/>
      <c r="J540" s="72"/>
      <c r="K540" s="73"/>
      <c r="L540" s="72"/>
      <c r="M540" s="73"/>
      <c r="N540" s="72"/>
      <c r="O540" s="73"/>
      <c r="P540" s="72"/>
      <c r="Q540" s="73"/>
      <c r="R540" s="72"/>
      <c r="S540" s="73"/>
      <c r="T540" s="72"/>
      <c r="U540" s="73"/>
      <c r="V540" s="72"/>
      <c r="W540" s="73"/>
      <c r="X540" s="72"/>
      <c r="Y540" s="73"/>
      <c r="Z540" s="74" t="b">
        <v>0</v>
      </c>
      <c r="AA540" s="130">
        <f t="shared" si="211"/>
        <v>0</v>
      </c>
      <c r="AB540" s="131">
        <f t="shared" si="212"/>
        <v>0</v>
      </c>
      <c r="AC540" s="132">
        <f t="shared" si="213"/>
        <v>0</v>
      </c>
      <c r="AD540" s="133">
        <f t="shared" si="214"/>
        <v>0</v>
      </c>
      <c r="AE540" s="131">
        <f t="shared" si="215"/>
        <v>0</v>
      </c>
      <c r="AF540" s="133">
        <f t="shared" si="216"/>
        <v>0</v>
      </c>
      <c r="AG540" s="1"/>
    </row>
    <row r="541" ht="21.0" customHeight="1">
      <c r="A541" s="1"/>
      <c r="B541" s="48" t="s">
        <v>47</v>
      </c>
      <c r="C541" s="49"/>
      <c r="D541" s="91">
        <f t="array" ref="D541">iferror(vlookup(xlookup(B530,'현황'!O:O,'현황'!O:O,,-1,-1),'현황'!O:S,4,false),0)</f>
        <v>0</v>
      </c>
      <c r="E541" s="41"/>
      <c r="F541" s="92" t="s">
        <v>40</v>
      </c>
      <c r="G541" s="79"/>
      <c r="H541" s="93"/>
      <c r="I541" s="94"/>
      <c r="J541" s="95"/>
      <c r="K541" s="96"/>
      <c r="L541" s="95"/>
      <c r="M541" s="96"/>
      <c r="N541" s="95"/>
      <c r="O541" s="96"/>
      <c r="P541" s="95"/>
      <c r="Q541" s="96"/>
      <c r="R541" s="95"/>
      <c r="S541" s="96"/>
      <c r="T541" s="95"/>
      <c r="U541" s="96"/>
      <c r="V541" s="95"/>
      <c r="W541" s="96"/>
      <c r="X541" s="95"/>
      <c r="Y541" s="96"/>
      <c r="Z541" s="97" t="b">
        <v>0</v>
      </c>
      <c r="AA541" s="135">
        <f t="shared" si="211"/>
        <v>0</v>
      </c>
      <c r="AB541" s="136">
        <f t="shared" si="212"/>
        <v>0</v>
      </c>
      <c r="AC541" s="137">
        <f t="shared" si="213"/>
        <v>0</v>
      </c>
      <c r="AD541" s="138">
        <f t="shared" si="214"/>
        <v>0</v>
      </c>
      <c r="AE541" s="136">
        <f t="shared" si="215"/>
        <v>0</v>
      </c>
      <c r="AF541" s="138">
        <f t="shared" si="216"/>
        <v>0</v>
      </c>
      <c r="AG541" s="1"/>
    </row>
    <row r="542" ht="21.0" customHeight="1">
      <c r="A542" s="1"/>
      <c r="B542" s="102" t="s">
        <v>48</v>
      </c>
      <c r="C542" s="103"/>
      <c r="D542" s="104">
        <f>iferror(D541/D539,0)</f>
        <v>0</v>
      </c>
      <c r="E542" s="102" t="s">
        <v>49</v>
      </c>
      <c r="F542" s="103"/>
      <c r="G542" s="105"/>
      <c r="H542" s="143" t="s">
        <v>50</v>
      </c>
      <c r="I542" s="144"/>
      <c r="J542" s="11"/>
      <c r="K542" s="11"/>
      <c r="L542" s="11"/>
      <c r="M542" s="11"/>
      <c r="N542" s="11"/>
      <c r="O542" s="11"/>
      <c r="P542" s="145" t="s">
        <v>51</v>
      </c>
      <c r="Q542" s="12"/>
      <c r="R542" s="146"/>
      <c r="S542" s="11"/>
      <c r="T542" s="11"/>
      <c r="U542" s="11"/>
      <c r="V542" s="11"/>
      <c r="W542" s="11"/>
      <c r="X542" s="11"/>
      <c r="Y542" s="11"/>
      <c r="Z542" s="12"/>
      <c r="AA542" s="139">
        <f>SUM(AA533:AA541)</f>
        <v>0</v>
      </c>
      <c r="AB542" s="140" t="s">
        <v>169</v>
      </c>
      <c r="AG542" s="1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1"/>
      <c r="AA543" s="1"/>
      <c r="AB543" s="1"/>
      <c r="AC543" s="3"/>
      <c r="AD543" s="1"/>
      <c r="AE543" s="1"/>
      <c r="AF543" s="1"/>
      <c r="AG543" s="1"/>
    </row>
    <row r="544" ht="21.0" customHeight="1">
      <c r="A544" s="1"/>
      <c r="B544" s="4" t="s">
        <v>1</v>
      </c>
      <c r="C544" s="5"/>
      <c r="D544" s="6" t="s">
        <v>2</v>
      </c>
      <c r="E544" s="7"/>
      <c r="F544" s="7"/>
      <c r="G544" s="5"/>
      <c r="H544" s="8" t="s">
        <v>3</v>
      </c>
      <c r="I544" s="8" t="s">
        <v>4</v>
      </c>
      <c r="J544" s="9" t="s">
        <v>5</v>
      </c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5"/>
      <c r="AA544" s="117" t="s">
        <v>6</v>
      </c>
      <c r="AB544" s="11"/>
      <c r="AC544" s="11"/>
      <c r="AD544" s="11"/>
      <c r="AE544" s="11"/>
      <c r="AF544" s="12"/>
      <c r="AG544" s="1"/>
    </row>
    <row r="545" ht="21.0" customHeight="1">
      <c r="A545" s="1"/>
      <c r="B545" s="149" t="s">
        <v>138</v>
      </c>
      <c r="C545" s="14" t="str">
        <f>if(B545="0/0","",choose(weekday(B545),"(일)","(월)","(화)","(수)","(목)","(금)","(토)"))</f>
        <v/>
      </c>
      <c r="D545" s="15" t="s">
        <v>7</v>
      </c>
      <c r="E545" s="16" t="s">
        <v>8</v>
      </c>
      <c r="F545" s="17"/>
      <c r="G545" s="18" t="s">
        <v>9</v>
      </c>
      <c r="H545" s="150" t="s">
        <v>139</v>
      </c>
      <c r="I545" s="151"/>
      <c r="J545" s="21" t="s">
        <v>12</v>
      </c>
      <c r="K545" s="22"/>
      <c r="L545" s="21" t="s">
        <v>13</v>
      </c>
      <c r="M545" s="22"/>
      <c r="N545" s="21" t="s">
        <v>14</v>
      </c>
      <c r="O545" s="22"/>
      <c r="P545" s="21" t="s">
        <v>15</v>
      </c>
      <c r="Q545" s="22"/>
      <c r="R545" s="23" t="s">
        <v>16</v>
      </c>
      <c r="S545" s="22"/>
      <c r="T545" s="23" t="s">
        <v>17</v>
      </c>
      <c r="U545" s="22"/>
      <c r="V545" s="23" t="s">
        <v>18</v>
      </c>
      <c r="W545" s="22"/>
      <c r="X545" s="23" t="s">
        <v>19</v>
      </c>
      <c r="Y545" s="22"/>
      <c r="Z545" s="24" t="s">
        <v>170</v>
      </c>
      <c r="AA545" s="118" t="s">
        <v>21</v>
      </c>
      <c r="AB545" s="119" t="s">
        <v>22</v>
      </c>
      <c r="AC545" s="7"/>
      <c r="AD545" s="22"/>
      <c r="AE545" s="120" t="s">
        <v>23</v>
      </c>
      <c r="AF545" s="22"/>
      <c r="AG545" s="1"/>
    </row>
    <row r="546" ht="21.0" customHeight="1">
      <c r="A546" s="1"/>
      <c r="B546" s="27">
        <f>iferror(B545-'현황'!$C$4+1,0)</f>
        <v>0</v>
      </c>
      <c r="C546" s="28"/>
      <c r="D546" s="29">
        <v>0.0</v>
      </c>
      <c r="E546" s="30">
        <v>0.0</v>
      </c>
      <c r="F546" s="31"/>
      <c r="G546" s="32">
        <v>0.0</v>
      </c>
      <c r="H546" s="33">
        <v>0.0</v>
      </c>
      <c r="I546" s="34"/>
      <c r="J546" s="35"/>
      <c r="K546" s="36"/>
      <c r="L546" s="35"/>
      <c r="M546" s="36"/>
      <c r="N546" s="35"/>
      <c r="O546" s="36"/>
      <c r="P546" s="35"/>
      <c r="Q546" s="36"/>
      <c r="R546" s="35"/>
      <c r="S546" s="36"/>
      <c r="T546" s="35"/>
      <c r="U546" s="36"/>
      <c r="V546" s="35"/>
      <c r="W546" s="36"/>
      <c r="X546" s="35"/>
      <c r="Y546" s="36"/>
      <c r="Z546" s="37"/>
      <c r="AA546" s="37"/>
      <c r="AB546" s="35"/>
      <c r="AC546" s="38"/>
      <c r="AD546" s="36"/>
      <c r="AE546" s="35"/>
      <c r="AF546" s="36"/>
      <c r="AG546" s="1"/>
    </row>
    <row r="547" ht="21.0" customHeight="1">
      <c r="A547" s="1"/>
      <c r="B547" s="39" t="s">
        <v>24</v>
      </c>
      <c r="C547" s="40"/>
      <c r="D547" s="41"/>
      <c r="E547" s="42" t="s">
        <v>25</v>
      </c>
      <c r="F547" s="40"/>
      <c r="G547" s="41"/>
      <c r="H547" s="43" t="s">
        <v>26</v>
      </c>
      <c r="J547" s="44" t="s">
        <v>27</v>
      </c>
      <c r="K547" s="45" t="s">
        <v>28</v>
      </c>
      <c r="L547" s="44" t="s">
        <v>27</v>
      </c>
      <c r="M547" s="45" t="s">
        <v>28</v>
      </c>
      <c r="N547" s="44" t="s">
        <v>27</v>
      </c>
      <c r="O547" s="45" t="s">
        <v>28</v>
      </c>
      <c r="P547" s="44" t="s">
        <v>27</v>
      </c>
      <c r="Q547" s="45" t="s">
        <v>28</v>
      </c>
      <c r="R547" s="44" t="s">
        <v>27</v>
      </c>
      <c r="S547" s="45" t="s">
        <v>28</v>
      </c>
      <c r="T547" s="44" t="s">
        <v>27</v>
      </c>
      <c r="U547" s="45" t="s">
        <v>28</v>
      </c>
      <c r="V547" s="44" t="s">
        <v>27</v>
      </c>
      <c r="W547" s="45" t="s">
        <v>28</v>
      </c>
      <c r="X547" s="44" t="s">
        <v>27</v>
      </c>
      <c r="Y547" s="45" t="s">
        <v>28</v>
      </c>
      <c r="Z547" s="46"/>
      <c r="AA547" s="46"/>
      <c r="AB547" s="121" t="s">
        <v>29</v>
      </c>
      <c r="AC547" s="122" t="s">
        <v>30</v>
      </c>
      <c r="AD547" s="123" t="s">
        <v>31</v>
      </c>
      <c r="AE547" s="121" t="s">
        <v>27</v>
      </c>
      <c r="AF547" s="123" t="s">
        <v>28</v>
      </c>
      <c r="AG547" s="1"/>
    </row>
    <row r="548" ht="21.0" customHeight="1">
      <c r="A548" s="1"/>
      <c r="B548" s="48" t="s">
        <v>32</v>
      </c>
      <c r="C548" s="49"/>
      <c r="D548" s="50"/>
      <c r="E548" s="51" t="s">
        <v>33</v>
      </c>
      <c r="F548" s="52" t="s">
        <v>34</v>
      </c>
      <c r="G548" s="53"/>
      <c r="H548" s="148"/>
      <c r="I548" s="55"/>
      <c r="J548" s="58"/>
      <c r="K548" s="59"/>
      <c r="L548" s="58"/>
      <c r="M548" s="59"/>
      <c r="N548" s="58"/>
      <c r="O548" s="59"/>
      <c r="P548" s="58"/>
      <c r="Q548" s="59"/>
      <c r="R548" s="58"/>
      <c r="S548" s="59"/>
      <c r="T548" s="58"/>
      <c r="U548" s="59"/>
      <c r="V548" s="58"/>
      <c r="W548" s="59"/>
      <c r="X548" s="58"/>
      <c r="Y548" s="59"/>
      <c r="Z548" s="60" t="b">
        <v>0</v>
      </c>
      <c r="AA548" s="125">
        <f t="shared" ref="AA548:AA556" si="217">(J548*K548+L548*M548+N548*O548+P548*Q548+R548*S548+T548*U548+V548*W548+X548*Y548)*if(Z548=true,0.453592,1)</f>
        <v>0</v>
      </c>
      <c r="AB548" s="126">
        <f t="shared" ref="AB548:AB556" si="218">SUM(AE548*AF548*0.025,AE548)</f>
        <v>0</v>
      </c>
      <c r="AC548" s="127">
        <f t="shared" ref="AC548:AC556" si="219">AB548*87%</f>
        <v>0</v>
      </c>
      <c r="AD548" s="128">
        <f t="shared" ref="AD548:AD556" si="220">AB548*67%</f>
        <v>0</v>
      </c>
      <c r="AE548" s="126">
        <f t="shared" ref="AE548:AE556" si="221">MAX(J548,L548,N548,P548,R548,T548,V548,X548)*if(Z548=true,0.453592,1)</f>
        <v>0</v>
      </c>
      <c r="AF548" s="128">
        <f t="shared" ref="AF548:AF556" si="222">MAX(IF(J548*if(Z548=true,0.453592,1)=$AE548,K548,0),IF(L548*if(Z548=true,0.453592,1)=$AE548,M548,0),IF(N548*if(Z548=true,0.453592,1)=$AE548,O548,0),IF(P548*if(Z548=true,0.453592,1)=$AE548,Q548,0),IF(R548*if(Z548=true,0.453592,1)=$AE548,S548,0),IF(T548*if(Z548=true,0.453592,1)=$AE548,U548,0),IF(V548*if(Z548=true,0.453592,1)=$AE548,W548,0),IF(X548*if(Z548=true,0.453592,1)=$AE548,Y548,0))</f>
        <v>0</v>
      </c>
      <c r="AG548" s="1"/>
    </row>
    <row r="549" ht="21.0" customHeight="1">
      <c r="A549" s="1"/>
      <c r="B549" s="48" t="s">
        <v>36</v>
      </c>
      <c r="C549" s="49"/>
      <c r="D549" s="65"/>
      <c r="E549" s="66"/>
      <c r="F549" s="52" t="s">
        <v>37</v>
      </c>
      <c r="G549" s="67"/>
      <c r="H549" s="129"/>
      <c r="I549" s="69"/>
      <c r="J549" s="72"/>
      <c r="K549" s="73"/>
      <c r="L549" s="72"/>
      <c r="M549" s="73"/>
      <c r="N549" s="72"/>
      <c r="O549" s="73"/>
      <c r="P549" s="72"/>
      <c r="Q549" s="73"/>
      <c r="R549" s="72"/>
      <c r="S549" s="73"/>
      <c r="T549" s="72"/>
      <c r="U549" s="73"/>
      <c r="V549" s="72"/>
      <c r="W549" s="73"/>
      <c r="X549" s="72"/>
      <c r="Y549" s="73"/>
      <c r="Z549" s="74" t="b">
        <v>0</v>
      </c>
      <c r="AA549" s="130">
        <f t="shared" si="217"/>
        <v>0</v>
      </c>
      <c r="AB549" s="131">
        <f t="shared" si="218"/>
        <v>0</v>
      </c>
      <c r="AC549" s="132">
        <f t="shared" si="219"/>
        <v>0</v>
      </c>
      <c r="AD549" s="133">
        <f t="shared" si="220"/>
        <v>0</v>
      </c>
      <c r="AE549" s="131">
        <f t="shared" si="221"/>
        <v>0</v>
      </c>
      <c r="AF549" s="133">
        <f t="shared" si="222"/>
        <v>0</v>
      </c>
      <c r="AG549" s="1"/>
    </row>
    <row r="550" ht="21.0" customHeight="1">
      <c r="A550" s="1"/>
      <c r="B550" s="48" t="s">
        <v>39</v>
      </c>
      <c r="C550" s="49"/>
      <c r="D550" s="65"/>
      <c r="E550" s="41"/>
      <c r="F550" s="52" t="s">
        <v>40</v>
      </c>
      <c r="G550" s="79"/>
      <c r="H550" s="80"/>
      <c r="I550" s="69"/>
      <c r="J550" s="72"/>
      <c r="K550" s="73"/>
      <c r="L550" s="72"/>
      <c r="M550" s="73"/>
      <c r="N550" s="72"/>
      <c r="O550" s="73"/>
      <c r="P550" s="72"/>
      <c r="Q550" s="73"/>
      <c r="R550" s="72"/>
      <c r="S550" s="73"/>
      <c r="T550" s="72"/>
      <c r="U550" s="73"/>
      <c r="V550" s="72"/>
      <c r="W550" s="73"/>
      <c r="X550" s="72"/>
      <c r="Y550" s="73"/>
      <c r="Z550" s="74" t="b">
        <v>0</v>
      </c>
      <c r="AA550" s="130">
        <f t="shared" si="217"/>
        <v>0</v>
      </c>
      <c r="AB550" s="131">
        <f t="shared" si="218"/>
        <v>0</v>
      </c>
      <c r="AC550" s="132">
        <f t="shared" si="219"/>
        <v>0</v>
      </c>
      <c r="AD550" s="133">
        <f t="shared" si="220"/>
        <v>0</v>
      </c>
      <c r="AE550" s="131">
        <f t="shared" si="221"/>
        <v>0</v>
      </c>
      <c r="AF550" s="133">
        <f t="shared" si="222"/>
        <v>0</v>
      </c>
      <c r="AG550" s="1"/>
    </row>
    <row r="551" ht="21.0" customHeight="1">
      <c r="A551" s="1"/>
      <c r="B551" s="48" t="s">
        <v>41</v>
      </c>
      <c r="C551" s="81"/>
      <c r="D551" s="82" t="b">
        <v>0</v>
      </c>
      <c r="E551" s="51" t="s">
        <v>42</v>
      </c>
      <c r="F551" s="52" t="s">
        <v>34</v>
      </c>
      <c r="G551" s="83"/>
      <c r="H551" s="84"/>
      <c r="I551" s="85"/>
      <c r="J551" s="72"/>
      <c r="K551" s="73"/>
      <c r="L551" s="72"/>
      <c r="M551" s="73"/>
      <c r="N551" s="72"/>
      <c r="O551" s="73"/>
      <c r="P551" s="72"/>
      <c r="Q551" s="73"/>
      <c r="R551" s="72"/>
      <c r="S551" s="73"/>
      <c r="T551" s="72"/>
      <c r="U551" s="73"/>
      <c r="V551" s="72"/>
      <c r="W551" s="73"/>
      <c r="X551" s="72"/>
      <c r="Y551" s="73"/>
      <c r="Z551" s="74" t="b">
        <v>0</v>
      </c>
      <c r="AA551" s="130">
        <f t="shared" si="217"/>
        <v>0</v>
      </c>
      <c r="AB551" s="131">
        <f t="shared" si="218"/>
        <v>0</v>
      </c>
      <c r="AC551" s="132">
        <f t="shared" si="219"/>
        <v>0</v>
      </c>
      <c r="AD551" s="133">
        <f t="shared" si="220"/>
        <v>0</v>
      </c>
      <c r="AE551" s="131">
        <f t="shared" si="221"/>
        <v>0</v>
      </c>
      <c r="AF551" s="133">
        <f t="shared" si="222"/>
        <v>0</v>
      </c>
      <c r="AG551" s="1"/>
    </row>
    <row r="552" ht="21.0" customHeight="1">
      <c r="A552" s="1"/>
      <c r="B552" s="48" t="s">
        <v>43</v>
      </c>
      <c r="C552" s="49"/>
      <c r="D552" s="86" t="b">
        <v>0</v>
      </c>
      <c r="E552" s="66"/>
      <c r="F552" s="52" t="s">
        <v>37</v>
      </c>
      <c r="G552" s="67"/>
      <c r="H552" s="80"/>
      <c r="I552" s="69"/>
      <c r="J552" s="72"/>
      <c r="K552" s="73"/>
      <c r="L552" s="72"/>
      <c r="M552" s="73"/>
      <c r="N552" s="72"/>
      <c r="O552" s="73"/>
      <c r="P552" s="72"/>
      <c r="Q552" s="73"/>
      <c r="R552" s="72"/>
      <c r="S552" s="73"/>
      <c r="T552" s="72"/>
      <c r="U552" s="73"/>
      <c r="V552" s="72"/>
      <c r="W552" s="73"/>
      <c r="X552" s="72"/>
      <c r="Y552" s="73"/>
      <c r="Z552" s="74" t="b">
        <v>0</v>
      </c>
      <c r="AA552" s="130">
        <f t="shared" si="217"/>
        <v>0</v>
      </c>
      <c r="AB552" s="131">
        <f t="shared" si="218"/>
        <v>0</v>
      </c>
      <c r="AC552" s="132">
        <f t="shared" si="219"/>
        <v>0</v>
      </c>
      <c r="AD552" s="133">
        <f t="shared" si="220"/>
        <v>0</v>
      </c>
      <c r="AE552" s="131">
        <f t="shared" si="221"/>
        <v>0</v>
      </c>
      <c r="AF552" s="133">
        <f t="shared" si="222"/>
        <v>0</v>
      </c>
      <c r="AG552" s="1"/>
    </row>
    <row r="553" ht="21.0" customHeight="1">
      <c r="A553" s="1"/>
      <c r="B553" s="87" t="str">
        <f t="array" ref="B553">"📌최근 인바디 결과 : "&amp;text(xlookup(B545,'현황'!O:O,'현황'!O:O,,-1,-1),"m/d(ddd)")</f>
        <v>#REF!</v>
      </c>
      <c r="C553" s="88"/>
      <c r="D553" s="49"/>
      <c r="E553" s="41"/>
      <c r="F553" s="52" t="s">
        <v>40</v>
      </c>
      <c r="G553" s="79"/>
      <c r="H553" s="80"/>
      <c r="I553" s="69"/>
      <c r="J553" s="72"/>
      <c r="K553" s="73"/>
      <c r="L553" s="72"/>
      <c r="M553" s="73"/>
      <c r="N553" s="72"/>
      <c r="O553" s="73"/>
      <c r="P553" s="72"/>
      <c r="Q553" s="73"/>
      <c r="R553" s="72"/>
      <c r="S553" s="73"/>
      <c r="T553" s="72"/>
      <c r="U553" s="73"/>
      <c r="V553" s="72"/>
      <c r="W553" s="73"/>
      <c r="X553" s="72"/>
      <c r="Y553" s="73"/>
      <c r="Z553" s="74" t="b">
        <v>0</v>
      </c>
      <c r="AA553" s="130">
        <f t="shared" si="217"/>
        <v>0</v>
      </c>
      <c r="AB553" s="131">
        <f t="shared" si="218"/>
        <v>0</v>
      </c>
      <c r="AC553" s="132">
        <f t="shared" si="219"/>
        <v>0</v>
      </c>
      <c r="AD553" s="133">
        <f t="shared" si="220"/>
        <v>0</v>
      </c>
      <c r="AE553" s="131">
        <f t="shared" si="221"/>
        <v>0</v>
      </c>
      <c r="AF553" s="133">
        <f t="shared" si="222"/>
        <v>0</v>
      </c>
      <c r="AG553" s="1"/>
    </row>
    <row r="554" ht="21.0" customHeight="1">
      <c r="A554" s="1"/>
      <c r="B554" s="89" t="s">
        <v>44</v>
      </c>
      <c r="C554" s="49"/>
      <c r="D554" s="90">
        <f t="array" ref="D554">iferror(vlookup(xlookup(B545,'현황'!O:O,'현황'!O:O,,-1,-1),'현황'!O:S,2,false),0)</f>
        <v>0</v>
      </c>
      <c r="E554" s="51" t="s">
        <v>45</v>
      </c>
      <c r="F554" s="52" t="s">
        <v>34</v>
      </c>
      <c r="G554" s="83"/>
      <c r="H554" s="84"/>
      <c r="I554" s="85"/>
      <c r="J554" s="72"/>
      <c r="K554" s="73"/>
      <c r="L554" s="72"/>
      <c r="M554" s="73"/>
      <c r="N554" s="72"/>
      <c r="O554" s="73"/>
      <c r="P554" s="72"/>
      <c r="Q554" s="73"/>
      <c r="R554" s="72"/>
      <c r="S554" s="73"/>
      <c r="T554" s="72"/>
      <c r="U554" s="73"/>
      <c r="V554" s="72"/>
      <c r="W554" s="73"/>
      <c r="X554" s="72"/>
      <c r="Y554" s="73"/>
      <c r="Z554" s="74" t="b">
        <v>0</v>
      </c>
      <c r="AA554" s="130">
        <f t="shared" si="217"/>
        <v>0</v>
      </c>
      <c r="AB554" s="131">
        <f t="shared" si="218"/>
        <v>0</v>
      </c>
      <c r="AC554" s="132">
        <f t="shared" si="219"/>
        <v>0</v>
      </c>
      <c r="AD554" s="133">
        <f t="shared" si="220"/>
        <v>0</v>
      </c>
      <c r="AE554" s="131">
        <f t="shared" si="221"/>
        <v>0</v>
      </c>
      <c r="AF554" s="133">
        <f t="shared" si="222"/>
        <v>0</v>
      </c>
      <c r="AG554" s="1"/>
    </row>
    <row r="555" ht="21.0" customHeight="1">
      <c r="A555" s="1"/>
      <c r="B555" s="48" t="s">
        <v>46</v>
      </c>
      <c r="C555" s="49"/>
      <c r="D555" s="91">
        <f t="array" ref="D555">iferror(vlookup(xlookup(B545,'현황'!O:O,'현황'!O:O,,-1,-1),'현황'!O:S,3,false),0)</f>
        <v>0</v>
      </c>
      <c r="E555" s="66"/>
      <c r="F555" s="52" t="s">
        <v>37</v>
      </c>
      <c r="G555" s="67"/>
      <c r="H555" s="80"/>
      <c r="I555" s="69"/>
      <c r="J555" s="72"/>
      <c r="K555" s="73"/>
      <c r="L555" s="72"/>
      <c r="M555" s="73"/>
      <c r="N555" s="72"/>
      <c r="O555" s="73"/>
      <c r="P555" s="72"/>
      <c r="Q555" s="73"/>
      <c r="R555" s="72"/>
      <c r="S555" s="73"/>
      <c r="T555" s="72"/>
      <c r="U555" s="73"/>
      <c r="V555" s="72"/>
      <c r="W555" s="73"/>
      <c r="X555" s="72"/>
      <c r="Y555" s="73"/>
      <c r="Z555" s="74" t="b">
        <v>0</v>
      </c>
      <c r="AA555" s="130">
        <f t="shared" si="217"/>
        <v>0</v>
      </c>
      <c r="AB555" s="131">
        <f t="shared" si="218"/>
        <v>0</v>
      </c>
      <c r="AC555" s="132">
        <f t="shared" si="219"/>
        <v>0</v>
      </c>
      <c r="AD555" s="133">
        <f t="shared" si="220"/>
        <v>0</v>
      </c>
      <c r="AE555" s="131">
        <f t="shared" si="221"/>
        <v>0</v>
      </c>
      <c r="AF555" s="133">
        <f t="shared" si="222"/>
        <v>0</v>
      </c>
      <c r="AG555" s="1"/>
    </row>
    <row r="556" ht="21.0" customHeight="1">
      <c r="A556" s="1"/>
      <c r="B556" s="48" t="s">
        <v>47</v>
      </c>
      <c r="C556" s="49"/>
      <c r="D556" s="91">
        <f t="array" ref="D556">iferror(vlookup(xlookup(B545,'현황'!O:O,'현황'!O:O,,-1,-1),'현황'!O:S,4,false),0)</f>
        <v>0</v>
      </c>
      <c r="E556" s="41"/>
      <c r="F556" s="92" t="s">
        <v>40</v>
      </c>
      <c r="G556" s="79"/>
      <c r="H556" s="93"/>
      <c r="I556" s="94"/>
      <c r="J556" s="95"/>
      <c r="K556" s="96"/>
      <c r="L556" s="95"/>
      <c r="M556" s="96"/>
      <c r="N556" s="95"/>
      <c r="O556" s="96"/>
      <c r="P556" s="95"/>
      <c r="Q556" s="96"/>
      <c r="R556" s="95"/>
      <c r="S556" s="96"/>
      <c r="T556" s="95"/>
      <c r="U556" s="96"/>
      <c r="V556" s="95"/>
      <c r="W556" s="96"/>
      <c r="X556" s="95"/>
      <c r="Y556" s="96"/>
      <c r="Z556" s="97" t="b">
        <v>0</v>
      </c>
      <c r="AA556" s="135">
        <f t="shared" si="217"/>
        <v>0</v>
      </c>
      <c r="AB556" s="136">
        <f t="shared" si="218"/>
        <v>0</v>
      </c>
      <c r="AC556" s="137">
        <f t="shared" si="219"/>
        <v>0</v>
      </c>
      <c r="AD556" s="138">
        <f t="shared" si="220"/>
        <v>0</v>
      </c>
      <c r="AE556" s="136">
        <f t="shared" si="221"/>
        <v>0</v>
      </c>
      <c r="AF556" s="138">
        <f t="shared" si="222"/>
        <v>0</v>
      </c>
      <c r="AG556" s="1"/>
    </row>
    <row r="557" ht="21.0" customHeight="1">
      <c r="A557" s="1"/>
      <c r="B557" s="102" t="s">
        <v>48</v>
      </c>
      <c r="C557" s="103"/>
      <c r="D557" s="104">
        <f>iferror(D556/D554,0)</f>
        <v>0</v>
      </c>
      <c r="E557" s="102" t="s">
        <v>49</v>
      </c>
      <c r="F557" s="103"/>
      <c r="G557" s="105"/>
      <c r="H557" s="106" t="s">
        <v>50</v>
      </c>
      <c r="I557" s="107"/>
      <c r="J557" s="11"/>
      <c r="K557" s="11"/>
      <c r="L557" s="11"/>
      <c r="M557" s="11"/>
      <c r="N557" s="11"/>
      <c r="O557" s="11"/>
      <c r="P557" s="108" t="s">
        <v>51</v>
      </c>
      <c r="Q557" s="12"/>
      <c r="R557" s="109"/>
      <c r="S557" s="11"/>
      <c r="T557" s="11"/>
      <c r="U557" s="11"/>
      <c r="V557" s="11"/>
      <c r="W557" s="11"/>
      <c r="X557" s="11"/>
      <c r="Y557" s="11"/>
      <c r="Z557" s="12"/>
      <c r="AA557" s="139">
        <f>SUM(AA548:AA556)</f>
        <v>0</v>
      </c>
      <c r="AB557" s="140" t="s">
        <v>171</v>
      </c>
      <c r="AG557" s="1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1"/>
      <c r="AA558" s="1"/>
      <c r="AB558" s="1"/>
      <c r="AC558" s="3"/>
      <c r="AD558" s="1"/>
      <c r="AE558" s="1"/>
      <c r="AF558" s="1"/>
      <c r="AG558" s="1"/>
    </row>
    <row r="559" ht="21.0" customHeight="1">
      <c r="A559" s="1"/>
      <c r="B559" s="4" t="s">
        <v>1</v>
      </c>
      <c r="C559" s="5"/>
      <c r="D559" s="6" t="s">
        <v>2</v>
      </c>
      <c r="E559" s="7"/>
      <c r="F559" s="7"/>
      <c r="G559" s="5"/>
      <c r="H559" s="8" t="s">
        <v>3</v>
      </c>
      <c r="I559" s="8" t="s">
        <v>4</v>
      </c>
      <c r="J559" s="9" t="s">
        <v>5</v>
      </c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5"/>
      <c r="AA559" s="117" t="s">
        <v>6</v>
      </c>
      <c r="AB559" s="11"/>
      <c r="AC559" s="11"/>
      <c r="AD559" s="11"/>
      <c r="AE559" s="11"/>
      <c r="AF559" s="12"/>
      <c r="AG559" s="1"/>
    </row>
    <row r="560" ht="21.0" customHeight="1">
      <c r="A560" s="1"/>
      <c r="B560" s="149" t="s">
        <v>138</v>
      </c>
      <c r="C560" s="14" t="str">
        <f>if(B560="0/0","",choose(weekday(B560),"(일)","(월)","(화)","(수)","(목)","(금)","(토)"))</f>
        <v/>
      </c>
      <c r="D560" s="15" t="s">
        <v>7</v>
      </c>
      <c r="E560" s="16" t="s">
        <v>8</v>
      </c>
      <c r="F560" s="17"/>
      <c r="G560" s="18" t="s">
        <v>9</v>
      </c>
      <c r="H560" s="150" t="s">
        <v>139</v>
      </c>
      <c r="I560" s="151"/>
      <c r="J560" s="21" t="s">
        <v>12</v>
      </c>
      <c r="K560" s="22"/>
      <c r="L560" s="21" t="s">
        <v>13</v>
      </c>
      <c r="M560" s="22"/>
      <c r="N560" s="21" t="s">
        <v>14</v>
      </c>
      <c r="O560" s="22"/>
      <c r="P560" s="21" t="s">
        <v>15</v>
      </c>
      <c r="Q560" s="22"/>
      <c r="R560" s="23" t="s">
        <v>16</v>
      </c>
      <c r="S560" s="22"/>
      <c r="T560" s="23" t="s">
        <v>17</v>
      </c>
      <c r="U560" s="22"/>
      <c r="V560" s="23" t="s">
        <v>18</v>
      </c>
      <c r="W560" s="22"/>
      <c r="X560" s="23" t="s">
        <v>19</v>
      </c>
      <c r="Y560" s="22"/>
      <c r="Z560" s="24" t="s">
        <v>172</v>
      </c>
      <c r="AA560" s="118" t="s">
        <v>21</v>
      </c>
      <c r="AB560" s="119" t="s">
        <v>22</v>
      </c>
      <c r="AC560" s="7"/>
      <c r="AD560" s="22"/>
      <c r="AE560" s="120" t="s">
        <v>23</v>
      </c>
      <c r="AF560" s="22"/>
      <c r="AG560" s="1"/>
    </row>
    <row r="561" ht="21.0" customHeight="1">
      <c r="A561" s="1"/>
      <c r="B561" s="27">
        <f>iferror(B560-'현황'!$C$4+1,0)</f>
        <v>0</v>
      </c>
      <c r="C561" s="28"/>
      <c r="D561" s="29">
        <v>0.0</v>
      </c>
      <c r="E561" s="30">
        <v>0.0</v>
      </c>
      <c r="F561" s="31"/>
      <c r="G561" s="32">
        <v>0.0</v>
      </c>
      <c r="H561" s="33">
        <v>0.0</v>
      </c>
      <c r="I561" s="34"/>
      <c r="J561" s="35"/>
      <c r="K561" s="36"/>
      <c r="L561" s="35"/>
      <c r="M561" s="36"/>
      <c r="N561" s="35"/>
      <c r="O561" s="36"/>
      <c r="P561" s="35"/>
      <c r="Q561" s="36"/>
      <c r="R561" s="35"/>
      <c r="S561" s="36"/>
      <c r="T561" s="35"/>
      <c r="U561" s="36"/>
      <c r="V561" s="35"/>
      <c r="W561" s="36"/>
      <c r="X561" s="35"/>
      <c r="Y561" s="36"/>
      <c r="Z561" s="37"/>
      <c r="AA561" s="37"/>
      <c r="AB561" s="35"/>
      <c r="AC561" s="38"/>
      <c r="AD561" s="36"/>
      <c r="AE561" s="35"/>
      <c r="AF561" s="36"/>
      <c r="AG561" s="1"/>
    </row>
    <row r="562" ht="21.0" customHeight="1">
      <c r="A562" s="1"/>
      <c r="B562" s="39" t="s">
        <v>24</v>
      </c>
      <c r="C562" s="40"/>
      <c r="D562" s="41"/>
      <c r="E562" s="42" t="s">
        <v>25</v>
      </c>
      <c r="F562" s="40"/>
      <c r="G562" s="41"/>
      <c r="H562" s="43" t="s">
        <v>26</v>
      </c>
      <c r="J562" s="44" t="s">
        <v>27</v>
      </c>
      <c r="K562" s="45" t="s">
        <v>28</v>
      </c>
      <c r="L562" s="44" t="s">
        <v>27</v>
      </c>
      <c r="M562" s="45" t="s">
        <v>28</v>
      </c>
      <c r="N562" s="44" t="s">
        <v>27</v>
      </c>
      <c r="O562" s="45" t="s">
        <v>28</v>
      </c>
      <c r="P562" s="44" t="s">
        <v>27</v>
      </c>
      <c r="Q562" s="45" t="s">
        <v>28</v>
      </c>
      <c r="R562" s="44" t="s">
        <v>27</v>
      </c>
      <c r="S562" s="45" t="s">
        <v>28</v>
      </c>
      <c r="T562" s="44" t="s">
        <v>27</v>
      </c>
      <c r="U562" s="45" t="s">
        <v>28</v>
      </c>
      <c r="V562" s="44" t="s">
        <v>27</v>
      </c>
      <c r="W562" s="45" t="s">
        <v>28</v>
      </c>
      <c r="X562" s="44" t="s">
        <v>27</v>
      </c>
      <c r="Y562" s="45" t="s">
        <v>28</v>
      </c>
      <c r="Z562" s="46"/>
      <c r="AA562" s="46"/>
      <c r="AB562" s="121" t="s">
        <v>29</v>
      </c>
      <c r="AC562" s="122" t="s">
        <v>30</v>
      </c>
      <c r="AD562" s="123" t="s">
        <v>31</v>
      </c>
      <c r="AE562" s="121" t="s">
        <v>27</v>
      </c>
      <c r="AF562" s="123" t="s">
        <v>28</v>
      </c>
      <c r="AG562" s="1"/>
    </row>
    <row r="563" ht="21.0" customHeight="1">
      <c r="A563" s="1"/>
      <c r="B563" s="48" t="s">
        <v>32</v>
      </c>
      <c r="C563" s="49"/>
      <c r="D563" s="50"/>
      <c r="E563" s="51" t="s">
        <v>33</v>
      </c>
      <c r="F563" s="52" t="s">
        <v>34</v>
      </c>
      <c r="G563" s="53"/>
      <c r="H563" s="148"/>
      <c r="I563" s="55"/>
      <c r="J563" s="58"/>
      <c r="K563" s="59"/>
      <c r="L563" s="58"/>
      <c r="M563" s="59"/>
      <c r="N563" s="58"/>
      <c r="O563" s="59"/>
      <c r="P563" s="58"/>
      <c r="Q563" s="59"/>
      <c r="R563" s="58"/>
      <c r="S563" s="59"/>
      <c r="T563" s="58"/>
      <c r="U563" s="59"/>
      <c r="V563" s="58"/>
      <c r="W563" s="59"/>
      <c r="X563" s="58"/>
      <c r="Y563" s="59"/>
      <c r="Z563" s="60" t="b">
        <v>0</v>
      </c>
      <c r="AA563" s="125">
        <f t="shared" ref="AA563:AA571" si="223">(J563*K563+L563*M563+N563*O563+P563*Q563+R563*S563+T563*U563+V563*W563+X563*Y563)*if(Z563=true,0.453592,1)</f>
        <v>0</v>
      </c>
      <c r="AB563" s="126">
        <f t="shared" ref="AB563:AB571" si="224">SUM(AE563*AF563*0.025,AE563)</f>
        <v>0</v>
      </c>
      <c r="AC563" s="127">
        <f t="shared" ref="AC563:AC571" si="225">AB563*87%</f>
        <v>0</v>
      </c>
      <c r="AD563" s="128">
        <f t="shared" ref="AD563:AD571" si="226">AB563*67%</f>
        <v>0</v>
      </c>
      <c r="AE563" s="126">
        <f t="shared" ref="AE563:AE571" si="227">MAX(J563,L563,N563,P563,R563,T563,V563,X563)*if(Z563=true,0.453592,1)</f>
        <v>0</v>
      </c>
      <c r="AF563" s="128">
        <f t="shared" ref="AF563:AF571" si="228">MAX(IF(J563*if(Z563=true,0.453592,1)=$AE563,K563,0),IF(L563*if(Z563=true,0.453592,1)=$AE563,M563,0),IF(N563*if(Z563=true,0.453592,1)=$AE563,O563,0),IF(P563*if(Z563=true,0.453592,1)=$AE563,Q563,0),IF(R563*if(Z563=true,0.453592,1)=$AE563,S563,0),IF(T563*if(Z563=true,0.453592,1)=$AE563,U563,0),IF(V563*if(Z563=true,0.453592,1)=$AE563,W563,0),IF(X563*if(Z563=true,0.453592,1)=$AE563,Y563,0))</f>
        <v>0</v>
      </c>
      <c r="AG563" s="1"/>
    </row>
    <row r="564" ht="21.0" customHeight="1">
      <c r="A564" s="1"/>
      <c r="B564" s="48" t="s">
        <v>36</v>
      </c>
      <c r="C564" s="49"/>
      <c r="D564" s="65"/>
      <c r="E564" s="66"/>
      <c r="F564" s="52" t="s">
        <v>37</v>
      </c>
      <c r="G564" s="67"/>
      <c r="H564" s="129"/>
      <c r="I564" s="69"/>
      <c r="J564" s="72"/>
      <c r="K564" s="73"/>
      <c r="L564" s="72"/>
      <c r="M564" s="73"/>
      <c r="N564" s="72"/>
      <c r="O564" s="73"/>
      <c r="P564" s="72"/>
      <c r="Q564" s="73"/>
      <c r="R564" s="72"/>
      <c r="S564" s="73"/>
      <c r="T564" s="72"/>
      <c r="U564" s="73"/>
      <c r="V564" s="72"/>
      <c r="W564" s="73"/>
      <c r="X564" s="72"/>
      <c r="Y564" s="73"/>
      <c r="Z564" s="74" t="b">
        <v>0</v>
      </c>
      <c r="AA564" s="130">
        <f t="shared" si="223"/>
        <v>0</v>
      </c>
      <c r="AB564" s="131">
        <f t="shared" si="224"/>
        <v>0</v>
      </c>
      <c r="AC564" s="132">
        <f t="shared" si="225"/>
        <v>0</v>
      </c>
      <c r="AD564" s="133">
        <f t="shared" si="226"/>
        <v>0</v>
      </c>
      <c r="AE564" s="131">
        <f t="shared" si="227"/>
        <v>0</v>
      </c>
      <c r="AF564" s="133">
        <f t="shared" si="228"/>
        <v>0</v>
      </c>
      <c r="AG564" s="1"/>
    </row>
    <row r="565" ht="21.0" customHeight="1">
      <c r="A565" s="1"/>
      <c r="B565" s="48" t="s">
        <v>39</v>
      </c>
      <c r="C565" s="49"/>
      <c r="D565" s="65"/>
      <c r="E565" s="41"/>
      <c r="F565" s="52" t="s">
        <v>40</v>
      </c>
      <c r="G565" s="79"/>
      <c r="H565" s="80"/>
      <c r="I565" s="69"/>
      <c r="J565" s="72"/>
      <c r="K565" s="73"/>
      <c r="L565" s="72"/>
      <c r="M565" s="73"/>
      <c r="N565" s="72"/>
      <c r="O565" s="73"/>
      <c r="P565" s="72"/>
      <c r="Q565" s="73"/>
      <c r="R565" s="72"/>
      <c r="S565" s="73"/>
      <c r="T565" s="72"/>
      <c r="U565" s="73"/>
      <c r="V565" s="72"/>
      <c r="W565" s="73"/>
      <c r="X565" s="72"/>
      <c r="Y565" s="73"/>
      <c r="Z565" s="74" t="b">
        <v>0</v>
      </c>
      <c r="AA565" s="130">
        <f t="shared" si="223"/>
        <v>0</v>
      </c>
      <c r="AB565" s="131">
        <f t="shared" si="224"/>
        <v>0</v>
      </c>
      <c r="AC565" s="132">
        <f t="shared" si="225"/>
        <v>0</v>
      </c>
      <c r="AD565" s="133">
        <f t="shared" si="226"/>
        <v>0</v>
      </c>
      <c r="AE565" s="131">
        <f t="shared" si="227"/>
        <v>0</v>
      </c>
      <c r="AF565" s="133">
        <f t="shared" si="228"/>
        <v>0</v>
      </c>
      <c r="AG565" s="1"/>
    </row>
    <row r="566" ht="21.0" customHeight="1">
      <c r="A566" s="1"/>
      <c r="B566" s="48" t="s">
        <v>41</v>
      </c>
      <c r="C566" s="81"/>
      <c r="D566" s="82" t="b">
        <v>0</v>
      </c>
      <c r="E566" s="51" t="s">
        <v>42</v>
      </c>
      <c r="F566" s="52" t="s">
        <v>34</v>
      </c>
      <c r="G566" s="83"/>
      <c r="H566" s="84"/>
      <c r="I566" s="85"/>
      <c r="J566" s="72"/>
      <c r="K566" s="73"/>
      <c r="L566" s="72"/>
      <c r="M566" s="73"/>
      <c r="N566" s="72"/>
      <c r="O566" s="73"/>
      <c r="P566" s="72"/>
      <c r="Q566" s="73"/>
      <c r="R566" s="72"/>
      <c r="S566" s="73"/>
      <c r="T566" s="72"/>
      <c r="U566" s="73"/>
      <c r="V566" s="72"/>
      <c r="W566" s="73"/>
      <c r="X566" s="72"/>
      <c r="Y566" s="73"/>
      <c r="Z566" s="74" t="b">
        <v>0</v>
      </c>
      <c r="AA566" s="130">
        <f t="shared" si="223"/>
        <v>0</v>
      </c>
      <c r="AB566" s="131">
        <f t="shared" si="224"/>
        <v>0</v>
      </c>
      <c r="AC566" s="132">
        <f t="shared" si="225"/>
        <v>0</v>
      </c>
      <c r="AD566" s="133">
        <f t="shared" si="226"/>
        <v>0</v>
      </c>
      <c r="AE566" s="131">
        <f t="shared" si="227"/>
        <v>0</v>
      </c>
      <c r="AF566" s="133">
        <f t="shared" si="228"/>
        <v>0</v>
      </c>
      <c r="AG566" s="1"/>
    </row>
    <row r="567" ht="21.0" customHeight="1">
      <c r="A567" s="1"/>
      <c r="B567" s="48" t="s">
        <v>43</v>
      </c>
      <c r="C567" s="49"/>
      <c r="D567" s="86" t="b">
        <v>0</v>
      </c>
      <c r="E567" s="66"/>
      <c r="F567" s="52" t="s">
        <v>37</v>
      </c>
      <c r="G567" s="67"/>
      <c r="H567" s="80"/>
      <c r="I567" s="69"/>
      <c r="J567" s="72"/>
      <c r="K567" s="73"/>
      <c r="L567" s="72"/>
      <c r="M567" s="73"/>
      <c r="N567" s="72"/>
      <c r="O567" s="73"/>
      <c r="P567" s="72"/>
      <c r="Q567" s="73"/>
      <c r="R567" s="72"/>
      <c r="S567" s="73"/>
      <c r="T567" s="72"/>
      <c r="U567" s="73"/>
      <c r="V567" s="72"/>
      <c r="W567" s="73"/>
      <c r="X567" s="72"/>
      <c r="Y567" s="73"/>
      <c r="Z567" s="74" t="b">
        <v>0</v>
      </c>
      <c r="AA567" s="130">
        <f t="shared" si="223"/>
        <v>0</v>
      </c>
      <c r="AB567" s="131">
        <f t="shared" si="224"/>
        <v>0</v>
      </c>
      <c r="AC567" s="132">
        <f t="shared" si="225"/>
        <v>0</v>
      </c>
      <c r="AD567" s="133">
        <f t="shared" si="226"/>
        <v>0</v>
      </c>
      <c r="AE567" s="131">
        <f t="shared" si="227"/>
        <v>0</v>
      </c>
      <c r="AF567" s="133">
        <f t="shared" si="228"/>
        <v>0</v>
      </c>
      <c r="AG567" s="1"/>
    </row>
    <row r="568" ht="21.0" customHeight="1">
      <c r="A568" s="1"/>
      <c r="B568" s="87" t="str">
        <f t="array" ref="B568">"📌최근 인바디 결과 : "&amp;text(xlookup(B560,'현황'!O:O,'현황'!O:O,,-1,-1),"m/d(ddd)")</f>
        <v>#REF!</v>
      </c>
      <c r="C568" s="88"/>
      <c r="D568" s="49"/>
      <c r="E568" s="41"/>
      <c r="F568" s="52" t="s">
        <v>40</v>
      </c>
      <c r="G568" s="79"/>
      <c r="H568" s="80"/>
      <c r="I568" s="69"/>
      <c r="J568" s="72"/>
      <c r="K568" s="73"/>
      <c r="L568" s="72"/>
      <c r="M568" s="73"/>
      <c r="N568" s="72"/>
      <c r="O568" s="73"/>
      <c r="P568" s="72"/>
      <c r="Q568" s="73"/>
      <c r="R568" s="72"/>
      <c r="S568" s="73"/>
      <c r="T568" s="72"/>
      <c r="U568" s="73"/>
      <c r="V568" s="72"/>
      <c r="W568" s="73"/>
      <c r="X568" s="72"/>
      <c r="Y568" s="73"/>
      <c r="Z568" s="74" t="b">
        <v>0</v>
      </c>
      <c r="AA568" s="130">
        <f t="shared" si="223"/>
        <v>0</v>
      </c>
      <c r="AB568" s="131">
        <f t="shared" si="224"/>
        <v>0</v>
      </c>
      <c r="AC568" s="132">
        <f t="shared" si="225"/>
        <v>0</v>
      </c>
      <c r="AD568" s="133">
        <f t="shared" si="226"/>
        <v>0</v>
      </c>
      <c r="AE568" s="131">
        <f t="shared" si="227"/>
        <v>0</v>
      </c>
      <c r="AF568" s="133">
        <f t="shared" si="228"/>
        <v>0</v>
      </c>
      <c r="AG568" s="1"/>
    </row>
    <row r="569" ht="21.0" customHeight="1">
      <c r="A569" s="1"/>
      <c r="B569" s="89" t="s">
        <v>44</v>
      </c>
      <c r="C569" s="49"/>
      <c r="D569" s="90">
        <f t="array" ref="D569">iferror(vlookup(xlookup(B560,'현황'!O:O,'현황'!O:O,,-1,-1),'현황'!O:S,2,false),0)</f>
        <v>0</v>
      </c>
      <c r="E569" s="51" t="s">
        <v>45</v>
      </c>
      <c r="F569" s="52" t="s">
        <v>34</v>
      </c>
      <c r="G569" s="83"/>
      <c r="H569" s="84"/>
      <c r="I569" s="85"/>
      <c r="J569" s="72"/>
      <c r="K569" s="73"/>
      <c r="L569" s="72"/>
      <c r="M569" s="73"/>
      <c r="N569" s="72"/>
      <c r="O569" s="73"/>
      <c r="P569" s="72"/>
      <c r="Q569" s="73"/>
      <c r="R569" s="72"/>
      <c r="S569" s="73"/>
      <c r="T569" s="72"/>
      <c r="U569" s="73"/>
      <c r="V569" s="72"/>
      <c r="W569" s="73"/>
      <c r="X569" s="72"/>
      <c r="Y569" s="73"/>
      <c r="Z569" s="74" t="b">
        <v>0</v>
      </c>
      <c r="AA569" s="130">
        <f t="shared" si="223"/>
        <v>0</v>
      </c>
      <c r="AB569" s="131">
        <f t="shared" si="224"/>
        <v>0</v>
      </c>
      <c r="AC569" s="132">
        <f t="shared" si="225"/>
        <v>0</v>
      </c>
      <c r="AD569" s="133">
        <f t="shared" si="226"/>
        <v>0</v>
      </c>
      <c r="AE569" s="131">
        <f t="shared" si="227"/>
        <v>0</v>
      </c>
      <c r="AF569" s="133">
        <f t="shared" si="228"/>
        <v>0</v>
      </c>
      <c r="AG569" s="1"/>
    </row>
    <row r="570" ht="21.0" customHeight="1">
      <c r="A570" s="1"/>
      <c r="B570" s="48" t="s">
        <v>46</v>
      </c>
      <c r="C570" s="49"/>
      <c r="D570" s="91">
        <f t="array" ref="D570">iferror(vlookup(xlookup(B560,'현황'!O:O,'현황'!O:O,,-1,-1),'현황'!O:S,3,false),0)</f>
        <v>0</v>
      </c>
      <c r="E570" s="66"/>
      <c r="F570" s="52" t="s">
        <v>37</v>
      </c>
      <c r="G570" s="67"/>
      <c r="H570" s="80"/>
      <c r="I570" s="69"/>
      <c r="J570" s="72"/>
      <c r="K570" s="73"/>
      <c r="L570" s="72"/>
      <c r="M570" s="73"/>
      <c r="N570" s="72"/>
      <c r="O570" s="73"/>
      <c r="P570" s="72"/>
      <c r="Q570" s="73"/>
      <c r="R570" s="72"/>
      <c r="S570" s="73"/>
      <c r="T570" s="72"/>
      <c r="U570" s="73"/>
      <c r="V570" s="72"/>
      <c r="W570" s="73"/>
      <c r="X570" s="72"/>
      <c r="Y570" s="73"/>
      <c r="Z570" s="74" t="b">
        <v>0</v>
      </c>
      <c r="AA570" s="130">
        <f t="shared" si="223"/>
        <v>0</v>
      </c>
      <c r="AB570" s="131">
        <f t="shared" si="224"/>
        <v>0</v>
      </c>
      <c r="AC570" s="132">
        <f t="shared" si="225"/>
        <v>0</v>
      </c>
      <c r="AD570" s="133">
        <f t="shared" si="226"/>
        <v>0</v>
      </c>
      <c r="AE570" s="131">
        <f t="shared" si="227"/>
        <v>0</v>
      </c>
      <c r="AF570" s="133">
        <f t="shared" si="228"/>
        <v>0</v>
      </c>
      <c r="AG570" s="1"/>
    </row>
    <row r="571" ht="21.0" customHeight="1">
      <c r="A571" s="1"/>
      <c r="B571" s="48" t="s">
        <v>47</v>
      </c>
      <c r="C571" s="49"/>
      <c r="D571" s="91">
        <f t="array" ref="D571">iferror(vlookup(xlookup(B560,'현황'!O:O,'현황'!O:O,,-1,-1),'현황'!O:S,4,false),0)</f>
        <v>0</v>
      </c>
      <c r="E571" s="41"/>
      <c r="F571" s="92" t="s">
        <v>40</v>
      </c>
      <c r="G571" s="79"/>
      <c r="H571" s="93"/>
      <c r="I571" s="94"/>
      <c r="J571" s="95"/>
      <c r="K571" s="96"/>
      <c r="L571" s="95"/>
      <c r="M571" s="96"/>
      <c r="N571" s="95"/>
      <c r="O571" s="96"/>
      <c r="P571" s="95"/>
      <c r="Q571" s="96"/>
      <c r="R571" s="95"/>
      <c r="S571" s="96"/>
      <c r="T571" s="95"/>
      <c r="U571" s="96"/>
      <c r="V571" s="95"/>
      <c r="W571" s="96"/>
      <c r="X571" s="95"/>
      <c r="Y571" s="96"/>
      <c r="Z571" s="97" t="b">
        <v>0</v>
      </c>
      <c r="AA571" s="135">
        <f t="shared" si="223"/>
        <v>0</v>
      </c>
      <c r="AB571" s="136">
        <f t="shared" si="224"/>
        <v>0</v>
      </c>
      <c r="AC571" s="137">
        <f t="shared" si="225"/>
        <v>0</v>
      </c>
      <c r="AD571" s="138">
        <f t="shared" si="226"/>
        <v>0</v>
      </c>
      <c r="AE571" s="136">
        <f t="shared" si="227"/>
        <v>0</v>
      </c>
      <c r="AF571" s="138">
        <f t="shared" si="228"/>
        <v>0</v>
      </c>
      <c r="AG571" s="1"/>
    </row>
    <row r="572" ht="21.0" customHeight="1">
      <c r="A572" s="1"/>
      <c r="B572" s="102" t="s">
        <v>48</v>
      </c>
      <c r="C572" s="103"/>
      <c r="D572" s="104">
        <f>iferror(D571/D569,0)</f>
        <v>0</v>
      </c>
      <c r="E572" s="102" t="s">
        <v>49</v>
      </c>
      <c r="F572" s="103"/>
      <c r="G572" s="105"/>
      <c r="H572" s="106" t="s">
        <v>50</v>
      </c>
      <c r="I572" s="107"/>
      <c r="J572" s="11"/>
      <c r="K572" s="11"/>
      <c r="L572" s="11"/>
      <c r="M572" s="11"/>
      <c r="N572" s="11"/>
      <c r="O572" s="11"/>
      <c r="P572" s="108" t="s">
        <v>51</v>
      </c>
      <c r="Q572" s="12"/>
      <c r="R572" s="109"/>
      <c r="S572" s="11"/>
      <c r="T572" s="11"/>
      <c r="U572" s="11"/>
      <c r="V572" s="11"/>
      <c r="W572" s="11"/>
      <c r="X572" s="11"/>
      <c r="Y572" s="11"/>
      <c r="Z572" s="12"/>
      <c r="AA572" s="139">
        <f>SUM(AA563:AA571)</f>
        <v>0</v>
      </c>
      <c r="AB572" s="140" t="s">
        <v>173</v>
      </c>
      <c r="AG572" s="1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1"/>
      <c r="AA573" s="1"/>
      <c r="AB573" s="1"/>
      <c r="AC573" s="3"/>
      <c r="AD573" s="1"/>
      <c r="AE573" s="1"/>
      <c r="AF573" s="1"/>
      <c r="AG573" s="1"/>
    </row>
    <row r="574" ht="21.0" customHeight="1">
      <c r="A574" s="1"/>
      <c r="B574" s="4" t="s">
        <v>1</v>
      </c>
      <c r="C574" s="5"/>
      <c r="D574" s="6" t="s">
        <v>2</v>
      </c>
      <c r="E574" s="7"/>
      <c r="F574" s="7"/>
      <c r="G574" s="5"/>
      <c r="H574" s="8" t="s">
        <v>3</v>
      </c>
      <c r="I574" s="8" t="s">
        <v>4</v>
      </c>
      <c r="J574" s="9" t="s">
        <v>5</v>
      </c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5"/>
      <c r="AA574" s="117" t="s">
        <v>6</v>
      </c>
      <c r="AB574" s="11"/>
      <c r="AC574" s="11"/>
      <c r="AD574" s="11"/>
      <c r="AE574" s="11"/>
      <c r="AF574" s="12"/>
      <c r="AG574" s="1"/>
    </row>
    <row r="575" ht="21.0" customHeight="1">
      <c r="A575" s="1"/>
      <c r="B575" s="149" t="s">
        <v>138</v>
      </c>
      <c r="C575" s="14" t="str">
        <f>if(B575="0/0","",choose(weekday(B575),"(일)","(월)","(화)","(수)","(목)","(금)","(토)"))</f>
        <v/>
      </c>
      <c r="D575" s="15" t="s">
        <v>7</v>
      </c>
      <c r="E575" s="16" t="s">
        <v>8</v>
      </c>
      <c r="F575" s="17"/>
      <c r="G575" s="18" t="s">
        <v>9</v>
      </c>
      <c r="H575" s="150" t="s">
        <v>139</v>
      </c>
      <c r="I575" s="151"/>
      <c r="J575" s="21" t="s">
        <v>12</v>
      </c>
      <c r="K575" s="22"/>
      <c r="L575" s="21" t="s">
        <v>13</v>
      </c>
      <c r="M575" s="22"/>
      <c r="N575" s="21" t="s">
        <v>14</v>
      </c>
      <c r="O575" s="22"/>
      <c r="P575" s="21" t="s">
        <v>15</v>
      </c>
      <c r="Q575" s="22"/>
      <c r="R575" s="23" t="s">
        <v>16</v>
      </c>
      <c r="S575" s="22"/>
      <c r="T575" s="23" t="s">
        <v>17</v>
      </c>
      <c r="U575" s="22"/>
      <c r="V575" s="23" t="s">
        <v>18</v>
      </c>
      <c r="W575" s="22"/>
      <c r="X575" s="23" t="s">
        <v>19</v>
      </c>
      <c r="Y575" s="22"/>
      <c r="Z575" s="24" t="s">
        <v>174</v>
      </c>
      <c r="AA575" s="118" t="s">
        <v>21</v>
      </c>
      <c r="AB575" s="119" t="s">
        <v>22</v>
      </c>
      <c r="AC575" s="7"/>
      <c r="AD575" s="22"/>
      <c r="AE575" s="120" t="s">
        <v>23</v>
      </c>
      <c r="AF575" s="22"/>
      <c r="AG575" s="1"/>
    </row>
    <row r="576" ht="21.0" customHeight="1">
      <c r="A576" s="1"/>
      <c r="B576" s="27">
        <f>iferror(B575-'현황'!$C$4+1,0)</f>
        <v>0</v>
      </c>
      <c r="C576" s="28"/>
      <c r="D576" s="29">
        <v>0.0</v>
      </c>
      <c r="E576" s="30">
        <v>0.0</v>
      </c>
      <c r="F576" s="31"/>
      <c r="G576" s="32">
        <v>0.0</v>
      </c>
      <c r="H576" s="33">
        <v>0.0</v>
      </c>
      <c r="I576" s="34"/>
      <c r="J576" s="35"/>
      <c r="K576" s="36"/>
      <c r="L576" s="35"/>
      <c r="M576" s="36"/>
      <c r="N576" s="35"/>
      <c r="O576" s="36"/>
      <c r="P576" s="35"/>
      <c r="Q576" s="36"/>
      <c r="R576" s="35"/>
      <c r="S576" s="36"/>
      <c r="T576" s="35"/>
      <c r="U576" s="36"/>
      <c r="V576" s="35"/>
      <c r="W576" s="36"/>
      <c r="X576" s="35"/>
      <c r="Y576" s="36"/>
      <c r="Z576" s="37"/>
      <c r="AA576" s="37"/>
      <c r="AB576" s="35"/>
      <c r="AC576" s="38"/>
      <c r="AD576" s="36"/>
      <c r="AE576" s="35"/>
      <c r="AF576" s="36"/>
      <c r="AG576" s="1"/>
    </row>
    <row r="577" ht="21.0" customHeight="1">
      <c r="A577" s="1"/>
      <c r="B577" s="39" t="s">
        <v>24</v>
      </c>
      <c r="C577" s="40"/>
      <c r="D577" s="41"/>
      <c r="E577" s="42" t="s">
        <v>25</v>
      </c>
      <c r="F577" s="40"/>
      <c r="G577" s="41"/>
      <c r="H577" s="43" t="s">
        <v>26</v>
      </c>
      <c r="J577" s="44" t="s">
        <v>27</v>
      </c>
      <c r="K577" s="45" t="s">
        <v>28</v>
      </c>
      <c r="L577" s="44" t="s">
        <v>27</v>
      </c>
      <c r="M577" s="45" t="s">
        <v>28</v>
      </c>
      <c r="N577" s="44" t="s">
        <v>27</v>
      </c>
      <c r="O577" s="45" t="s">
        <v>28</v>
      </c>
      <c r="P577" s="44" t="s">
        <v>27</v>
      </c>
      <c r="Q577" s="45" t="s">
        <v>28</v>
      </c>
      <c r="R577" s="44" t="s">
        <v>27</v>
      </c>
      <c r="S577" s="45" t="s">
        <v>28</v>
      </c>
      <c r="T577" s="44" t="s">
        <v>27</v>
      </c>
      <c r="U577" s="45" t="s">
        <v>28</v>
      </c>
      <c r="V577" s="44" t="s">
        <v>27</v>
      </c>
      <c r="W577" s="45" t="s">
        <v>28</v>
      </c>
      <c r="X577" s="44" t="s">
        <v>27</v>
      </c>
      <c r="Y577" s="45" t="s">
        <v>28</v>
      </c>
      <c r="Z577" s="46"/>
      <c r="AA577" s="46"/>
      <c r="AB577" s="121" t="s">
        <v>29</v>
      </c>
      <c r="AC577" s="122" t="s">
        <v>30</v>
      </c>
      <c r="AD577" s="123" t="s">
        <v>31</v>
      </c>
      <c r="AE577" s="121" t="s">
        <v>27</v>
      </c>
      <c r="AF577" s="123" t="s">
        <v>28</v>
      </c>
      <c r="AG577" s="1"/>
    </row>
    <row r="578" ht="21.0" customHeight="1">
      <c r="A578" s="1"/>
      <c r="B578" s="48" t="s">
        <v>32</v>
      </c>
      <c r="C578" s="49"/>
      <c r="D578" s="50"/>
      <c r="E578" s="51" t="s">
        <v>33</v>
      </c>
      <c r="F578" s="52" t="s">
        <v>34</v>
      </c>
      <c r="G578" s="53"/>
      <c r="H578" s="148"/>
      <c r="I578" s="55"/>
      <c r="J578" s="58"/>
      <c r="K578" s="59"/>
      <c r="L578" s="58"/>
      <c r="M578" s="59"/>
      <c r="N578" s="58"/>
      <c r="O578" s="59"/>
      <c r="P578" s="58"/>
      <c r="Q578" s="59"/>
      <c r="R578" s="58"/>
      <c r="S578" s="59"/>
      <c r="T578" s="58"/>
      <c r="U578" s="59"/>
      <c r="V578" s="58"/>
      <c r="W578" s="59"/>
      <c r="X578" s="58"/>
      <c r="Y578" s="59"/>
      <c r="Z578" s="60" t="b">
        <v>0</v>
      </c>
      <c r="AA578" s="125">
        <f t="shared" ref="AA578:AA586" si="229">(J578*K578+L578*M578+N578*O578+P578*Q578+R578*S578+T578*U578+V578*W578+X578*Y578)*if(Z578=true,0.453592,1)</f>
        <v>0</v>
      </c>
      <c r="AB578" s="126">
        <f t="shared" ref="AB578:AB586" si="230">SUM(AE578*AF578*0.025,AE578)</f>
        <v>0</v>
      </c>
      <c r="AC578" s="127">
        <f t="shared" ref="AC578:AC586" si="231">AB578*87%</f>
        <v>0</v>
      </c>
      <c r="AD578" s="128">
        <f t="shared" ref="AD578:AD586" si="232">AB578*67%</f>
        <v>0</v>
      </c>
      <c r="AE578" s="126">
        <f t="shared" ref="AE578:AE586" si="233">MAX(J578,L578,N578,P578,R578,T578,V578,X578)*if(Z578=true,0.453592,1)</f>
        <v>0</v>
      </c>
      <c r="AF578" s="128">
        <f t="shared" ref="AF578:AF586" si="234">MAX(IF(J578*if(Z578=true,0.453592,1)=$AE578,K578,0),IF(L578*if(Z578=true,0.453592,1)=$AE578,M578,0),IF(N578*if(Z578=true,0.453592,1)=$AE578,O578,0),IF(P578*if(Z578=true,0.453592,1)=$AE578,Q578,0),IF(R578*if(Z578=true,0.453592,1)=$AE578,S578,0),IF(T578*if(Z578=true,0.453592,1)=$AE578,U578,0),IF(V578*if(Z578=true,0.453592,1)=$AE578,W578,0),IF(X578*if(Z578=true,0.453592,1)=$AE578,Y578,0))</f>
        <v>0</v>
      </c>
      <c r="AG578" s="1"/>
    </row>
    <row r="579" ht="21.0" customHeight="1">
      <c r="A579" s="1"/>
      <c r="B579" s="48" t="s">
        <v>36</v>
      </c>
      <c r="C579" s="49"/>
      <c r="D579" s="65"/>
      <c r="E579" s="66"/>
      <c r="F579" s="52" t="s">
        <v>37</v>
      </c>
      <c r="G579" s="67"/>
      <c r="H579" s="129"/>
      <c r="I579" s="69"/>
      <c r="J579" s="72"/>
      <c r="K579" s="73"/>
      <c r="L579" s="72"/>
      <c r="M579" s="73"/>
      <c r="N579" s="72"/>
      <c r="O579" s="73"/>
      <c r="P579" s="72"/>
      <c r="Q579" s="73"/>
      <c r="R579" s="72"/>
      <c r="S579" s="73"/>
      <c r="T579" s="72"/>
      <c r="U579" s="73"/>
      <c r="V579" s="72"/>
      <c r="W579" s="73"/>
      <c r="X579" s="72"/>
      <c r="Y579" s="73"/>
      <c r="Z579" s="74" t="b">
        <v>0</v>
      </c>
      <c r="AA579" s="130">
        <f t="shared" si="229"/>
        <v>0</v>
      </c>
      <c r="AB579" s="131">
        <f t="shared" si="230"/>
        <v>0</v>
      </c>
      <c r="AC579" s="132">
        <f t="shared" si="231"/>
        <v>0</v>
      </c>
      <c r="AD579" s="133">
        <f t="shared" si="232"/>
        <v>0</v>
      </c>
      <c r="AE579" s="131">
        <f t="shared" si="233"/>
        <v>0</v>
      </c>
      <c r="AF579" s="133">
        <f t="shared" si="234"/>
        <v>0</v>
      </c>
      <c r="AG579" s="1"/>
    </row>
    <row r="580" ht="21.0" customHeight="1">
      <c r="A580" s="1"/>
      <c r="B580" s="48" t="s">
        <v>39</v>
      </c>
      <c r="C580" s="49"/>
      <c r="D580" s="65"/>
      <c r="E580" s="41"/>
      <c r="F580" s="52" t="s">
        <v>40</v>
      </c>
      <c r="G580" s="79"/>
      <c r="H580" s="80"/>
      <c r="I580" s="69"/>
      <c r="J580" s="72"/>
      <c r="K580" s="73"/>
      <c r="L580" s="72"/>
      <c r="M580" s="73"/>
      <c r="N580" s="72"/>
      <c r="O580" s="73"/>
      <c r="P580" s="72"/>
      <c r="Q580" s="73"/>
      <c r="R580" s="72"/>
      <c r="S580" s="73"/>
      <c r="T580" s="72"/>
      <c r="U580" s="73"/>
      <c r="V580" s="72"/>
      <c r="W580" s="73"/>
      <c r="X580" s="72"/>
      <c r="Y580" s="73"/>
      <c r="Z580" s="74" t="b">
        <v>0</v>
      </c>
      <c r="AA580" s="130">
        <f t="shared" si="229"/>
        <v>0</v>
      </c>
      <c r="AB580" s="131">
        <f t="shared" si="230"/>
        <v>0</v>
      </c>
      <c r="AC580" s="132">
        <f t="shared" si="231"/>
        <v>0</v>
      </c>
      <c r="AD580" s="133">
        <f t="shared" si="232"/>
        <v>0</v>
      </c>
      <c r="AE580" s="131">
        <f t="shared" si="233"/>
        <v>0</v>
      </c>
      <c r="AF580" s="133">
        <f t="shared" si="234"/>
        <v>0</v>
      </c>
      <c r="AG580" s="1"/>
    </row>
    <row r="581" ht="21.0" customHeight="1">
      <c r="A581" s="1"/>
      <c r="B581" s="48" t="s">
        <v>41</v>
      </c>
      <c r="C581" s="81"/>
      <c r="D581" s="82" t="b">
        <v>0</v>
      </c>
      <c r="E581" s="51" t="s">
        <v>42</v>
      </c>
      <c r="F581" s="52" t="s">
        <v>34</v>
      </c>
      <c r="G581" s="83"/>
      <c r="H581" s="84"/>
      <c r="I581" s="85"/>
      <c r="J581" s="72"/>
      <c r="K581" s="73"/>
      <c r="L581" s="72"/>
      <c r="M581" s="73"/>
      <c r="N581" s="72"/>
      <c r="O581" s="73"/>
      <c r="P581" s="72"/>
      <c r="Q581" s="73"/>
      <c r="R581" s="72"/>
      <c r="S581" s="73"/>
      <c r="T581" s="72"/>
      <c r="U581" s="73"/>
      <c r="V581" s="72"/>
      <c r="W581" s="73"/>
      <c r="X581" s="72"/>
      <c r="Y581" s="73"/>
      <c r="Z581" s="74" t="b">
        <v>0</v>
      </c>
      <c r="AA581" s="130">
        <f t="shared" si="229"/>
        <v>0</v>
      </c>
      <c r="AB581" s="131">
        <f t="shared" si="230"/>
        <v>0</v>
      </c>
      <c r="AC581" s="132">
        <f t="shared" si="231"/>
        <v>0</v>
      </c>
      <c r="AD581" s="133">
        <f t="shared" si="232"/>
        <v>0</v>
      </c>
      <c r="AE581" s="131">
        <f t="shared" si="233"/>
        <v>0</v>
      </c>
      <c r="AF581" s="133">
        <f t="shared" si="234"/>
        <v>0</v>
      </c>
      <c r="AG581" s="1"/>
    </row>
    <row r="582" ht="21.0" customHeight="1">
      <c r="A582" s="1"/>
      <c r="B582" s="48" t="s">
        <v>43</v>
      </c>
      <c r="C582" s="49"/>
      <c r="D582" s="86" t="b">
        <v>0</v>
      </c>
      <c r="E582" s="66"/>
      <c r="F582" s="52" t="s">
        <v>37</v>
      </c>
      <c r="G582" s="67"/>
      <c r="H582" s="80"/>
      <c r="I582" s="69"/>
      <c r="J582" s="72"/>
      <c r="K582" s="73"/>
      <c r="L582" s="72"/>
      <c r="M582" s="73"/>
      <c r="N582" s="72"/>
      <c r="O582" s="73"/>
      <c r="P582" s="72"/>
      <c r="Q582" s="73"/>
      <c r="R582" s="72"/>
      <c r="S582" s="73"/>
      <c r="T582" s="72"/>
      <c r="U582" s="73"/>
      <c r="V582" s="72"/>
      <c r="W582" s="73"/>
      <c r="X582" s="72"/>
      <c r="Y582" s="73"/>
      <c r="Z582" s="74" t="b">
        <v>0</v>
      </c>
      <c r="AA582" s="130">
        <f t="shared" si="229"/>
        <v>0</v>
      </c>
      <c r="AB582" s="131">
        <f t="shared" si="230"/>
        <v>0</v>
      </c>
      <c r="AC582" s="132">
        <f t="shared" si="231"/>
        <v>0</v>
      </c>
      <c r="AD582" s="133">
        <f t="shared" si="232"/>
        <v>0</v>
      </c>
      <c r="AE582" s="131">
        <f t="shared" si="233"/>
        <v>0</v>
      </c>
      <c r="AF582" s="133">
        <f t="shared" si="234"/>
        <v>0</v>
      </c>
      <c r="AG582" s="1"/>
    </row>
    <row r="583" ht="21.0" customHeight="1">
      <c r="A583" s="1"/>
      <c r="B583" s="87" t="str">
        <f t="array" ref="B583">"📌최근 인바디 결과 : "&amp;text(xlookup(B575,'현황'!O:O,'현황'!O:O,,-1,-1),"m/d(ddd)")</f>
        <v>#REF!</v>
      </c>
      <c r="C583" s="88"/>
      <c r="D583" s="49"/>
      <c r="E583" s="41"/>
      <c r="F583" s="52" t="s">
        <v>40</v>
      </c>
      <c r="G583" s="79"/>
      <c r="H583" s="80"/>
      <c r="I583" s="69"/>
      <c r="J583" s="72"/>
      <c r="K583" s="73"/>
      <c r="L583" s="72"/>
      <c r="M583" s="73"/>
      <c r="N583" s="72"/>
      <c r="O583" s="73"/>
      <c r="P583" s="72"/>
      <c r="Q583" s="73"/>
      <c r="R583" s="72"/>
      <c r="S583" s="73"/>
      <c r="T583" s="72"/>
      <c r="U583" s="73"/>
      <c r="V583" s="72"/>
      <c r="W583" s="73"/>
      <c r="X583" s="72"/>
      <c r="Y583" s="73"/>
      <c r="Z583" s="74" t="b">
        <v>0</v>
      </c>
      <c r="AA583" s="130">
        <f t="shared" si="229"/>
        <v>0</v>
      </c>
      <c r="AB583" s="131">
        <f t="shared" si="230"/>
        <v>0</v>
      </c>
      <c r="AC583" s="132">
        <f t="shared" si="231"/>
        <v>0</v>
      </c>
      <c r="AD583" s="133">
        <f t="shared" si="232"/>
        <v>0</v>
      </c>
      <c r="AE583" s="131">
        <f t="shared" si="233"/>
        <v>0</v>
      </c>
      <c r="AF583" s="133">
        <f t="shared" si="234"/>
        <v>0</v>
      </c>
      <c r="AG583" s="1"/>
    </row>
    <row r="584" ht="21.0" customHeight="1">
      <c r="A584" s="1"/>
      <c r="B584" s="89" t="s">
        <v>44</v>
      </c>
      <c r="C584" s="49"/>
      <c r="D584" s="90">
        <f t="array" ref="D584">iferror(vlookup(xlookup(B575,'현황'!O:O,'현황'!O:O,,-1,-1),'현황'!O:S,2,false),0)</f>
        <v>0</v>
      </c>
      <c r="E584" s="51" t="s">
        <v>45</v>
      </c>
      <c r="F584" s="52" t="s">
        <v>34</v>
      </c>
      <c r="G584" s="83"/>
      <c r="H584" s="84"/>
      <c r="I584" s="85"/>
      <c r="J584" s="72"/>
      <c r="K584" s="73"/>
      <c r="L584" s="72"/>
      <c r="M584" s="73"/>
      <c r="N584" s="72"/>
      <c r="O584" s="73"/>
      <c r="P584" s="72"/>
      <c r="Q584" s="73"/>
      <c r="R584" s="72"/>
      <c r="S584" s="73"/>
      <c r="T584" s="72"/>
      <c r="U584" s="73"/>
      <c r="V584" s="72"/>
      <c r="W584" s="73"/>
      <c r="X584" s="72"/>
      <c r="Y584" s="73"/>
      <c r="Z584" s="74" t="b">
        <v>0</v>
      </c>
      <c r="AA584" s="130">
        <f t="shared" si="229"/>
        <v>0</v>
      </c>
      <c r="AB584" s="131">
        <f t="shared" si="230"/>
        <v>0</v>
      </c>
      <c r="AC584" s="132">
        <f t="shared" si="231"/>
        <v>0</v>
      </c>
      <c r="AD584" s="133">
        <f t="shared" si="232"/>
        <v>0</v>
      </c>
      <c r="AE584" s="131">
        <f t="shared" si="233"/>
        <v>0</v>
      </c>
      <c r="AF584" s="133">
        <f t="shared" si="234"/>
        <v>0</v>
      </c>
      <c r="AG584" s="1"/>
    </row>
    <row r="585" ht="21.0" customHeight="1">
      <c r="A585" s="1"/>
      <c r="B585" s="48" t="s">
        <v>46</v>
      </c>
      <c r="C585" s="49"/>
      <c r="D585" s="91">
        <f t="array" ref="D585">iferror(vlookup(xlookup(B575,'현황'!O:O,'현황'!O:O,,-1,-1),'현황'!O:S,3,false),0)</f>
        <v>0</v>
      </c>
      <c r="E585" s="66"/>
      <c r="F585" s="52" t="s">
        <v>37</v>
      </c>
      <c r="G585" s="67"/>
      <c r="H585" s="80"/>
      <c r="I585" s="69"/>
      <c r="J585" s="72"/>
      <c r="K585" s="73"/>
      <c r="L585" s="72"/>
      <c r="M585" s="73"/>
      <c r="N585" s="72"/>
      <c r="O585" s="73"/>
      <c r="P585" s="72"/>
      <c r="Q585" s="73"/>
      <c r="R585" s="72"/>
      <c r="S585" s="73"/>
      <c r="T585" s="72"/>
      <c r="U585" s="73"/>
      <c r="V585" s="72"/>
      <c r="W585" s="73"/>
      <c r="X585" s="72"/>
      <c r="Y585" s="73"/>
      <c r="Z585" s="74" t="b">
        <v>0</v>
      </c>
      <c r="AA585" s="130">
        <f t="shared" si="229"/>
        <v>0</v>
      </c>
      <c r="AB585" s="131">
        <f t="shared" si="230"/>
        <v>0</v>
      </c>
      <c r="AC585" s="132">
        <f t="shared" si="231"/>
        <v>0</v>
      </c>
      <c r="AD585" s="133">
        <f t="shared" si="232"/>
        <v>0</v>
      </c>
      <c r="AE585" s="131">
        <f t="shared" si="233"/>
        <v>0</v>
      </c>
      <c r="AF585" s="133">
        <f t="shared" si="234"/>
        <v>0</v>
      </c>
      <c r="AG585" s="1"/>
    </row>
    <row r="586" ht="21.0" customHeight="1">
      <c r="A586" s="1"/>
      <c r="B586" s="48" t="s">
        <v>47</v>
      </c>
      <c r="C586" s="49"/>
      <c r="D586" s="91">
        <f t="array" ref="D586">iferror(vlookup(xlookup(B575,'현황'!O:O,'현황'!O:O,,-1,-1),'현황'!O:S,4,false),0)</f>
        <v>0</v>
      </c>
      <c r="E586" s="41"/>
      <c r="F586" s="92" t="s">
        <v>40</v>
      </c>
      <c r="G586" s="79"/>
      <c r="H586" s="93"/>
      <c r="I586" s="94"/>
      <c r="J586" s="95"/>
      <c r="K586" s="96"/>
      <c r="L586" s="95"/>
      <c r="M586" s="96"/>
      <c r="N586" s="95"/>
      <c r="O586" s="96"/>
      <c r="P586" s="95"/>
      <c r="Q586" s="96"/>
      <c r="R586" s="95"/>
      <c r="S586" s="96"/>
      <c r="T586" s="95"/>
      <c r="U586" s="96"/>
      <c r="V586" s="95"/>
      <c r="W586" s="96"/>
      <c r="X586" s="95"/>
      <c r="Y586" s="96"/>
      <c r="Z586" s="97" t="b">
        <v>0</v>
      </c>
      <c r="AA586" s="135">
        <f t="shared" si="229"/>
        <v>0</v>
      </c>
      <c r="AB586" s="136">
        <f t="shared" si="230"/>
        <v>0</v>
      </c>
      <c r="AC586" s="137">
        <f t="shared" si="231"/>
        <v>0</v>
      </c>
      <c r="AD586" s="138">
        <f t="shared" si="232"/>
        <v>0</v>
      </c>
      <c r="AE586" s="136">
        <f t="shared" si="233"/>
        <v>0</v>
      </c>
      <c r="AF586" s="138">
        <f t="shared" si="234"/>
        <v>0</v>
      </c>
      <c r="AG586" s="1"/>
    </row>
    <row r="587" ht="21.0" customHeight="1">
      <c r="A587" s="1"/>
      <c r="B587" s="102" t="s">
        <v>48</v>
      </c>
      <c r="C587" s="103"/>
      <c r="D587" s="104">
        <f>iferror(D586/D584,0)</f>
        <v>0</v>
      </c>
      <c r="E587" s="102" t="s">
        <v>49</v>
      </c>
      <c r="F587" s="103"/>
      <c r="G587" s="105"/>
      <c r="H587" s="106" t="s">
        <v>50</v>
      </c>
      <c r="I587" s="107"/>
      <c r="J587" s="11"/>
      <c r="K587" s="11"/>
      <c r="L587" s="11"/>
      <c r="M587" s="11"/>
      <c r="N587" s="11"/>
      <c r="O587" s="11"/>
      <c r="P587" s="108" t="s">
        <v>51</v>
      </c>
      <c r="Q587" s="12"/>
      <c r="R587" s="109"/>
      <c r="S587" s="11"/>
      <c r="T587" s="11"/>
      <c r="U587" s="11"/>
      <c r="V587" s="11"/>
      <c r="W587" s="11"/>
      <c r="X587" s="11"/>
      <c r="Y587" s="11"/>
      <c r="Z587" s="12"/>
      <c r="AA587" s="139">
        <f>SUM(AA578:AA586)</f>
        <v>0</v>
      </c>
      <c r="AB587" s="140" t="s">
        <v>175</v>
      </c>
      <c r="AG587" s="1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1"/>
      <c r="AA588" s="1"/>
      <c r="AB588" s="1"/>
      <c r="AC588" s="3"/>
      <c r="AD588" s="1"/>
      <c r="AE588" s="1"/>
      <c r="AF588" s="1"/>
      <c r="AG588" s="1"/>
    </row>
    <row r="589" ht="21.0" customHeight="1">
      <c r="A589" s="1"/>
      <c r="B589" s="4" t="s">
        <v>1</v>
      </c>
      <c r="C589" s="5"/>
      <c r="D589" s="6" t="s">
        <v>2</v>
      </c>
      <c r="E589" s="7"/>
      <c r="F589" s="7"/>
      <c r="G589" s="5"/>
      <c r="H589" s="8" t="s">
        <v>3</v>
      </c>
      <c r="I589" s="8" t="s">
        <v>4</v>
      </c>
      <c r="J589" s="9" t="s">
        <v>5</v>
      </c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5"/>
      <c r="AA589" s="117" t="s">
        <v>6</v>
      </c>
      <c r="AB589" s="11"/>
      <c r="AC589" s="11"/>
      <c r="AD589" s="11"/>
      <c r="AE589" s="11"/>
      <c r="AF589" s="12"/>
      <c r="AG589" s="1"/>
    </row>
    <row r="590" ht="21.0" customHeight="1">
      <c r="A590" s="1"/>
      <c r="B590" s="149" t="s">
        <v>138</v>
      </c>
      <c r="C590" s="14" t="str">
        <f>if(B590="0/0","",choose(weekday(B590),"(일)","(월)","(화)","(수)","(목)","(금)","(토)"))</f>
        <v/>
      </c>
      <c r="D590" s="15" t="s">
        <v>7</v>
      </c>
      <c r="E590" s="16" t="s">
        <v>8</v>
      </c>
      <c r="F590" s="17"/>
      <c r="G590" s="18" t="s">
        <v>9</v>
      </c>
      <c r="H590" s="150" t="s">
        <v>139</v>
      </c>
      <c r="I590" s="151"/>
      <c r="J590" s="21" t="s">
        <v>12</v>
      </c>
      <c r="K590" s="22"/>
      <c r="L590" s="21" t="s">
        <v>13</v>
      </c>
      <c r="M590" s="22"/>
      <c r="N590" s="21" t="s">
        <v>14</v>
      </c>
      <c r="O590" s="22"/>
      <c r="P590" s="21" t="s">
        <v>15</v>
      </c>
      <c r="Q590" s="22"/>
      <c r="R590" s="23" t="s">
        <v>16</v>
      </c>
      <c r="S590" s="22"/>
      <c r="T590" s="23" t="s">
        <v>17</v>
      </c>
      <c r="U590" s="22"/>
      <c r="V590" s="23" t="s">
        <v>18</v>
      </c>
      <c r="W590" s="22"/>
      <c r="X590" s="23" t="s">
        <v>19</v>
      </c>
      <c r="Y590" s="22"/>
      <c r="Z590" s="24" t="s">
        <v>176</v>
      </c>
      <c r="AA590" s="118" t="s">
        <v>21</v>
      </c>
      <c r="AB590" s="119" t="s">
        <v>22</v>
      </c>
      <c r="AC590" s="7"/>
      <c r="AD590" s="22"/>
      <c r="AE590" s="120" t="s">
        <v>23</v>
      </c>
      <c r="AF590" s="22"/>
      <c r="AG590" s="1"/>
    </row>
    <row r="591" ht="21.0" customHeight="1">
      <c r="A591" s="1"/>
      <c r="B591" s="27">
        <f>iferror(B590-'현황'!$C$4+1,0)</f>
        <v>0</v>
      </c>
      <c r="C591" s="28"/>
      <c r="D591" s="29">
        <v>0.0</v>
      </c>
      <c r="E591" s="30">
        <v>0.0</v>
      </c>
      <c r="F591" s="31"/>
      <c r="G591" s="32">
        <v>0.0</v>
      </c>
      <c r="H591" s="33">
        <v>0.0</v>
      </c>
      <c r="I591" s="34"/>
      <c r="J591" s="35"/>
      <c r="K591" s="36"/>
      <c r="L591" s="35"/>
      <c r="M591" s="36"/>
      <c r="N591" s="35"/>
      <c r="O591" s="36"/>
      <c r="P591" s="35"/>
      <c r="Q591" s="36"/>
      <c r="R591" s="35"/>
      <c r="S591" s="36"/>
      <c r="T591" s="35"/>
      <c r="U591" s="36"/>
      <c r="V591" s="35"/>
      <c r="W591" s="36"/>
      <c r="X591" s="35"/>
      <c r="Y591" s="36"/>
      <c r="Z591" s="37"/>
      <c r="AA591" s="37"/>
      <c r="AB591" s="35"/>
      <c r="AC591" s="38"/>
      <c r="AD591" s="36"/>
      <c r="AE591" s="35"/>
      <c r="AF591" s="36"/>
      <c r="AG591" s="1"/>
    </row>
    <row r="592" ht="21.0" customHeight="1">
      <c r="A592" s="1"/>
      <c r="B592" s="39" t="s">
        <v>24</v>
      </c>
      <c r="C592" s="40"/>
      <c r="D592" s="41"/>
      <c r="E592" s="42" t="s">
        <v>25</v>
      </c>
      <c r="F592" s="40"/>
      <c r="G592" s="41"/>
      <c r="H592" s="43" t="s">
        <v>26</v>
      </c>
      <c r="J592" s="44" t="s">
        <v>27</v>
      </c>
      <c r="K592" s="45" t="s">
        <v>28</v>
      </c>
      <c r="L592" s="44" t="s">
        <v>27</v>
      </c>
      <c r="M592" s="45" t="s">
        <v>28</v>
      </c>
      <c r="N592" s="44" t="s">
        <v>27</v>
      </c>
      <c r="O592" s="45" t="s">
        <v>28</v>
      </c>
      <c r="P592" s="44" t="s">
        <v>27</v>
      </c>
      <c r="Q592" s="45" t="s">
        <v>28</v>
      </c>
      <c r="R592" s="44" t="s">
        <v>27</v>
      </c>
      <c r="S592" s="45" t="s">
        <v>28</v>
      </c>
      <c r="T592" s="44" t="s">
        <v>27</v>
      </c>
      <c r="U592" s="45" t="s">
        <v>28</v>
      </c>
      <c r="V592" s="44" t="s">
        <v>27</v>
      </c>
      <c r="W592" s="45" t="s">
        <v>28</v>
      </c>
      <c r="X592" s="44" t="s">
        <v>27</v>
      </c>
      <c r="Y592" s="45" t="s">
        <v>28</v>
      </c>
      <c r="Z592" s="46"/>
      <c r="AA592" s="46"/>
      <c r="AB592" s="121" t="s">
        <v>29</v>
      </c>
      <c r="AC592" s="122" t="s">
        <v>30</v>
      </c>
      <c r="AD592" s="123" t="s">
        <v>31</v>
      </c>
      <c r="AE592" s="121" t="s">
        <v>27</v>
      </c>
      <c r="AF592" s="123" t="s">
        <v>28</v>
      </c>
      <c r="AG592" s="1"/>
    </row>
    <row r="593" ht="21.0" customHeight="1">
      <c r="A593" s="1"/>
      <c r="B593" s="48" t="s">
        <v>32</v>
      </c>
      <c r="C593" s="49"/>
      <c r="D593" s="50"/>
      <c r="E593" s="51" t="s">
        <v>33</v>
      </c>
      <c r="F593" s="52" t="s">
        <v>34</v>
      </c>
      <c r="G593" s="53"/>
      <c r="H593" s="148"/>
      <c r="I593" s="55"/>
      <c r="J593" s="58"/>
      <c r="K593" s="59"/>
      <c r="L593" s="58"/>
      <c r="M593" s="59"/>
      <c r="N593" s="58"/>
      <c r="O593" s="59"/>
      <c r="P593" s="58"/>
      <c r="Q593" s="59"/>
      <c r="R593" s="58"/>
      <c r="S593" s="59"/>
      <c r="T593" s="58"/>
      <c r="U593" s="59"/>
      <c r="V593" s="58"/>
      <c r="W593" s="59"/>
      <c r="X593" s="58"/>
      <c r="Y593" s="59"/>
      <c r="Z593" s="60" t="b">
        <v>0</v>
      </c>
      <c r="AA593" s="125">
        <f t="shared" ref="AA593:AA601" si="235">(J593*K593+L593*M593+N593*O593+P593*Q593+R593*S593+T593*U593+V593*W593+X593*Y593)*if(Z593=true,0.453592,1)</f>
        <v>0</v>
      </c>
      <c r="AB593" s="126">
        <f t="shared" ref="AB593:AB601" si="236">SUM(AE593*AF593*0.025,AE593)</f>
        <v>0</v>
      </c>
      <c r="AC593" s="127">
        <f t="shared" ref="AC593:AC601" si="237">AB593*87%</f>
        <v>0</v>
      </c>
      <c r="AD593" s="128">
        <f t="shared" ref="AD593:AD601" si="238">AB593*67%</f>
        <v>0</v>
      </c>
      <c r="AE593" s="126">
        <f t="shared" ref="AE593:AE601" si="239">MAX(J593,L593,N593,P593,R593,T593,V593,X593)*if(Z593=true,0.453592,1)</f>
        <v>0</v>
      </c>
      <c r="AF593" s="128">
        <f t="shared" ref="AF593:AF601" si="240">MAX(IF(J593*if(Z593=true,0.453592,1)=$AE593,K593,0),IF(L593*if(Z593=true,0.453592,1)=$AE593,M593,0),IF(N593*if(Z593=true,0.453592,1)=$AE593,O593,0),IF(P593*if(Z593=true,0.453592,1)=$AE593,Q593,0),IF(R593*if(Z593=true,0.453592,1)=$AE593,S593,0),IF(T593*if(Z593=true,0.453592,1)=$AE593,U593,0),IF(V593*if(Z593=true,0.453592,1)=$AE593,W593,0),IF(X593*if(Z593=true,0.453592,1)=$AE593,Y593,0))</f>
        <v>0</v>
      </c>
      <c r="AG593" s="1"/>
    </row>
    <row r="594" ht="21.0" customHeight="1">
      <c r="A594" s="1"/>
      <c r="B594" s="48" t="s">
        <v>36</v>
      </c>
      <c r="C594" s="49"/>
      <c r="D594" s="65"/>
      <c r="E594" s="66"/>
      <c r="F594" s="52" t="s">
        <v>37</v>
      </c>
      <c r="G594" s="67"/>
      <c r="H594" s="129"/>
      <c r="I594" s="69"/>
      <c r="J594" s="72"/>
      <c r="K594" s="73"/>
      <c r="L594" s="72"/>
      <c r="M594" s="73"/>
      <c r="N594" s="72"/>
      <c r="O594" s="73"/>
      <c r="P594" s="72"/>
      <c r="Q594" s="73"/>
      <c r="R594" s="72"/>
      <c r="S594" s="73"/>
      <c r="T594" s="72"/>
      <c r="U594" s="73"/>
      <c r="V594" s="72"/>
      <c r="W594" s="73"/>
      <c r="X594" s="72"/>
      <c r="Y594" s="73"/>
      <c r="Z594" s="74" t="b">
        <v>0</v>
      </c>
      <c r="AA594" s="130">
        <f t="shared" si="235"/>
        <v>0</v>
      </c>
      <c r="AB594" s="131">
        <f t="shared" si="236"/>
        <v>0</v>
      </c>
      <c r="AC594" s="132">
        <f t="shared" si="237"/>
        <v>0</v>
      </c>
      <c r="AD594" s="133">
        <f t="shared" si="238"/>
        <v>0</v>
      </c>
      <c r="AE594" s="131">
        <f t="shared" si="239"/>
        <v>0</v>
      </c>
      <c r="AF594" s="133">
        <f t="shared" si="240"/>
        <v>0</v>
      </c>
      <c r="AG594" s="1"/>
    </row>
    <row r="595" ht="21.0" customHeight="1">
      <c r="A595" s="1"/>
      <c r="B595" s="48" t="s">
        <v>39</v>
      </c>
      <c r="C595" s="49"/>
      <c r="D595" s="65"/>
      <c r="E595" s="41"/>
      <c r="F595" s="52" t="s">
        <v>40</v>
      </c>
      <c r="G595" s="79"/>
      <c r="H595" s="80"/>
      <c r="I595" s="69"/>
      <c r="J595" s="72"/>
      <c r="K595" s="73"/>
      <c r="L595" s="72"/>
      <c r="M595" s="73"/>
      <c r="N595" s="72"/>
      <c r="O595" s="73"/>
      <c r="P595" s="72"/>
      <c r="Q595" s="73"/>
      <c r="R595" s="72"/>
      <c r="S595" s="73"/>
      <c r="T595" s="72"/>
      <c r="U595" s="73"/>
      <c r="V595" s="72"/>
      <c r="W595" s="73"/>
      <c r="X595" s="72"/>
      <c r="Y595" s="73"/>
      <c r="Z595" s="74" t="b">
        <v>0</v>
      </c>
      <c r="AA595" s="130">
        <f t="shared" si="235"/>
        <v>0</v>
      </c>
      <c r="AB595" s="131">
        <f t="shared" si="236"/>
        <v>0</v>
      </c>
      <c r="AC595" s="132">
        <f t="shared" si="237"/>
        <v>0</v>
      </c>
      <c r="AD595" s="133">
        <f t="shared" si="238"/>
        <v>0</v>
      </c>
      <c r="AE595" s="131">
        <f t="shared" si="239"/>
        <v>0</v>
      </c>
      <c r="AF595" s="133">
        <f t="shared" si="240"/>
        <v>0</v>
      </c>
      <c r="AG595" s="1"/>
    </row>
    <row r="596" ht="21.0" customHeight="1">
      <c r="A596" s="1"/>
      <c r="B596" s="48" t="s">
        <v>41</v>
      </c>
      <c r="C596" s="81"/>
      <c r="D596" s="82" t="b">
        <v>0</v>
      </c>
      <c r="E596" s="51" t="s">
        <v>42</v>
      </c>
      <c r="F596" s="52" t="s">
        <v>34</v>
      </c>
      <c r="G596" s="83"/>
      <c r="H596" s="84"/>
      <c r="I596" s="85"/>
      <c r="J596" s="72"/>
      <c r="K596" s="73"/>
      <c r="L596" s="72"/>
      <c r="M596" s="73"/>
      <c r="N596" s="72"/>
      <c r="O596" s="73"/>
      <c r="P596" s="72"/>
      <c r="Q596" s="73"/>
      <c r="R596" s="72"/>
      <c r="S596" s="73"/>
      <c r="T596" s="72"/>
      <c r="U596" s="73"/>
      <c r="V596" s="72"/>
      <c r="W596" s="73"/>
      <c r="X596" s="72"/>
      <c r="Y596" s="73"/>
      <c r="Z596" s="74" t="b">
        <v>0</v>
      </c>
      <c r="AA596" s="130">
        <f t="shared" si="235"/>
        <v>0</v>
      </c>
      <c r="AB596" s="131">
        <f t="shared" si="236"/>
        <v>0</v>
      </c>
      <c r="AC596" s="132">
        <f t="shared" si="237"/>
        <v>0</v>
      </c>
      <c r="AD596" s="133">
        <f t="shared" si="238"/>
        <v>0</v>
      </c>
      <c r="AE596" s="131">
        <f t="shared" si="239"/>
        <v>0</v>
      </c>
      <c r="AF596" s="133">
        <f t="shared" si="240"/>
        <v>0</v>
      </c>
      <c r="AG596" s="1"/>
    </row>
    <row r="597" ht="21.0" customHeight="1">
      <c r="A597" s="1"/>
      <c r="B597" s="48" t="s">
        <v>43</v>
      </c>
      <c r="C597" s="49"/>
      <c r="D597" s="86" t="b">
        <v>0</v>
      </c>
      <c r="E597" s="66"/>
      <c r="F597" s="52" t="s">
        <v>37</v>
      </c>
      <c r="G597" s="67"/>
      <c r="H597" s="80"/>
      <c r="I597" s="69"/>
      <c r="J597" s="72"/>
      <c r="K597" s="73"/>
      <c r="L597" s="72"/>
      <c r="M597" s="73"/>
      <c r="N597" s="72"/>
      <c r="O597" s="73"/>
      <c r="P597" s="72"/>
      <c r="Q597" s="73"/>
      <c r="R597" s="72"/>
      <c r="S597" s="73"/>
      <c r="T597" s="72"/>
      <c r="U597" s="73"/>
      <c r="V597" s="72"/>
      <c r="W597" s="73"/>
      <c r="X597" s="72"/>
      <c r="Y597" s="73"/>
      <c r="Z597" s="74" t="b">
        <v>0</v>
      </c>
      <c r="AA597" s="130">
        <f t="shared" si="235"/>
        <v>0</v>
      </c>
      <c r="AB597" s="131">
        <f t="shared" si="236"/>
        <v>0</v>
      </c>
      <c r="AC597" s="132">
        <f t="shared" si="237"/>
        <v>0</v>
      </c>
      <c r="AD597" s="133">
        <f t="shared" si="238"/>
        <v>0</v>
      </c>
      <c r="AE597" s="131">
        <f t="shared" si="239"/>
        <v>0</v>
      </c>
      <c r="AF597" s="133">
        <f t="shared" si="240"/>
        <v>0</v>
      </c>
      <c r="AG597" s="1"/>
    </row>
    <row r="598" ht="21.0" customHeight="1">
      <c r="A598" s="1"/>
      <c r="B598" s="87" t="str">
        <f t="array" ref="B598">"📌최근 인바디 결과 : "&amp;text(xlookup(B590,'현황'!O:O,'현황'!O:O,,-1,-1),"m/d(ddd)")</f>
        <v>#REF!</v>
      </c>
      <c r="C598" s="88"/>
      <c r="D598" s="49"/>
      <c r="E598" s="41"/>
      <c r="F598" s="52" t="s">
        <v>40</v>
      </c>
      <c r="G598" s="79"/>
      <c r="H598" s="80"/>
      <c r="I598" s="69"/>
      <c r="J598" s="72"/>
      <c r="K598" s="73"/>
      <c r="L598" s="72"/>
      <c r="M598" s="73"/>
      <c r="N598" s="72"/>
      <c r="O598" s="73"/>
      <c r="P598" s="72"/>
      <c r="Q598" s="73"/>
      <c r="R598" s="72"/>
      <c r="S598" s="73"/>
      <c r="T598" s="72"/>
      <c r="U598" s="73"/>
      <c r="V598" s="72"/>
      <c r="W598" s="73"/>
      <c r="X598" s="72"/>
      <c r="Y598" s="73"/>
      <c r="Z598" s="74" t="b">
        <v>0</v>
      </c>
      <c r="AA598" s="130">
        <f t="shared" si="235"/>
        <v>0</v>
      </c>
      <c r="AB598" s="131">
        <f t="shared" si="236"/>
        <v>0</v>
      </c>
      <c r="AC598" s="132">
        <f t="shared" si="237"/>
        <v>0</v>
      </c>
      <c r="AD598" s="133">
        <f t="shared" si="238"/>
        <v>0</v>
      </c>
      <c r="AE598" s="131">
        <f t="shared" si="239"/>
        <v>0</v>
      </c>
      <c r="AF598" s="133">
        <f t="shared" si="240"/>
        <v>0</v>
      </c>
      <c r="AG598" s="1"/>
    </row>
    <row r="599" ht="21.0" customHeight="1">
      <c r="A599" s="1"/>
      <c r="B599" s="89" t="s">
        <v>44</v>
      </c>
      <c r="C599" s="49"/>
      <c r="D599" s="90">
        <f t="array" ref="D599">iferror(vlookup(xlookup(B590,'현황'!O:O,'현황'!O:O,,-1,-1),'현황'!O:S,2,false),0)</f>
        <v>0</v>
      </c>
      <c r="E599" s="51" t="s">
        <v>45</v>
      </c>
      <c r="F599" s="52" t="s">
        <v>34</v>
      </c>
      <c r="G599" s="83"/>
      <c r="H599" s="84"/>
      <c r="I599" s="85"/>
      <c r="J599" s="72"/>
      <c r="K599" s="73"/>
      <c r="L599" s="72"/>
      <c r="M599" s="73"/>
      <c r="N599" s="72"/>
      <c r="O599" s="73"/>
      <c r="P599" s="72"/>
      <c r="Q599" s="73"/>
      <c r="R599" s="72"/>
      <c r="S599" s="73"/>
      <c r="T599" s="72"/>
      <c r="U599" s="73"/>
      <c r="V599" s="72"/>
      <c r="W599" s="73"/>
      <c r="X599" s="72"/>
      <c r="Y599" s="73"/>
      <c r="Z599" s="74" t="b">
        <v>0</v>
      </c>
      <c r="AA599" s="130">
        <f t="shared" si="235"/>
        <v>0</v>
      </c>
      <c r="AB599" s="131">
        <f t="shared" si="236"/>
        <v>0</v>
      </c>
      <c r="AC599" s="132">
        <f t="shared" si="237"/>
        <v>0</v>
      </c>
      <c r="AD599" s="133">
        <f t="shared" si="238"/>
        <v>0</v>
      </c>
      <c r="AE599" s="131">
        <f t="shared" si="239"/>
        <v>0</v>
      </c>
      <c r="AF599" s="133">
        <f t="shared" si="240"/>
        <v>0</v>
      </c>
      <c r="AG599" s="1"/>
    </row>
    <row r="600" ht="21.0" customHeight="1">
      <c r="A600" s="1"/>
      <c r="B600" s="48" t="s">
        <v>46</v>
      </c>
      <c r="C600" s="49"/>
      <c r="D600" s="91">
        <f t="array" ref="D600">iferror(vlookup(xlookup(B590,'현황'!O:O,'현황'!O:O,,-1,-1),'현황'!O:S,3,false),0)</f>
        <v>0</v>
      </c>
      <c r="E600" s="66"/>
      <c r="F600" s="52" t="s">
        <v>37</v>
      </c>
      <c r="G600" s="67"/>
      <c r="H600" s="80"/>
      <c r="I600" s="69"/>
      <c r="J600" s="72"/>
      <c r="K600" s="73"/>
      <c r="L600" s="72"/>
      <c r="M600" s="73"/>
      <c r="N600" s="72"/>
      <c r="O600" s="73"/>
      <c r="P600" s="72"/>
      <c r="Q600" s="73"/>
      <c r="R600" s="72"/>
      <c r="S600" s="73"/>
      <c r="T600" s="72"/>
      <c r="U600" s="73"/>
      <c r="V600" s="72"/>
      <c r="W600" s="73"/>
      <c r="X600" s="72"/>
      <c r="Y600" s="73"/>
      <c r="Z600" s="74" t="b">
        <v>0</v>
      </c>
      <c r="AA600" s="130">
        <f t="shared" si="235"/>
        <v>0</v>
      </c>
      <c r="AB600" s="131">
        <f t="shared" si="236"/>
        <v>0</v>
      </c>
      <c r="AC600" s="132">
        <f t="shared" si="237"/>
        <v>0</v>
      </c>
      <c r="AD600" s="133">
        <f t="shared" si="238"/>
        <v>0</v>
      </c>
      <c r="AE600" s="131">
        <f t="shared" si="239"/>
        <v>0</v>
      </c>
      <c r="AF600" s="133">
        <f t="shared" si="240"/>
        <v>0</v>
      </c>
      <c r="AG600" s="1"/>
    </row>
    <row r="601" ht="21.0" customHeight="1">
      <c r="A601" s="1"/>
      <c r="B601" s="48" t="s">
        <v>47</v>
      </c>
      <c r="C601" s="49"/>
      <c r="D601" s="91">
        <f t="array" ref="D601">iferror(vlookup(xlookup(B590,'현황'!O:O,'현황'!O:O,,-1,-1),'현황'!O:S,4,false),0)</f>
        <v>0</v>
      </c>
      <c r="E601" s="41"/>
      <c r="F601" s="92" t="s">
        <v>40</v>
      </c>
      <c r="G601" s="79"/>
      <c r="H601" s="93"/>
      <c r="I601" s="94"/>
      <c r="J601" s="95"/>
      <c r="K601" s="96"/>
      <c r="L601" s="95"/>
      <c r="M601" s="96"/>
      <c r="N601" s="95"/>
      <c r="O601" s="96"/>
      <c r="P601" s="95"/>
      <c r="Q601" s="96"/>
      <c r="R601" s="95"/>
      <c r="S601" s="96"/>
      <c r="T601" s="95"/>
      <c r="U601" s="96"/>
      <c r="V601" s="95"/>
      <c r="W601" s="96"/>
      <c r="X601" s="95"/>
      <c r="Y601" s="96"/>
      <c r="Z601" s="97" t="b">
        <v>0</v>
      </c>
      <c r="AA601" s="135">
        <f t="shared" si="235"/>
        <v>0</v>
      </c>
      <c r="AB601" s="136">
        <f t="shared" si="236"/>
        <v>0</v>
      </c>
      <c r="AC601" s="137">
        <f t="shared" si="237"/>
        <v>0</v>
      </c>
      <c r="AD601" s="138">
        <f t="shared" si="238"/>
        <v>0</v>
      </c>
      <c r="AE601" s="136">
        <f t="shared" si="239"/>
        <v>0</v>
      </c>
      <c r="AF601" s="138">
        <f t="shared" si="240"/>
        <v>0</v>
      </c>
      <c r="AG601" s="1"/>
    </row>
    <row r="602" ht="21.0" customHeight="1">
      <c r="A602" s="1"/>
      <c r="B602" s="102" t="s">
        <v>48</v>
      </c>
      <c r="C602" s="103"/>
      <c r="D602" s="104">
        <f>iferror(D601/D599,0)</f>
        <v>0</v>
      </c>
      <c r="E602" s="102" t="s">
        <v>49</v>
      </c>
      <c r="F602" s="103"/>
      <c r="G602" s="105"/>
      <c r="H602" s="143" t="s">
        <v>50</v>
      </c>
      <c r="I602" s="144"/>
      <c r="J602" s="11"/>
      <c r="K602" s="11"/>
      <c r="L602" s="11"/>
      <c r="M602" s="11"/>
      <c r="N602" s="11"/>
      <c r="O602" s="11"/>
      <c r="P602" s="145" t="s">
        <v>51</v>
      </c>
      <c r="Q602" s="12"/>
      <c r="R602" s="146"/>
      <c r="S602" s="11"/>
      <c r="T602" s="11"/>
      <c r="U602" s="11"/>
      <c r="V602" s="11"/>
      <c r="W602" s="11"/>
      <c r="X602" s="11"/>
      <c r="Y602" s="11"/>
      <c r="Z602" s="12"/>
      <c r="AA602" s="139">
        <f>SUM(AA593:AA601)</f>
        <v>0</v>
      </c>
      <c r="AB602" s="140" t="s">
        <v>177</v>
      </c>
      <c r="AG602" s="1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1"/>
      <c r="AA603" s="1"/>
      <c r="AB603" s="1"/>
      <c r="AC603" s="3"/>
      <c r="AD603" s="1"/>
      <c r="AE603" s="1"/>
      <c r="AF603" s="1"/>
      <c r="AG603" s="1"/>
    </row>
    <row r="604" ht="21.0" customHeight="1">
      <c r="A604" s="1"/>
      <c r="B604" s="4" t="s">
        <v>1</v>
      </c>
      <c r="C604" s="5"/>
      <c r="D604" s="6" t="s">
        <v>2</v>
      </c>
      <c r="E604" s="7"/>
      <c r="F604" s="7"/>
      <c r="G604" s="5"/>
      <c r="H604" s="8" t="s">
        <v>3</v>
      </c>
      <c r="I604" s="8" t="s">
        <v>4</v>
      </c>
      <c r="J604" s="9" t="s">
        <v>5</v>
      </c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5"/>
      <c r="AA604" s="117" t="s">
        <v>6</v>
      </c>
      <c r="AB604" s="11"/>
      <c r="AC604" s="11"/>
      <c r="AD604" s="11"/>
      <c r="AE604" s="11"/>
      <c r="AF604" s="12"/>
      <c r="AG604" s="1"/>
    </row>
    <row r="605" ht="21.0" customHeight="1">
      <c r="A605" s="1"/>
      <c r="B605" s="149" t="s">
        <v>138</v>
      </c>
      <c r="C605" s="14" t="str">
        <f>if(B605="0/0","",choose(weekday(B605),"(일)","(월)","(화)","(수)","(목)","(금)","(토)"))</f>
        <v/>
      </c>
      <c r="D605" s="15" t="s">
        <v>7</v>
      </c>
      <c r="E605" s="16" t="s">
        <v>8</v>
      </c>
      <c r="F605" s="17"/>
      <c r="G605" s="18" t="s">
        <v>9</v>
      </c>
      <c r="H605" s="150" t="s">
        <v>139</v>
      </c>
      <c r="I605" s="151"/>
      <c r="J605" s="21" t="s">
        <v>12</v>
      </c>
      <c r="K605" s="22"/>
      <c r="L605" s="21" t="s">
        <v>13</v>
      </c>
      <c r="M605" s="22"/>
      <c r="N605" s="21" t="s">
        <v>14</v>
      </c>
      <c r="O605" s="22"/>
      <c r="P605" s="21" t="s">
        <v>15</v>
      </c>
      <c r="Q605" s="22"/>
      <c r="R605" s="23" t="s">
        <v>16</v>
      </c>
      <c r="S605" s="22"/>
      <c r="T605" s="23" t="s">
        <v>17</v>
      </c>
      <c r="U605" s="22"/>
      <c r="V605" s="23" t="s">
        <v>18</v>
      </c>
      <c r="W605" s="22"/>
      <c r="X605" s="23" t="s">
        <v>19</v>
      </c>
      <c r="Y605" s="22"/>
      <c r="Z605" s="24" t="s">
        <v>178</v>
      </c>
      <c r="AA605" s="118" t="s">
        <v>21</v>
      </c>
      <c r="AB605" s="119" t="s">
        <v>22</v>
      </c>
      <c r="AC605" s="7"/>
      <c r="AD605" s="22"/>
      <c r="AE605" s="120" t="s">
        <v>23</v>
      </c>
      <c r="AF605" s="22"/>
      <c r="AG605" s="1"/>
    </row>
    <row r="606" ht="21.0" customHeight="1">
      <c r="A606" s="1"/>
      <c r="B606" s="27">
        <f>iferror(B605-'현황'!$C$4+1,0)</f>
        <v>0</v>
      </c>
      <c r="C606" s="28"/>
      <c r="D606" s="29">
        <v>0.0</v>
      </c>
      <c r="E606" s="30">
        <v>0.0</v>
      </c>
      <c r="F606" s="31"/>
      <c r="G606" s="32">
        <v>0.0</v>
      </c>
      <c r="H606" s="33">
        <v>0.0</v>
      </c>
      <c r="I606" s="34"/>
      <c r="J606" s="35"/>
      <c r="K606" s="36"/>
      <c r="L606" s="35"/>
      <c r="M606" s="36"/>
      <c r="N606" s="35"/>
      <c r="O606" s="36"/>
      <c r="P606" s="35"/>
      <c r="Q606" s="36"/>
      <c r="R606" s="35"/>
      <c r="S606" s="36"/>
      <c r="T606" s="35"/>
      <c r="U606" s="36"/>
      <c r="V606" s="35"/>
      <c r="W606" s="36"/>
      <c r="X606" s="35"/>
      <c r="Y606" s="36"/>
      <c r="Z606" s="37"/>
      <c r="AA606" s="37"/>
      <c r="AB606" s="35"/>
      <c r="AC606" s="38"/>
      <c r="AD606" s="36"/>
      <c r="AE606" s="35"/>
      <c r="AF606" s="36"/>
      <c r="AG606" s="1"/>
    </row>
    <row r="607" ht="21.0" customHeight="1">
      <c r="A607" s="1"/>
      <c r="B607" s="39" t="s">
        <v>24</v>
      </c>
      <c r="C607" s="40"/>
      <c r="D607" s="41"/>
      <c r="E607" s="42" t="s">
        <v>25</v>
      </c>
      <c r="F607" s="40"/>
      <c r="G607" s="41"/>
      <c r="H607" s="43" t="s">
        <v>26</v>
      </c>
      <c r="J607" s="44" t="s">
        <v>27</v>
      </c>
      <c r="K607" s="45" t="s">
        <v>28</v>
      </c>
      <c r="L607" s="44" t="s">
        <v>27</v>
      </c>
      <c r="M607" s="45" t="s">
        <v>28</v>
      </c>
      <c r="N607" s="44" t="s">
        <v>27</v>
      </c>
      <c r="O607" s="45" t="s">
        <v>28</v>
      </c>
      <c r="P607" s="44" t="s">
        <v>27</v>
      </c>
      <c r="Q607" s="45" t="s">
        <v>28</v>
      </c>
      <c r="R607" s="44" t="s">
        <v>27</v>
      </c>
      <c r="S607" s="45" t="s">
        <v>28</v>
      </c>
      <c r="T607" s="44" t="s">
        <v>27</v>
      </c>
      <c r="U607" s="45" t="s">
        <v>28</v>
      </c>
      <c r="V607" s="44" t="s">
        <v>27</v>
      </c>
      <c r="W607" s="45" t="s">
        <v>28</v>
      </c>
      <c r="X607" s="44" t="s">
        <v>27</v>
      </c>
      <c r="Y607" s="45" t="s">
        <v>28</v>
      </c>
      <c r="Z607" s="46"/>
      <c r="AA607" s="46"/>
      <c r="AB607" s="121" t="s">
        <v>29</v>
      </c>
      <c r="AC607" s="122" t="s">
        <v>30</v>
      </c>
      <c r="AD607" s="123" t="s">
        <v>31</v>
      </c>
      <c r="AE607" s="121" t="s">
        <v>27</v>
      </c>
      <c r="AF607" s="123" t="s">
        <v>28</v>
      </c>
      <c r="AG607" s="1"/>
    </row>
    <row r="608" ht="21.0" customHeight="1">
      <c r="A608" s="1"/>
      <c r="B608" s="48" t="s">
        <v>32</v>
      </c>
      <c r="C608" s="49"/>
      <c r="D608" s="50"/>
      <c r="E608" s="51" t="s">
        <v>33</v>
      </c>
      <c r="F608" s="52" t="s">
        <v>34</v>
      </c>
      <c r="G608" s="53"/>
      <c r="H608" s="148"/>
      <c r="I608" s="55"/>
      <c r="J608" s="58"/>
      <c r="K608" s="59"/>
      <c r="L608" s="58"/>
      <c r="M608" s="59"/>
      <c r="N608" s="58"/>
      <c r="O608" s="59"/>
      <c r="P608" s="58"/>
      <c r="Q608" s="59"/>
      <c r="R608" s="58"/>
      <c r="S608" s="59"/>
      <c r="T608" s="58"/>
      <c r="U608" s="59"/>
      <c r="V608" s="58"/>
      <c r="W608" s="59"/>
      <c r="X608" s="58"/>
      <c r="Y608" s="59"/>
      <c r="Z608" s="60" t="b">
        <v>0</v>
      </c>
      <c r="AA608" s="125">
        <f t="shared" ref="AA608:AA616" si="241">(J608*K608+L608*M608+N608*O608+P608*Q608+R608*S608+T608*U608+V608*W608+X608*Y608)*if(Z608=true,0.453592,1)</f>
        <v>0</v>
      </c>
      <c r="AB608" s="126">
        <f t="shared" ref="AB608:AB616" si="242">SUM(AE608*AF608*0.025,AE608)</f>
        <v>0</v>
      </c>
      <c r="AC608" s="127">
        <f t="shared" ref="AC608:AC616" si="243">AB608*87%</f>
        <v>0</v>
      </c>
      <c r="AD608" s="128">
        <f t="shared" ref="AD608:AD616" si="244">AB608*67%</f>
        <v>0</v>
      </c>
      <c r="AE608" s="126">
        <f t="shared" ref="AE608:AE616" si="245">MAX(J608,L608,N608,P608,R608,T608,V608,X608)*if(Z608=true,0.453592,1)</f>
        <v>0</v>
      </c>
      <c r="AF608" s="128">
        <f t="shared" ref="AF608:AF616" si="246">MAX(IF(J608*if(Z608=true,0.453592,1)=$AE608,K608,0),IF(L608*if(Z608=true,0.453592,1)=$AE608,M608,0),IF(N608*if(Z608=true,0.453592,1)=$AE608,O608,0),IF(P608*if(Z608=true,0.453592,1)=$AE608,Q608,0),IF(R608*if(Z608=true,0.453592,1)=$AE608,S608,0),IF(T608*if(Z608=true,0.453592,1)=$AE608,U608,0),IF(V608*if(Z608=true,0.453592,1)=$AE608,W608,0),IF(X608*if(Z608=true,0.453592,1)=$AE608,Y608,0))</f>
        <v>0</v>
      </c>
      <c r="AG608" s="1"/>
    </row>
    <row r="609" ht="21.0" customHeight="1">
      <c r="A609" s="1"/>
      <c r="B609" s="48" t="s">
        <v>36</v>
      </c>
      <c r="C609" s="49"/>
      <c r="D609" s="65"/>
      <c r="E609" s="66"/>
      <c r="F609" s="52" t="s">
        <v>37</v>
      </c>
      <c r="G609" s="67"/>
      <c r="H609" s="129"/>
      <c r="I609" s="69"/>
      <c r="J609" s="72"/>
      <c r="K609" s="73"/>
      <c r="L609" s="72"/>
      <c r="M609" s="73"/>
      <c r="N609" s="72"/>
      <c r="O609" s="73"/>
      <c r="P609" s="72"/>
      <c r="Q609" s="73"/>
      <c r="R609" s="72"/>
      <c r="S609" s="73"/>
      <c r="T609" s="72"/>
      <c r="U609" s="73"/>
      <c r="V609" s="72"/>
      <c r="W609" s="73"/>
      <c r="X609" s="72"/>
      <c r="Y609" s="73"/>
      <c r="Z609" s="74" t="b">
        <v>0</v>
      </c>
      <c r="AA609" s="130">
        <f t="shared" si="241"/>
        <v>0</v>
      </c>
      <c r="AB609" s="131">
        <f t="shared" si="242"/>
        <v>0</v>
      </c>
      <c r="AC609" s="132">
        <f t="shared" si="243"/>
        <v>0</v>
      </c>
      <c r="AD609" s="133">
        <f t="shared" si="244"/>
        <v>0</v>
      </c>
      <c r="AE609" s="131">
        <f t="shared" si="245"/>
        <v>0</v>
      </c>
      <c r="AF609" s="133">
        <f t="shared" si="246"/>
        <v>0</v>
      </c>
      <c r="AG609" s="1"/>
    </row>
    <row r="610" ht="21.0" customHeight="1">
      <c r="A610" s="1"/>
      <c r="B610" s="48" t="s">
        <v>39</v>
      </c>
      <c r="C610" s="49"/>
      <c r="D610" s="65"/>
      <c r="E610" s="41"/>
      <c r="F610" s="52" t="s">
        <v>40</v>
      </c>
      <c r="G610" s="79"/>
      <c r="H610" s="80"/>
      <c r="I610" s="69"/>
      <c r="J610" s="72"/>
      <c r="K610" s="73"/>
      <c r="L610" s="72"/>
      <c r="M610" s="73"/>
      <c r="N610" s="72"/>
      <c r="O610" s="73"/>
      <c r="P610" s="72"/>
      <c r="Q610" s="73"/>
      <c r="R610" s="72"/>
      <c r="S610" s="73"/>
      <c r="T610" s="72"/>
      <c r="U610" s="73"/>
      <c r="V610" s="72"/>
      <c r="W610" s="73"/>
      <c r="X610" s="72"/>
      <c r="Y610" s="73"/>
      <c r="Z610" s="74" t="b">
        <v>0</v>
      </c>
      <c r="AA610" s="130">
        <f t="shared" si="241"/>
        <v>0</v>
      </c>
      <c r="AB610" s="131">
        <f t="shared" si="242"/>
        <v>0</v>
      </c>
      <c r="AC610" s="132">
        <f t="shared" si="243"/>
        <v>0</v>
      </c>
      <c r="AD610" s="133">
        <f t="shared" si="244"/>
        <v>0</v>
      </c>
      <c r="AE610" s="131">
        <f t="shared" si="245"/>
        <v>0</v>
      </c>
      <c r="AF610" s="133">
        <f t="shared" si="246"/>
        <v>0</v>
      </c>
      <c r="AG610" s="1"/>
    </row>
    <row r="611" ht="21.0" customHeight="1">
      <c r="A611" s="1"/>
      <c r="B611" s="48" t="s">
        <v>41</v>
      </c>
      <c r="C611" s="81"/>
      <c r="D611" s="82" t="b">
        <v>0</v>
      </c>
      <c r="E611" s="51" t="s">
        <v>42</v>
      </c>
      <c r="F611" s="52" t="s">
        <v>34</v>
      </c>
      <c r="G611" s="83"/>
      <c r="H611" s="84"/>
      <c r="I611" s="85"/>
      <c r="J611" s="72"/>
      <c r="K611" s="73"/>
      <c r="L611" s="72"/>
      <c r="M611" s="73"/>
      <c r="N611" s="72"/>
      <c r="O611" s="73"/>
      <c r="P611" s="72"/>
      <c r="Q611" s="73"/>
      <c r="R611" s="72"/>
      <c r="S611" s="73"/>
      <c r="T611" s="72"/>
      <c r="U611" s="73"/>
      <c r="V611" s="72"/>
      <c r="W611" s="73"/>
      <c r="X611" s="72"/>
      <c r="Y611" s="73"/>
      <c r="Z611" s="74" t="b">
        <v>0</v>
      </c>
      <c r="AA611" s="130">
        <f t="shared" si="241"/>
        <v>0</v>
      </c>
      <c r="AB611" s="131">
        <f t="shared" si="242"/>
        <v>0</v>
      </c>
      <c r="AC611" s="132">
        <f t="shared" si="243"/>
        <v>0</v>
      </c>
      <c r="AD611" s="133">
        <f t="shared" si="244"/>
        <v>0</v>
      </c>
      <c r="AE611" s="131">
        <f t="shared" si="245"/>
        <v>0</v>
      </c>
      <c r="AF611" s="133">
        <f t="shared" si="246"/>
        <v>0</v>
      </c>
      <c r="AG611" s="1"/>
    </row>
    <row r="612" ht="21.0" customHeight="1">
      <c r="A612" s="1"/>
      <c r="B612" s="48" t="s">
        <v>43</v>
      </c>
      <c r="C612" s="49"/>
      <c r="D612" s="86" t="b">
        <v>0</v>
      </c>
      <c r="E612" s="66"/>
      <c r="F612" s="52" t="s">
        <v>37</v>
      </c>
      <c r="G612" s="67"/>
      <c r="H612" s="80"/>
      <c r="I612" s="69"/>
      <c r="J612" s="72"/>
      <c r="K612" s="73"/>
      <c r="L612" s="72"/>
      <c r="M612" s="73"/>
      <c r="N612" s="72"/>
      <c r="O612" s="73"/>
      <c r="P612" s="72"/>
      <c r="Q612" s="73"/>
      <c r="R612" s="72"/>
      <c r="S612" s="73"/>
      <c r="T612" s="72"/>
      <c r="U612" s="73"/>
      <c r="V612" s="72"/>
      <c r="W612" s="73"/>
      <c r="X612" s="72"/>
      <c r="Y612" s="73"/>
      <c r="Z612" s="74" t="b">
        <v>0</v>
      </c>
      <c r="AA612" s="130">
        <f t="shared" si="241"/>
        <v>0</v>
      </c>
      <c r="AB612" s="131">
        <f t="shared" si="242"/>
        <v>0</v>
      </c>
      <c r="AC612" s="132">
        <f t="shared" si="243"/>
        <v>0</v>
      </c>
      <c r="AD612" s="133">
        <f t="shared" si="244"/>
        <v>0</v>
      </c>
      <c r="AE612" s="131">
        <f t="shared" si="245"/>
        <v>0</v>
      </c>
      <c r="AF612" s="133">
        <f t="shared" si="246"/>
        <v>0</v>
      </c>
      <c r="AG612" s="1"/>
    </row>
    <row r="613" ht="21.0" customHeight="1">
      <c r="A613" s="1"/>
      <c r="B613" s="87" t="str">
        <f t="array" ref="B613">"📌최근 인바디 결과 : "&amp;text(xlookup(B605,'현황'!O:O,'현황'!O:O,,-1,-1),"m/d(ddd)")</f>
        <v>#REF!</v>
      </c>
      <c r="C613" s="88"/>
      <c r="D613" s="49"/>
      <c r="E613" s="41"/>
      <c r="F613" s="52" t="s">
        <v>40</v>
      </c>
      <c r="G613" s="79"/>
      <c r="H613" s="80"/>
      <c r="I613" s="69"/>
      <c r="J613" s="72"/>
      <c r="K613" s="73"/>
      <c r="L613" s="72"/>
      <c r="M613" s="73"/>
      <c r="N613" s="72"/>
      <c r="O613" s="73"/>
      <c r="P613" s="72"/>
      <c r="Q613" s="73"/>
      <c r="R613" s="72"/>
      <c r="S613" s="73"/>
      <c r="T613" s="72"/>
      <c r="U613" s="73"/>
      <c r="V613" s="72"/>
      <c r="W613" s="73"/>
      <c r="X613" s="72"/>
      <c r="Y613" s="73"/>
      <c r="Z613" s="74" t="b">
        <v>0</v>
      </c>
      <c r="AA613" s="130">
        <f t="shared" si="241"/>
        <v>0</v>
      </c>
      <c r="AB613" s="131">
        <f t="shared" si="242"/>
        <v>0</v>
      </c>
      <c r="AC613" s="132">
        <f t="shared" si="243"/>
        <v>0</v>
      </c>
      <c r="AD613" s="133">
        <f t="shared" si="244"/>
        <v>0</v>
      </c>
      <c r="AE613" s="131">
        <f t="shared" si="245"/>
        <v>0</v>
      </c>
      <c r="AF613" s="133">
        <f t="shared" si="246"/>
        <v>0</v>
      </c>
      <c r="AG613" s="1"/>
    </row>
    <row r="614" ht="21.0" customHeight="1">
      <c r="A614" s="1"/>
      <c r="B614" s="89" t="s">
        <v>44</v>
      </c>
      <c r="C614" s="49"/>
      <c r="D614" s="90">
        <f t="array" ref="D614">iferror(vlookup(xlookup(B605,'현황'!O:O,'현황'!O:O,,-1,-1),'현황'!O:S,2,false),0)</f>
        <v>0</v>
      </c>
      <c r="E614" s="51" t="s">
        <v>45</v>
      </c>
      <c r="F614" s="52" t="s">
        <v>34</v>
      </c>
      <c r="G614" s="83"/>
      <c r="H614" s="84"/>
      <c r="I614" s="85"/>
      <c r="J614" s="72"/>
      <c r="K614" s="73"/>
      <c r="L614" s="72"/>
      <c r="M614" s="73"/>
      <c r="N614" s="72"/>
      <c r="O614" s="73"/>
      <c r="P614" s="72"/>
      <c r="Q614" s="73"/>
      <c r="R614" s="72"/>
      <c r="S614" s="73"/>
      <c r="T614" s="72"/>
      <c r="U614" s="73"/>
      <c r="V614" s="72"/>
      <c r="W614" s="73"/>
      <c r="X614" s="72"/>
      <c r="Y614" s="73"/>
      <c r="Z614" s="74" t="b">
        <v>0</v>
      </c>
      <c r="AA614" s="130">
        <f t="shared" si="241"/>
        <v>0</v>
      </c>
      <c r="AB614" s="131">
        <f t="shared" si="242"/>
        <v>0</v>
      </c>
      <c r="AC614" s="132">
        <f t="shared" si="243"/>
        <v>0</v>
      </c>
      <c r="AD614" s="133">
        <f t="shared" si="244"/>
        <v>0</v>
      </c>
      <c r="AE614" s="131">
        <f t="shared" si="245"/>
        <v>0</v>
      </c>
      <c r="AF614" s="133">
        <f t="shared" si="246"/>
        <v>0</v>
      </c>
      <c r="AG614" s="1"/>
    </row>
    <row r="615" ht="21.0" customHeight="1">
      <c r="A615" s="1"/>
      <c r="B615" s="48" t="s">
        <v>46</v>
      </c>
      <c r="C615" s="49"/>
      <c r="D615" s="91">
        <f t="array" ref="D615">iferror(vlookup(xlookup(B605,'현황'!O:O,'현황'!O:O,,-1,-1),'현황'!O:S,3,false),0)</f>
        <v>0</v>
      </c>
      <c r="E615" s="66"/>
      <c r="F615" s="52" t="s">
        <v>37</v>
      </c>
      <c r="G615" s="67"/>
      <c r="H615" s="80"/>
      <c r="I615" s="69"/>
      <c r="J615" s="72"/>
      <c r="K615" s="73"/>
      <c r="L615" s="72"/>
      <c r="M615" s="73"/>
      <c r="N615" s="72"/>
      <c r="O615" s="73"/>
      <c r="P615" s="72"/>
      <c r="Q615" s="73"/>
      <c r="R615" s="72"/>
      <c r="S615" s="73"/>
      <c r="T615" s="72"/>
      <c r="U615" s="73"/>
      <c r="V615" s="72"/>
      <c r="W615" s="73"/>
      <c r="X615" s="72"/>
      <c r="Y615" s="73"/>
      <c r="Z615" s="74" t="b">
        <v>0</v>
      </c>
      <c r="AA615" s="130">
        <f t="shared" si="241"/>
        <v>0</v>
      </c>
      <c r="AB615" s="131">
        <f t="shared" si="242"/>
        <v>0</v>
      </c>
      <c r="AC615" s="132">
        <f t="shared" si="243"/>
        <v>0</v>
      </c>
      <c r="AD615" s="133">
        <f t="shared" si="244"/>
        <v>0</v>
      </c>
      <c r="AE615" s="131">
        <f t="shared" si="245"/>
        <v>0</v>
      </c>
      <c r="AF615" s="133">
        <f t="shared" si="246"/>
        <v>0</v>
      </c>
      <c r="AG615" s="1"/>
    </row>
    <row r="616" ht="21.0" customHeight="1">
      <c r="A616" s="1"/>
      <c r="B616" s="48" t="s">
        <v>47</v>
      </c>
      <c r="C616" s="49"/>
      <c r="D616" s="91">
        <f t="array" ref="D616">iferror(vlookup(xlookup(B605,'현황'!O:O,'현황'!O:O,,-1,-1),'현황'!O:S,4,false),0)</f>
        <v>0</v>
      </c>
      <c r="E616" s="41"/>
      <c r="F616" s="92" t="s">
        <v>40</v>
      </c>
      <c r="G616" s="79"/>
      <c r="H616" s="93"/>
      <c r="I616" s="94"/>
      <c r="J616" s="95"/>
      <c r="K616" s="96"/>
      <c r="L616" s="95"/>
      <c r="M616" s="96"/>
      <c r="N616" s="95"/>
      <c r="O616" s="96"/>
      <c r="P616" s="95"/>
      <c r="Q616" s="96"/>
      <c r="R616" s="95"/>
      <c r="S616" s="96"/>
      <c r="T616" s="95"/>
      <c r="U616" s="96"/>
      <c r="V616" s="95"/>
      <c r="W616" s="96"/>
      <c r="X616" s="95"/>
      <c r="Y616" s="96"/>
      <c r="Z616" s="97" t="b">
        <v>0</v>
      </c>
      <c r="AA616" s="135">
        <f t="shared" si="241"/>
        <v>0</v>
      </c>
      <c r="AB616" s="136">
        <f t="shared" si="242"/>
        <v>0</v>
      </c>
      <c r="AC616" s="137">
        <f t="shared" si="243"/>
        <v>0</v>
      </c>
      <c r="AD616" s="138">
        <f t="shared" si="244"/>
        <v>0</v>
      </c>
      <c r="AE616" s="136">
        <f t="shared" si="245"/>
        <v>0</v>
      </c>
      <c r="AF616" s="138">
        <f t="shared" si="246"/>
        <v>0</v>
      </c>
      <c r="AG616" s="1"/>
    </row>
    <row r="617" ht="21.0" customHeight="1">
      <c r="A617" s="1"/>
      <c r="B617" s="102" t="s">
        <v>48</v>
      </c>
      <c r="C617" s="103"/>
      <c r="D617" s="104">
        <f>iferror(D616/D614,0)</f>
        <v>0</v>
      </c>
      <c r="E617" s="102" t="s">
        <v>49</v>
      </c>
      <c r="F617" s="103"/>
      <c r="G617" s="105"/>
      <c r="H617" s="106" t="s">
        <v>50</v>
      </c>
      <c r="I617" s="107"/>
      <c r="J617" s="11"/>
      <c r="K617" s="11"/>
      <c r="L617" s="11"/>
      <c r="M617" s="11"/>
      <c r="N617" s="11"/>
      <c r="O617" s="11"/>
      <c r="P617" s="108" t="s">
        <v>51</v>
      </c>
      <c r="Q617" s="12"/>
      <c r="R617" s="109"/>
      <c r="S617" s="11"/>
      <c r="T617" s="11"/>
      <c r="U617" s="11"/>
      <c r="V617" s="11"/>
      <c r="W617" s="11"/>
      <c r="X617" s="11"/>
      <c r="Y617" s="11"/>
      <c r="Z617" s="12"/>
      <c r="AA617" s="139">
        <f>SUM(AA608:AA616)</f>
        <v>0</v>
      </c>
      <c r="AB617" s="140" t="s">
        <v>179</v>
      </c>
      <c r="AG617" s="1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1"/>
      <c r="AA618" s="1"/>
      <c r="AB618" s="1"/>
      <c r="AC618" s="3"/>
      <c r="AD618" s="1"/>
      <c r="AE618" s="1"/>
      <c r="AF618" s="1"/>
      <c r="AG618" s="1"/>
    </row>
    <row r="619" ht="21.0" customHeight="1">
      <c r="A619" s="1"/>
      <c r="B619" s="4" t="s">
        <v>1</v>
      </c>
      <c r="C619" s="5"/>
      <c r="D619" s="6" t="s">
        <v>2</v>
      </c>
      <c r="E619" s="7"/>
      <c r="F619" s="7"/>
      <c r="G619" s="5"/>
      <c r="H619" s="8" t="s">
        <v>3</v>
      </c>
      <c r="I619" s="8" t="s">
        <v>4</v>
      </c>
      <c r="J619" s="9" t="s">
        <v>5</v>
      </c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5"/>
      <c r="AA619" s="117" t="s">
        <v>6</v>
      </c>
      <c r="AB619" s="11"/>
      <c r="AC619" s="11"/>
      <c r="AD619" s="11"/>
      <c r="AE619" s="11"/>
      <c r="AF619" s="12"/>
      <c r="AG619" s="1"/>
    </row>
    <row r="620" ht="21.0" customHeight="1">
      <c r="A620" s="1"/>
      <c r="B620" s="149" t="s">
        <v>138</v>
      </c>
      <c r="C620" s="14" t="str">
        <f>if(B620="0/0","",choose(weekday(B620),"(일)","(월)","(화)","(수)","(목)","(금)","(토)"))</f>
        <v/>
      </c>
      <c r="D620" s="15" t="s">
        <v>7</v>
      </c>
      <c r="E620" s="16" t="s">
        <v>8</v>
      </c>
      <c r="F620" s="17"/>
      <c r="G620" s="18" t="s">
        <v>9</v>
      </c>
      <c r="H620" s="150" t="s">
        <v>139</v>
      </c>
      <c r="I620" s="151"/>
      <c r="J620" s="21" t="s">
        <v>12</v>
      </c>
      <c r="K620" s="22"/>
      <c r="L620" s="21" t="s">
        <v>13</v>
      </c>
      <c r="M620" s="22"/>
      <c r="N620" s="21" t="s">
        <v>14</v>
      </c>
      <c r="O620" s="22"/>
      <c r="P620" s="21" t="s">
        <v>15</v>
      </c>
      <c r="Q620" s="22"/>
      <c r="R620" s="23" t="s">
        <v>16</v>
      </c>
      <c r="S620" s="22"/>
      <c r="T620" s="23" t="s">
        <v>17</v>
      </c>
      <c r="U620" s="22"/>
      <c r="V620" s="23" t="s">
        <v>18</v>
      </c>
      <c r="W620" s="22"/>
      <c r="X620" s="23" t="s">
        <v>19</v>
      </c>
      <c r="Y620" s="22"/>
      <c r="Z620" s="24" t="s">
        <v>180</v>
      </c>
      <c r="AA620" s="118" t="s">
        <v>21</v>
      </c>
      <c r="AB620" s="119" t="s">
        <v>22</v>
      </c>
      <c r="AC620" s="7"/>
      <c r="AD620" s="22"/>
      <c r="AE620" s="120" t="s">
        <v>23</v>
      </c>
      <c r="AF620" s="22"/>
      <c r="AG620" s="1"/>
    </row>
    <row r="621" ht="21.0" customHeight="1">
      <c r="A621" s="1"/>
      <c r="B621" s="27">
        <f>iferror(B620-'현황'!$C$4+1,0)</f>
        <v>0</v>
      </c>
      <c r="C621" s="28"/>
      <c r="D621" s="29">
        <v>0.0</v>
      </c>
      <c r="E621" s="30">
        <v>0.0</v>
      </c>
      <c r="F621" s="31"/>
      <c r="G621" s="32">
        <v>0.0</v>
      </c>
      <c r="H621" s="33">
        <v>0.0</v>
      </c>
      <c r="I621" s="34"/>
      <c r="J621" s="35"/>
      <c r="K621" s="36"/>
      <c r="L621" s="35"/>
      <c r="M621" s="36"/>
      <c r="N621" s="35"/>
      <c r="O621" s="36"/>
      <c r="P621" s="35"/>
      <c r="Q621" s="36"/>
      <c r="R621" s="35"/>
      <c r="S621" s="36"/>
      <c r="T621" s="35"/>
      <c r="U621" s="36"/>
      <c r="V621" s="35"/>
      <c r="W621" s="36"/>
      <c r="X621" s="35"/>
      <c r="Y621" s="36"/>
      <c r="Z621" s="37"/>
      <c r="AA621" s="37"/>
      <c r="AB621" s="35"/>
      <c r="AC621" s="38"/>
      <c r="AD621" s="36"/>
      <c r="AE621" s="35"/>
      <c r="AF621" s="36"/>
      <c r="AG621" s="1"/>
    </row>
    <row r="622" ht="21.0" customHeight="1">
      <c r="A622" s="1"/>
      <c r="B622" s="39" t="s">
        <v>24</v>
      </c>
      <c r="C622" s="40"/>
      <c r="D622" s="41"/>
      <c r="E622" s="42" t="s">
        <v>25</v>
      </c>
      <c r="F622" s="40"/>
      <c r="G622" s="41"/>
      <c r="H622" s="43" t="s">
        <v>26</v>
      </c>
      <c r="J622" s="44" t="s">
        <v>27</v>
      </c>
      <c r="K622" s="45" t="s">
        <v>28</v>
      </c>
      <c r="L622" s="44" t="s">
        <v>27</v>
      </c>
      <c r="M622" s="45" t="s">
        <v>28</v>
      </c>
      <c r="N622" s="44" t="s">
        <v>27</v>
      </c>
      <c r="O622" s="45" t="s">
        <v>28</v>
      </c>
      <c r="P622" s="44" t="s">
        <v>27</v>
      </c>
      <c r="Q622" s="45" t="s">
        <v>28</v>
      </c>
      <c r="R622" s="44" t="s">
        <v>27</v>
      </c>
      <c r="S622" s="45" t="s">
        <v>28</v>
      </c>
      <c r="T622" s="44" t="s">
        <v>27</v>
      </c>
      <c r="U622" s="45" t="s">
        <v>28</v>
      </c>
      <c r="V622" s="44" t="s">
        <v>27</v>
      </c>
      <c r="W622" s="45" t="s">
        <v>28</v>
      </c>
      <c r="X622" s="44" t="s">
        <v>27</v>
      </c>
      <c r="Y622" s="45" t="s">
        <v>28</v>
      </c>
      <c r="Z622" s="46"/>
      <c r="AA622" s="46"/>
      <c r="AB622" s="121" t="s">
        <v>29</v>
      </c>
      <c r="AC622" s="122" t="s">
        <v>30</v>
      </c>
      <c r="AD622" s="123" t="s">
        <v>31</v>
      </c>
      <c r="AE622" s="121" t="s">
        <v>27</v>
      </c>
      <c r="AF622" s="123" t="s">
        <v>28</v>
      </c>
      <c r="AG622" s="1"/>
    </row>
    <row r="623" ht="21.0" customHeight="1">
      <c r="A623" s="1"/>
      <c r="B623" s="48" t="s">
        <v>32</v>
      </c>
      <c r="C623" s="49"/>
      <c r="D623" s="50"/>
      <c r="E623" s="51" t="s">
        <v>33</v>
      </c>
      <c r="F623" s="52" t="s">
        <v>34</v>
      </c>
      <c r="G623" s="53"/>
      <c r="H623" s="148"/>
      <c r="I623" s="55"/>
      <c r="J623" s="58"/>
      <c r="K623" s="59"/>
      <c r="L623" s="58"/>
      <c r="M623" s="59"/>
      <c r="N623" s="58"/>
      <c r="O623" s="59"/>
      <c r="P623" s="58"/>
      <c r="Q623" s="59"/>
      <c r="R623" s="58"/>
      <c r="S623" s="59"/>
      <c r="T623" s="58"/>
      <c r="U623" s="59"/>
      <c r="V623" s="58"/>
      <c r="W623" s="59"/>
      <c r="X623" s="58"/>
      <c r="Y623" s="59"/>
      <c r="Z623" s="60" t="b">
        <v>0</v>
      </c>
      <c r="AA623" s="125">
        <f t="shared" ref="AA623:AA631" si="247">(J623*K623+L623*M623+N623*O623+P623*Q623+R623*S623+T623*U623+V623*W623+X623*Y623)*if(Z623=true,0.453592,1)</f>
        <v>0</v>
      </c>
      <c r="AB623" s="126">
        <f t="shared" ref="AB623:AB631" si="248">SUM(AE623*AF623*0.025,AE623)</f>
        <v>0</v>
      </c>
      <c r="AC623" s="127">
        <f t="shared" ref="AC623:AC631" si="249">AB623*87%</f>
        <v>0</v>
      </c>
      <c r="AD623" s="128">
        <f t="shared" ref="AD623:AD631" si="250">AB623*67%</f>
        <v>0</v>
      </c>
      <c r="AE623" s="126">
        <f t="shared" ref="AE623:AE631" si="251">MAX(J623,L623,N623,P623,R623,T623,V623,X623)*if(Z623=true,0.453592,1)</f>
        <v>0</v>
      </c>
      <c r="AF623" s="128">
        <f t="shared" ref="AF623:AF631" si="252">MAX(IF(J623*if(Z623=true,0.453592,1)=$AE623,K623,0),IF(L623*if(Z623=true,0.453592,1)=$AE623,M623,0),IF(N623*if(Z623=true,0.453592,1)=$AE623,O623,0),IF(P623*if(Z623=true,0.453592,1)=$AE623,Q623,0),IF(R623*if(Z623=true,0.453592,1)=$AE623,S623,0),IF(T623*if(Z623=true,0.453592,1)=$AE623,U623,0),IF(V623*if(Z623=true,0.453592,1)=$AE623,W623,0),IF(X623*if(Z623=true,0.453592,1)=$AE623,Y623,0))</f>
        <v>0</v>
      </c>
      <c r="AG623" s="1"/>
    </row>
    <row r="624" ht="21.0" customHeight="1">
      <c r="A624" s="1"/>
      <c r="B624" s="48" t="s">
        <v>36</v>
      </c>
      <c r="C624" s="49"/>
      <c r="D624" s="65"/>
      <c r="E624" s="66"/>
      <c r="F624" s="52" t="s">
        <v>37</v>
      </c>
      <c r="G624" s="67"/>
      <c r="H624" s="129"/>
      <c r="I624" s="69"/>
      <c r="J624" s="72"/>
      <c r="K624" s="73"/>
      <c r="L624" s="72"/>
      <c r="M624" s="73"/>
      <c r="N624" s="72"/>
      <c r="O624" s="73"/>
      <c r="P624" s="72"/>
      <c r="Q624" s="73"/>
      <c r="R624" s="72"/>
      <c r="S624" s="73"/>
      <c r="T624" s="72"/>
      <c r="U624" s="73"/>
      <c r="V624" s="72"/>
      <c r="W624" s="73"/>
      <c r="X624" s="72"/>
      <c r="Y624" s="73"/>
      <c r="Z624" s="74" t="b">
        <v>0</v>
      </c>
      <c r="AA624" s="130">
        <f t="shared" si="247"/>
        <v>0</v>
      </c>
      <c r="AB624" s="131">
        <f t="shared" si="248"/>
        <v>0</v>
      </c>
      <c r="AC624" s="132">
        <f t="shared" si="249"/>
        <v>0</v>
      </c>
      <c r="AD624" s="133">
        <f t="shared" si="250"/>
        <v>0</v>
      </c>
      <c r="AE624" s="131">
        <f t="shared" si="251"/>
        <v>0</v>
      </c>
      <c r="AF624" s="133">
        <f t="shared" si="252"/>
        <v>0</v>
      </c>
      <c r="AG624" s="1"/>
    </row>
    <row r="625" ht="21.0" customHeight="1">
      <c r="A625" s="1"/>
      <c r="B625" s="48" t="s">
        <v>39</v>
      </c>
      <c r="C625" s="49"/>
      <c r="D625" s="65"/>
      <c r="E625" s="41"/>
      <c r="F625" s="52" t="s">
        <v>40</v>
      </c>
      <c r="G625" s="79"/>
      <c r="H625" s="80"/>
      <c r="I625" s="69"/>
      <c r="J625" s="72"/>
      <c r="K625" s="73"/>
      <c r="L625" s="72"/>
      <c r="M625" s="73"/>
      <c r="N625" s="72"/>
      <c r="O625" s="73"/>
      <c r="P625" s="72"/>
      <c r="Q625" s="73"/>
      <c r="R625" s="72"/>
      <c r="S625" s="73"/>
      <c r="T625" s="72"/>
      <c r="U625" s="73"/>
      <c r="V625" s="72"/>
      <c r="W625" s="73"/>
      <c r="X625" s="72"/>
      <c r="Y625" s="73"/>
      <c r="Z625" s="74" t="b">
        <v>0</v>
      </c>
      <c r="AA625" s="130">
        <f t="shared" si="247"/>
        <v>0</v>
      </c>
      <c r="AB625" s="131">
        <f t="shared" si="248"/>
        <v>0</v>
      </c>
      <c r="AC625" s="132">
        <f t="shared" si="249"/>
        <v>0</v>
      </c>
      <c r="AD625" s="133">
        <f t="shared" si="250"/>
        <v>0</v>
      </c>
      <c r="AE625" s="131">
        <f t="shared" si="251"/>
        <v>0</v>
      </c>
      <c r="AF625" s="133">
        <f t="shared" si="252"/>
        <v>0</v>
      </c>
      <c r="AG625" s="1"/>
    </row>
    <row r="626" ht="21.0" customHeight="1">
      <c r="A626" s="1"/>
      <c r="B626" s="48" t="s">
        <v>41</v>
      </c>
      <c r="C626" s="81"/>
      <c r="D626" s="82" t="b">
        <v>0</v>
      </c>
      <c r="E626" s="51" t="s">
        <v>42</v>
      </c>
      <c r="F626" s="52" t="s">
        <v>34</v>
      </c>
      <c r="G626" s="83"/>
      <c r="H626" s="84"/>
      <c r="I626" s="85"/>
      <c r="J626" s="72"/>
      <c r="K626" s="73"/>
      <c r="L626" s="72"/>
      <c r="M626" s="73"/>
      <c r="N626" s="72"/>
      <c r="O626" s="73"/>
      <c r="P626" s="72"/>
      <c r="Q626" s="73"/>
      <c r="R626" s="72"/>
      <c r="S626" s="73"/>
      <c r="T626" s="72"/>
      <c r="U626" s="73"/>
      <c r="V626" s="72"/>
      <c r="W626" s="73"/>
      <c r="X626" s="72"/>
      <c r="Y626" s="73"/>
      <c r="Z626" s="74" t="b">
        <v>0</v>
      </c>
      <c r="AA626" s="130">
        <f t="shared" si="247"/>
        <v>0</v>
      </c>
      <c r="AB626" s="131">
        <f t="shared" si="248"/>
        <v>0</v>
      </c>
      <c r="AC626" s="132">
        <f t="shared" si="249"/>
        <v>0</v>
      </c>
      <c r="AD626" s="133">
        <f t="shared" si="250"/>
        <v>0</v>
      </c>
      <c r="AE626" s="131">
        <f t="shared" si="251"/>
        <v>0</v>
      </c>
      <c r="AF626" s="133">
        <f t="shared" si="252"/>
        <v>0</v>
      </c>
      <c r="AG626" s="1"/>
    </row>
    <row r="627" ht="21.0" customHeight="1">
      <c r="A627" s="1"/>
      <c r="B627" s="48" t="s">
        <v>43</v>
      </c>
      <c r="C627" s="49"/>
      <c r="D627" s="86" t="b">
        <v>0</v>
      </c>
      <c r="E627" s="66"/>
      <c r="F627" s="52" t="s">
        <v>37</v>
      </c>
      <c r="G627" s="67"/>
      <c r="H627" s="80"/>
      <c r="I627" s="69"/>
      <c r="J627" s="72"/>
      <c r="K627" s="73"/>
      <c r="L627" s="72"/>
      <c r="M627" s="73"/>
      <c r="N627" s="72"/>
      <c r="O627" s="73"/>
      <c r="P627" s="72"/>
      <c r="Q627" s="73"/>
      <c r="R627" s="72"/>
      <c r="S627" s="73"/>
      <c r="T627" s="72"/>
      <c r="U627" s="73"/>
      <c r="V627" s="72"/>
      <c r="W627" s="73"/>
      <c r="X627" s="72"/>
      <c r="Y627" s="73"/>
      <c r="Z627" s="74" t="b">
        <v>0</v>
      </c>
      <c r="AA627" s="130">
        <f t="shared" si="247"/>
        <v>0</v>
      </c>
      <c r="AB627" s="131">
        <f t="shared" si="248"/>
        <v>0</v>
      </c>
      <c r="AC627" s="132">
        <f t="shared" si="249"/>
        <v>0</v>
      </c>
      <c r="AD627" s="133">
        <f t="shared" si="250"/>
        <v>0</v>
      </c>
      <c r="AE627" s="131">
        <f t="shared" si="251"/>
        <v>0</v>
      </c>
      <c r="AF627" s="133">
        <f t="shared" si="252"/>
        <v>0</v>
      </c>
      <c r="AG627" s="1"/>
    </row>
    <row r="628" ht="21.0" customHeight="1">
      <c r="A628" s="1"/>
      <c r="B628" s="87" t="str">
        <f t="array" ref="B628">"📌최근 인바디 결과 : "&amp;text(xlookup(B620,'현황'!O:O,'현황'!O:O,,-1,-1),"m/d(ddd)")</f>
        <v>#REF!</v>
      </c>
      <c r="C628" s="88"/>
      <c r="D628" s="49"/>
      <c r="E628" s="41"/>
      <c r="F628" s="52" t="s">
        <v>40</v>
      </c>
      <c r="G628" s="79"/>
      <c r="H628" s="80"/>
      <c r="I628" s="69"/>
      <c r="J628" s="72"/>
      <c r="K628" s="73"/>
      <c r="L628" s="72"/>
      <c r="M628" s="73"/>
      <c r="N628" s="72"/>
      <c r="O628" s="73"/>
      <c r="P628" s="72"/>
      <c r="Q628" s="73"/>
      <c r="R628" s="72"/>
      <c r="S628" s="73"/>
      <c r="T628" s="72"/>
      <c r="U628" s="73"/>
      <c r="V628" s="72"/>
      <c r="W628" s="73"/>
      <c r="X628" s="72"/>
      <c r="Y628" s="73"/>
      <c r="Z628" s="74" t="b">
        <v>0</v>
      </c>
      <c r="AA628" s="130">
        <f t="shared" si="247"/>
        <v>0</v>
      </c>
      <c r="AB628" s="131">
        <f t="shared" si="248"/>
        <v>0</v>
      </c>
      <c r="AC628" s="132">
        <f t="shared" si="249"/>
        <v>0</v>
      </c>
      <c r="AD628" s="133">
        <f t="shared" si="250"/>
        <v>0</v>
      </c>
      <c r="AE628" s="131">
        <f t="shared" si="251"/>
        <v>0</v>
      </c>
      <c r="AF628" s="133">
        <f t="shared" si="252"/>
        <v>0</v>
      </c>
      <c r="AG628" s="1"/>
    </row>
    <row r="629" ht="21.0" customHeight="1">
      <c r="A629" s="1"/>
      <c r="B629" s="89" t="s">
        <v>44</v>
      </c>
      <c r="C629" s="49"/>
      <c r="D629" s="90">
        <f t="array" ref="D629">iferror(vlookup(xlookup(B620,'현황'!O:O,'현황'!O:O,,-1,-1),'현황'!O:S,2,false),0)</f>
        <v>0</v>
      </c>
      <c r="E629" s="51" t="s">
        <v>45</v>
      </c>
      <c r="F629" s="52" t="s">
        <v>34</v>
      </c>
      <c r="G629" s="83"/>
      <c r="H629" s="84"/>
      <c r="I629" s="85"/>
      <c r="J629" s="72"/>
      <c r="K629" s="73"/>
      <c r="L629" s="72"/>
      <c r="M629" s="73"/>
      <c r="N629" s="72"/>
      <c r="O629" s="73"/>
      <c r="P629" s="72"/>
      <c r="Q629" s="73"/>
      <c r="R629" s="72"/>
      <c r="S629" s="73"/>
      <c r="T629" s="72"/>
      <c r="U629" s="73"/>
      <c r="V629" s="72"/>
      <c r="W629" s="73"/>
      <c r="X629" s="72"/>
      <c r="Y629" s="73"/>
      <c r="Z629" s="74" t="b">
        <v>0</v>
      </c>
      <c r="AA629" s="130">
        <f t="shared" si="247"/>
        <v>0</v>
      </c>
      <c r="AB629" s="131">
        <f t="shared" si="248"/>
        <v>0</v>
      </c>
      <c r="AC629" s="132">
        <f t="shared" si="249"/>
        <v>0</v>
      </c>
      <c r="AD629" s="133">
        <f t="shared" si="250"/>
        <v>0</v>
      </c>
      <c r="AE629" s="131">
        <f t="shared" si="251"/>
        <v>0</v>
      </c>
      <c r="AF629" s="133">
        <f t="shared" si="252"/>
        <v>0</v>
      </c>
      <c r="AG629" s="1"/>
    </row>
    <row r="630" ht="21.0" customHeight="1">
      <c r="A630" s="1"/>
      <c r="B630" s="48" t="s">
        <v>46</v>
      </c>
      <c r="C630" s="49"/>
      <c r="D630" s="91">
        <f t="array" ref="D630">iferror(vlookup(xlookup(B620,'현황'!O:O,'현황'!O:O,,-1,-1),'현황'!O:S,3,false),0)</f>
        <v>0</v>
      </c>
      <c r="E630" s="66"/>
      <c r="F630" s="52" t="s">
        <v>37</v>
      </c>
      <c r="G630" s="67"/>
      <c r="H630" s="80"/>
      <c r="I630" s="69"/>
      <c r="J630" s="72"/>
      <c r="K630" s="73"/>
      <c r="L630" s="72"/>
      <c r="M630" s="73"/>
      <c r="N630" s="72"/>
      <c r="O630" s="73"/>
      <c r="P630" s="72"/>
      <c r="Q630" s="73"/>
      <c r="R630" s="72"/>
      <c r="S630" s="73"/>
      <c r="T630" s="72"/>
      <c r="U630" s="73"/>
      <c r="V630" s="72"/>
      <c r="W630" s="73"/>
      <c r="X630" s="72"/>
      <c r="Y630" s="73"/>
      <c r="Z630" s="74" t="b">
        <v>0</v>
      </c>
      <c r="AA630" s="130">
        <f t="shared" si="247"/>
        <v>0</v>
      </c>
      <c r="AB630" s="131">
        <f t="shared" si="248"/>
        <v>0</v>
      </c>
      <c r="AC630" s="132">
        <f t="shared" si="249"/>
        <v>0</v>
      </c>
      <c r="AD630" s="133">
        <f t="shared" si="250"/>
        <v>0</v>
      </c>
      <c r="AE630" s="131">
        <f t="shared" si="251"/>
        <v>0</v>
      </c>
      <c r="AF630" s="133">
        <f t="shared" si="252"/>
        <v>0</v>
      </c>
      <c r="AG630" s="1"/>
    </row>
    <row r="631" ht="21.0" customHeight="1">
      <c r="A631" s="1"/>
      <c r="B631" s="48" t="s">
        <v>47</v>
      </c>
      <c r="C631" s="49"/>
      <c r="D631" s="91">
        <f t="array" ref="D631">iferror(vlookup(xlookup(B620,'현황'!O:O,'현황'!O:O,,-1,-1),'현황'!O:S,4,false),0)</f>
        <v>0</v>
      </c>
      <c r="E631" s="41"/>
      <c r="F631" s="92" t="s">
        <v>40</v>
      </c>
      <c r="G631" s="79"/>
      <c r="H631" s="93"/>
      <c r="I631" s="94"/>
      <c r="J631" s="95"/>
      <c r="K631" s="96"/>
      <c r="L631" s="95"/>
      <c r="M631" s="96"/>
      <c r="N631" s="95"/>
      <c r="O631" s="96"/>
      <c r="P631" s="95"/>
      <c r="Q631" s="96"/>
      <c r="R631" s="95"/>
      <c r="S631" s="96"/>
      <c r="T631" s="95"/>
      <c r="U631" s="96"/>
      <c r="V631" s="95"/>
      <c r="W631" s="96"/>
      <c r="X631" s="95"/>
      <c r="Y631" s="96"/>
      <c r="Z631" s="97" t="b">
        <v>0</v>
      </c>
      <c r="AA631" s="135">
        <f t="shared" si="247"/>
        <v>0</v>
      </c>
      <c r="AB631" s="136">
        <f t="shared" si="248"/>
        <v>0</v>
      </c>
      <c r="AC631" s="137">
        <f t="shared" si="249"/>
        <v>0</v>
      </c>
      <c r="AD631" s="138">
        <f t="shared" si="250"/>
        <v>0</v>
      </c>
      <c r="AE631" s="136">
        <f t="shared" si="251"/>
        <v>0</v>
      </c>
      <c r="AF631" s="138">
        <f t="shared" si="252"/>
        <v>0</v>
      </c>
      <c r="AG631" s="1"/>
    </row>
    <row r="632" ht="21.0" customHeight="1">
      <c r="A632" s="1"/>
      <c r="B632" s="102" t="s">
        <v>48</v>
      </c>
      <c r="C632" s="103"/>
      <c r="D632" s="104">
        <f>iferror(D631/D629,0)</f>
        <v>0</v>
      </c>
      <c r="E632" s="102" t="s">
        <v>49</v>
      </c>
      <c r="F632" s="103"/>
      <c r="G632" s="105"/>
      <c r="H632" s="106" t="s">
        <v>50</v>
      </c>
      <c r="I632" s="107"/>
      <c r="J632" s="11"/>
      <c r="K632" s="11"/>
      <c r="L632" s="11"/>
      <c r="M632" s="11"/>
      <c r="N632" s="11"/>
      <c r="O632" s="11"/>
      <c r="P632" s="108" t="s">
        <v>51</v>
      </c>
      <c r="Q632" s="12"/>
      <c r="R632" s="109"/>
      <c r="S632" s="11"/>
      <c r="T632" s="11"/>
      <c r="U632" s="11"/>
      <c r="V632" s="11"/>
      <c r="W632" s="11"/>
      <c r="X632" s="11"/>
      <c r="Y632" s="11"/>
      <c r="Z632" s="12"/>
      <c r="AA632" s="139">
        <f>SUM(AA623:AA631)</f>
        <v>0</v>
      </c>
      <c r="AB632" s="140" t="s">
        <v>181</v>
      </c>
      <c r="AG632" s="1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1"/>
      <c r="AA633" s="1"/>
      <c r="AB633" s="1"/>
      <c r="AC633" s="3"/>
      <c r="AD633" s="1"/>
      <c r="AE633" s="1"/>
      <c r="AF633" s="1"/>
      <c r="AG633" s="1"/>
    </row>
    <row r="634" ht="21.0" customHeight="1">
      <c r="A634" s="1"/>
      <c r="B634" s="4" t="s">
        <v>1</v>
      </c>
      <c r="C634" s="5"/>
      <c r="D634" s="6" t="s">
        <v>2</v>
      </c>
      <c r="E634" s="7"/>
      <c r="F634" s="7"/>
      <c r="G634" s="5"/>
      <c r="H634" s="8" t="s">
        <v>3</v>
      </c>
      <c r="I634" s="8" t="s">
        <v>4</v>
      </c>
      <c r="J634" s="9" t="s">
        <v>5</v>
      </c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5"/>
      <c r="AA634" s="117" t="s">
        <v>6</v>
      </c>
      <c r="AB634" s="11"/>
      <c r="AC634" s="11"/>
      <c r="AD634" s="11"/>
      <c r="AE634" s="11"/>
      <c r="AF634" s="12"/>
      <c r="AG634" s="1"/>
    </row>
    <row r="635" ht="21.0" customHeight="1">
      <c r="A635" s="1"/>
      <c r="B635" s="149" t="s">
        <v>138</v>
      </c>
      <c r="C635" s="14" t="str">
        <f>if(B635="0/0","",choose(weekday(B635),"(일)","(월)","(화)","(수)","(목)","(금)","(토)"))</f>
        <v/>
      </c>
      <c r="D635" s="15" t="s">
        <v>7</v>
      </c>
      <c r="E635" s="16" t="s">
        <v>8</v>
      </c>
      <c r="F635" s="17"/>
      <c r="G635" s="18" t="s">
        <v>9</v>
      </c>
      <c r="H635" s="150" t="s">
        <v>139</v>
      </c>
      <c r="I635" s="151"/>
      <c r="J635" s="21" t="s">
        <v>12</v>
      </c>
      <c r="K635" s="22"/>
      <c r="L635" s="21" t="s">
        <v>13</v>
      </c>
      <c r="M635" s="22"/>
      <c r="N635" s="21" t="s">
        <v>14</v>
      </c>
      <c r="O635" s="22"/>
      <c r="P635" s="21" t="s">
        <v>15</v>
      </c>
      <c r="Q635" s="22"/>
      <c r="R635" s="23" t="s">
        <v>16</v>
      </c>
      <c r="S635" s="22"/>
      <c r="T635" s="23" t="s">
        <v>17</v>
      </c>
      <c r="U635" s="22"/>
      <c r="V635" s="23" t="s">
        <v>18</v>
      </c>
      <c r="W635" s="22"/>
      <c r="X635" s="23" t="s">
        <v>19</v>
      </c>
      <c r="Y635" s="22"/>
      <c r="Z635" s="24" t="s">
        <v>182</v>
      </c>
      <c r="AA635" s="118" t="s">
        <v>21</v>
      </c>
      <c r="AB635" s="119" t="s">
        <v>22</v>
      </c>
      <c r="AC635" s="7"/>
      <c r="AD635" s="22"/>
      <c r="AE635" s="120" t="s">
        <v>23</v>
      </c>
      <c r="AF635" s="22"/>
      <c r="AG635" s="1"/>
    </row>
    <row r="636" ht="21.0" customHeight="1">
      <c r="A636" s="1"/>
      <c r="B636" s="27">
        <f>iferror(B635-'현황'!$C$4+1,0)</f>
        <v>0</v>
      </c>
      <c r="C636" s="28"/>
      <c r="D636" s="29">
        <v>0.0</v>
      </c>
      <c r="E636" s="30">
        <v>0.0</v>
      </c>
      <c r="F636" s="31"/>
      <c r="G636" s="32">
        <v>0.0</v>
      </c>
      <c r="H636" s="33">
        <v>0.0</v>
      </c>
      <c r="I636" s="34"/>
      <c r="J636" s="35"/>
      <c r="K636" s="36"/>
      <c r="L636" s="35"/>
      <c r="M636" s="36"/>
      <c r="N636" s="35"/>
      <c r="O636" s="36"/>
      <c r="P636" s="35"/>
      <c r="Q636" s="36"/>
      <c r="R636" s="35"/>
      <c r="S636" s="36"/>
      <c r="T636" s="35"/>
      <c r="U636" s="36"/>
      <c r="V636" s="35"/>
      <c r="W636" s="36"/>
      <c r="X636" s="35"/>
      <c r="Y636" s="36"/>
      <c r="Z636" s="37"/>
      <c r="AA636" s="37"/>
      <c r="AB636" s="35"/>
      <c r="AC636" s="38"/>
      <c r="AD636" s="36"/>
      <c r="AE636" s="35"/>
      <c r="AF636" s="36"/>
      <c r="AG636" s="1"/>
    </row>
    <row r="637" ht="21.0" customHeight="1">
      <c r="A637" s="1"/>
      <c r="B637" s="39" t="s">
        <v>24</v>
      </c>
      <c r="C637" s="40"/>
      <c r="D637" s="41"/>
      <c r="E637" s="42" t="s">
        <v>25</v>
      </c>
      <c r="F637" s="40"/>
      <c r="G637" s="41"/>
      <c r="H637" s="43" t="s">
        <v>26</v>
      </c>
      <c r="J637" s="44" t="s">
        <v>27</v>
      </c>
      <c r="K637" s="45" t="s">
        <v>28</v>
      </c>
      <c r="L637" s="44" t="s">
        <v>27</v>
      </c>
      <c r="M637" s="45" t="s">
        <v>28</v>
      </c>
      <c r="N637" s="44" t="s">
        <v>27</v>
      </c>
      <c r="O637" s="45" t="s">
        <v>28</v>
      </c>
      <c r="P637" s="44" t="s">
        <v>27</v>
      </c>
      <c r="Q637" s="45" t="s">
        <v>28</v>
      </c>
      <c r="R637" s="44" t="s">
        <v>27</v>
      </c>
      <c r="S637" s="45" t="s">
        <v>28</v>
      </c>
      <c r="T637" s="44" t="s">
        <v>27</v>
      </c>
      <c r="U637" s="45" t="s">
        <v>28</v>
      </c>
      <c r="V637" s="44" t="s">
        <v>27</v>
      </c>
      <c r="W637" s="45" t="s">
        <v>28</v>
      </c>
      <c r="X637" s="44" t="s">
        <v>27</v>
      </c>
      <c r="Y637" s="45" t="s">
        <v>28</v>
      </c>
      <c r="Z637" s="46"/>
      <c r="AA637" s="46"/>
      <c r="AB637" s="121" t="s">
        <v>29</v>
      </c>
      <c r="AC637" s="122" t="s">
        <v>30</v>
      </c>
      <c r="AD637" s="123" t="s">
        <v>31</v>
      </c>
      <c r="AE637" s="121" t="s">
        <v>27</v>
      </c>
      <c r="AF637" s="123" t="s">
        <v>28</v>
      </c>
      <c r="AG637" s="1"/>
    </row>
    <row r="638" ht="21.0" customHeight="1">
      <c r="A638" s="1"/>
      <c r="B638" s="48" t="s">
        <v>32</v>
      </c>
      <c r="C638" s="49"/>
      <c r="D638" s="50"/>
      <c r="E638" s="51" t="s">
        <v>33</v>
      </c>
      <c r="F638" s="52" t="s">
        <v>34</v>
      </c>
      <c r="G638" s="53"/>
      <c r="H638" s="148"/>
      <c r="I638" s="55"/>
      <c r="J638" s="58"/>
      <c r="K638" s="59"/>
      <c r="L638" s="58"/>
      <c r="M638" s="59"/>
      <c r="N638" s="58"/>
      <c r="O638" s="59"/>
      <c r="P638" s="58"/>
      <c r="Q638" s="59"/>
      <c r="R638" s="58"/>
      <c r="S638" s="59"/>
      <c r="T638" s="58"/>
      <c r="U638" s="59"/>
      <c r="V638" s="58"/>
      <c r="W638" s="59"/>
      <c r="X638" s="58"/>
      <c r="Y638" s="59"/>
      <c r="Z638" s="60" t="b">
        <v>0</v>
      </c>
      <c r="AA638" s="125">
        <f t="shared" ref="AA638:AA646" si="253">(J638*K638+L638*M638+N638*O638+P638*Q638+R638*S638+T638*U638+V638*W638+X638*Y638)*if(Z638=true,0.453592,1)</f>
        <v>0</v>
      </c>
      <c r="AB638" s="126">
        <f t="shared" ref="AB638:AB646" si="254">SUM(AE638*AF638*0.025,AE638)</f>
        <v>0</v>
      </c>
      <c r="AC638" s="127">
        <f t="shared" ref="AC638:AC646" si="255">AB638*87%</f>
        <v>0</v>
      </c>
      <c r="AD638" s="128">
        <f t="shared" ref="AD638:AD646" si="256">AB638*67%</f>
        <v>0</v>
      </c>
      <c r="AE638" s="126">
        <f t="shared" ref="AE638:AE646" si="257">MAX(J638,L638,N638,P638,R638,T638,V638,X638)*if(Z638=true,0.453592,1)</f>
        <v>0</v>
      </c>
      <c r="AF638" s="128">
        <f t="shared" ref="AF638:AF646" si="258">MAX(IF(J638*if(Z638=true,0.453592,1)=$AE638,K638,0),IF(L638*if(Z638=true,0.453592,1)=$AE638,M638,0),IF(N638*if(Z638=true,0.453592,1)=$AE638,O638,0),IF(P638*if(Z638=true,0.453592,1)=$AE638,Q638,0),IF(R638*if(Z638=true,0.453592,1)=$AE638,S638,0),IF(T638*if(Z638=true,0.453592,1)=$AE638,U638,0),IF(V638*if(Z638=true,0.453592,1)=$AE638,W638,0),IF(X638*if(Z638=true,0.453592,1)=$AE638,Y638,0))</f>
        <v>0</v>
      </c>
      <c r="AG638" s="1"/>
    </row>
    <row r="639" ht="21.0" customHeight="1">
      <c r="A639" s="1"/>
      <c r="B639" s="48" t="s">
        <v>36</v>
      </c>
      <c r="C639" s="49"/>
      <c r="D639" s="65"/>
      <c r="E639" s="66"/>
      <c r="F639" s="52" t="s">
        <v>37</v>
      </c>
      <c r="G639" s="67"/>
      <c r="H639" s="129"/>
      <c r="I639" s="69"/>
      <c r="J639" s="72"/>
      <c r="K639" s="73"/>
      <c r="L639" s="72"/>
      <c r="M639" s="73"/>
      <c r="N639" s="72"/>
      <c r="O639" s="73"/>
      <c r="P639" s="72"/>
      <c r="Q639" s="73"/>
      <c r="R639" s="72"/>
      <c r="S639" s="73"/>
      <c r="T639" s="72"/>
      <c r="U639" s="73"/>
      <c r="V639" s="72"/>
      <c r="W639" s="73"/>
      <c r="X639" s="72"/>
      <c r="Y639" s="73"/>
      <c r="Z639" s="74" t="b">
        <v>0</v>
      </c>
      <c r="AA639" s="130">
        <f t="shared" si="253"/>
        <v>0</v>
      </c>
      <c r="AB639" s="131">
        <f t="shared" si="254"/>
        <v>0</v>
      </c>
      <c r="AC639" s="132">
        <f t="shared" si="255"/>
        <v>0</v>
      </c>
      <c r="AD639" s="133">
        <f t="shared" si="256"/>
        <v>0</v>
      </c>
      <c r="AE639" s="131">
        <f t="shared" si="257"/>
        <v>0</v>
      </c>
      <c r="AF639" s="133">
        <f t="shared" si="258"/>
        <v>0</v>
      </c>
      <c r="AG639" s="1"/>
    </row>
    <row r="640" ht="21.0" customHeight="1">
      <c r="A640" s="1"/>
      <c r="B640" s="48" t="s">
        <v>39</v>
      </c>
      <c r="C640" s="49"/>
      <c r="D640" s="65"/>
      <c r="E640" s="41"/>
      <c r="F640" s="52" t="s">
        <v>40</v>
      </c>
      <c r="G640" s="79"/>
      <c r="H640" s="80"/>
      <c r="I640" s="69"/>
      <c r="J640" s="72"/>
      <c r="K640" s="73"/>
      <c r="L640" s="72"/>
      <c r="M640" s="73"/>
      <c r="N640" s="72"/>
      <c r="O640" s="73"/>
      <c r="P640" s="72"/>
      <c r="Q640" s="73"/>
      <c r="R640" s="72"/>
      <c r="S640" s="73"/>
      <c r="T640" s="72"/>
      <c r="U640" s="73"/>
      <c r="V640" s="72"/>
      <c r="W640" s="73"/>
      <c r="X640" s="72"/>
      <c r="Y640" s="73"/>
      <c r="Z640" s="74" t="b">
        <v>0</v>
      </c>
      <c r="AA640" s="130">
        <f t="shared" si="253"/>
        <v>0</v>
      </c>
      <c r="AB640" s="131">
        <f t="shared" si="254"/>
        <v>0</v>
      </c>
      <c r="AC640" s="132">
        <f t="shared" si="255"/>
        <v>0</v>
      </c>
      <c r="AD640" s="133">
        <f t="shared" si="256"/>
        <v>0</v>
      </c>
      <c r="AE640" s="131">
        <f t="shared" si="257"/>
        <v>0</v>
      </c>
      <c r="AF640" s="133">
        <f t="shared" si="258"/>
        <v>0</v>
      </c>
      <c r="AG640" s="1"/>
    </row>
    <row r="641" ht="21.0" customHeight="1">
      <c r="A641" s="1"/>
      <c r="B641" s="48" t="s">
        <v>41</v>
      </c>
      <c r="C641" s="81"/>
      <c r="D641" s="82" t="b">
        <v>0</v>
      </c>
      <c r="E641" s="51" t="s">
        <v>42</v>
      </c>
      <c r="F641" s="52" t="s">
        <v>34</v>
      </c>
      <c r="G641" s="83"/>
      <c r="H641" s="84"/>
      <c r="I641" s="85"/>
      <c r="J641" s="72"/>
      <c r="K641" s="73"/>
      <c r="L641" s="72"/>
      <c r="M641" s="73"/>
      <c r="N641" s="72"/>
      <c r="O641" s="73"/>
      <c r="P641" s="72"/>
      <c r="Q641" s="73"/>
      <c r="R641" s="72"/>
      <c r="S641" s="73"/>
      <c r="T641" s="72"/>
      <c r="U641" s="73"/>
      <c r="V641" s="72"/>
      <c r="W641" s="73"/>
      <c r="X641" s="72"/>
      <c r="Y641" s="73"/>
      <c r="Z641" s="74" t="b">
        <v>0</v>
      </c>
      <c r="AA641" s="130">
        <f t="shared" si="253"/>
        <v>0</v>
      </c>
      <c r="AB641" s="131">
        <f t="shared" si="254"/>
        <v>0</v>
      </c>
      <c r="AC641" s="132">
        <f t="shared" si="255"/>
        <v>0</v>
      </c>
      <c r="AD641" s="133">
        <f t="shared" si="256"/>
        <v>0</v>
      </c>
      <c r="AE641" s="131">
        <f t="shared" si="257"/>
        <v>0</v>
      </c>
      <c r="AF641" s="133">
        <f t="shared" si="258"/>
        <v>0</v>
      </c>
      <c r="AG641" s="1"/>
    </row>
    <row r="642" ht="21.0" customHeight="1">
      <c r="A642" s="1"/>
      <c r="B642" s="48" t="s">
        <v>43</v>
      </c>
      <c r="C642" s="49"/>
      <c r="D642" s="86" t="b">
        <v>0</v>
      </c>
      <c r="E642" s="66"/>
      <c r="F642" s="52" t="s">
        <v>37</v>
      </c>
      <c r="G642" s="67"/>
      <c r="H642" s="80"/>
      <c r="I642" s="69"/>
      <c r="J642" s="72"/>
      <c r="K642" s="73"/>
      <c r="L642" s="72"/>
      <c r="M642" s="73"/>
      <c r="N642" s="72"/>
      <c r="O642" s="73"/>
      <c r="P642" s="72"/>
      <c r="Q642" s="73"/>
      <c r="R642" s="72"/>
      <c r="S642" s="73"/>
      <c r="T642" s="72"/>
      <c r="U642" s="73"/>
      <c r="V642" s="72"/>
      <c r="W642" s="73"/>
      <c r="X642" s="72"/>
      <c r="Y642" s="73"/>
      <c r="Z642" s="74" t="b">
        <v>0</v>
      </c>
      <c r="AA642" s="130">
        <f t="shared" si="253"/>
        <v>0</v>
      </c>
      <c r="AB642" s="131">
        <f t="shared" si="254"/>
        <v>0</v>
      </c>
      <c r="AC642" s="132">
        <f t="shared" si="255"/>
        <v>0</v>
      </c>
      <c r="AD642" s="133">
        <f t="shared" si="256"/>
        <v>0</v>
      </c>
      <c r="AE642" s="131">
        <f t="shared" si="257"/>
        <v>0</v>
      </c>
      <c r="AF642" s="133">
        <f t="shared" si="258"/>
        <v>0</v>
      </c>
      <c r="AG642" s="1"/>
    </row>
    <row r="643" ht="21.0" customHeight="1">
      <c r="A643" s="1"/>
      <c r="B643" s="87" t="str">
        <f t="array" ref="B643">"📌최근 인바디 결과 : "&amp;text(xlookup(B635,'현황'!O:O,'현황'!O:O,,-1,-1),"m/d(ddd)")</f>
        <v>#REF!</v>
      </c>
      <c r="C643" s="88"/>
      <c r="D643" s="49"/>
      <c r="E643" s="41"/>
      <c r="F643" s="52" t="s">
        <v>40</v>
      </c>
      <c r="G643" s="79"/>
      <c r="H643" s="80"/>
      <c r="I643" s="69"/>
      <c r="J643" s="72"/>
      <c r="K643" s="73"/>
      <c r="L643" s="72"/>
      <c r="M643" s="73"/>
      <c r="N643" s="72"/>
      <c r="O643" s="73"/>
      <c r="P643" s="72"/>
      <c r="Q643" s="73"/>
      <c r="R643" s="72"/>
      <c r="S643" s="73"/>
      <c r="T643" s="72"/>
      <c r="U643" s="73"/>
      <c r="V643" s="72"/>
      <c r="W643" s="73"/>
      <c r="X643" s="72"/>
      <c r="Y643" s="73"/>
      <c r="Z643" s="74" t="b">
        <v>0</v>
      </c>
      <c r="AA643" s="130">
        <f t="shared" si="253"/>
        <v>0</v>
      </c>
      <c r="AB643" s="131">
        <f t="shared" si="254"/>
        <v>0</v>
      </c>
      <c r="AC643" s="132">
        <f t="shared" si="255"/>
        <v>0</v>
      </c>
      <c r="AD643" s="133">
        <f t="shared" si="256"/>
        <v>0</v>
      </c>
      <c r="AE643" s="131">
        <f t="shared" si="257"/>
        <v>0</v>
      </c>
      <c r="AF643" s="133">
        <f t="shared" si="258"/>
        <v>0</v>
      </c>
      <c r="AG643" s="1"/>
    </row>
    <row r="644" ht="21.0" customHeight="1">
      <c r="A644" s="1"/>
      <c r="B644" s="89" t="s">
        <v>44</v>
      </c>
      <c r="C644" s="49"/>
      <c r="D644" s="90">
        <f t="array" ref="D644">iferror(vlookup(xlookup(B635,'현황'!O:O,'현황'!O:O,,-1,-1),'현황'!O:S,2,false),0)</f>
        <v>0</v>
      </c>
      <c r="E644" s="51" t="s">
        <v>45</v>
      </c>
      <c r="F644" s="52" t="s">
        <v>34</v>
      </c>
      <c r="G644" s="83"/>
      <c r="H644" s="84"/>
      <c r="I644" s="85"/>
      <c r="J644" s="72"/>
      <c r="K644" s="73"/>
      <c r="L644" s="72"/>
      <c r="M644" s="73"/>
      <c r="N644" s="72"/>
      <c r="O644" s="73"/>
      <c r="P644" s="72"/>
      <c r="Q644" s="73"/>
      <c r="R644" s="72"/>
      <c r="S644" s="73"/>
      <c r="T644" s="72"/>
      <c r="U644" s="73"/>
      <c r="V644" s="72"/>
      <c r="W644" s="73"/>
      <c r="X644" s="72"/>
      <c r="Y644" s="73"/>
      <c r="Z644" s="74" t="b">
        <v>0</v>
      </c>
      <c r="AA644" s="130">
        <f t="shared" si="253"/>
        <v>0</v>
      </c>
      <c r="AB644" s="131">
        <f t="shared" si="254"/>
        <v>0</v>
      </c>
      <c r="AC644" s="132">
        <f t="shared" si="255"/>
        <v>0</v>
      </c>
      <c r="AD644" s="133">
        <f t="shared" si="256"/>
        <v>0</v>
      </c>
      <c r="AE644" s="131">
        <f t="shared" si="257"/>
        <v>0</v>
      </c>
      <c r="AF644" s="133">
        <f t="shared" si="258"/>
        <v>0</v>
      </c>
      <c r="AG644" s="1"/>
    </row>
    <row r="645" ht="21.0" customHeight="1">
      <c r="A645" s="1"/>
      <c r="B645" s="48" t="s">
        <v>46</v>
      </c>
      <c r="C645" s="49"/>
      <c r="D645" s="91">
        <f t="array" ref="D645">iferror(vlookup(xlookup(B635,'현황'!O:O,'현황'!O:O,,-1,-1),'현황'!O:S,3,false),0)</f>
        <v>0</v>
      </c>
      <c r="E645" s="66"/>
      <c r="F645" s="52" t="s">
        <v>37</v>
      </c>
      <c r="G645" s="67"/>
      <c r="H645" s="80"/>
      <c r="I645" s="69"/>
      <c r="J645" s="72"/>
      <c r="K645" s="73"/>
      <c r="L645" s="72"/>
      <c r="M645" s="73"/>
      <c r="N645" s="72"/>
      <c r="O645" s="73"/>
      <c r="P645" s="72"/>
      <c r="Q645" s="73"/>
      <c r="R645" s="72"/>
      <c r="S645" s="73"/>
      <c r="T645" s="72"/>
      <c r="U645" s="73"/>
      <c r="V645" s="72"/>
      <c r="W645" s="73"/>
      <c r="X645" s="72"/>
      <c r="Y645" s="73"/>
      <c r="Z645" s="74" t="b">
        <v>0</v>
      </c>
      <c r="AA645" s="130">
        <f t="shared" si="253"/>
        <v>0</v>
      </c>
      <c r="AB645" s="131">
        <f t="shared" si="254"/>
        <v>0</v>
      </c>
      <c r="AC645" s="132">
        <f t="shared" si="255"/>
        <v>0</v>
      </c>
      <c r="AD645" s="133">
        <f t="shared" si="256"/>
        <v>0</v>
      </c>
      <c r="AE645" s="131">
        <f t="shared" si="257"/>
        <v>0</v>
      </c>
      <c r="AF645" s="133">
        <f t="shared" si="258"/>
        <v>0</v>
      </c>
      <c r="AG645" s="1"/>
    </row>
    <row r="646" ht="21.0" customHeight="1">
      <c r="A646" s="1"/>
      <c r="B646" s="48" t="s">
        <v>47</v>
      </c>
      <c r="C646" s="49"/>
      <c r="D646" s="91">
        <f t="array" ref="D646">iferror(vlookup(xlookup(B635,'현황'!O:O,'현황'!O:O,,-1,-1),'현황'!O:S,4,false),0)</f>
        <v>0</v>
      </c>
      <c r="E646" s="41"/>
      <c r="F646" s="92" t="s">
        <v>40</v>
      </c>
      <c r="G646" s="79"/>
      <c r="H646" s="93"/>
      <c r="I646" s="94"/>
      <c r="J646" s="95"/>
      <c r="K646" s="96"/>
      <c r="L646" s="95"/>
      <c r="M646" s="96"/>
      <c r="N646" s="95"/>
      <c r="O646" s="96"/>
      <c r="P646" s="95"/>
      <c r="Q646" s="96"/>
      <c r="R646" s="95"/>
      <c r="S646" s="96"/>
      <c r="T646" s="95"/>
      <c r="U646" s="96"/>
      <c r="V646" s="95"/>
      <c r="W646" s="96"/>
      <c r="X646" s="95"/>
      <c r="Y646" s="96"/>
      <c r="Z646" s="97" t="b">
        <v>0</v>
      </c>
      <c r="AA646" s="135">
        <f t="shared" si="253"/>
        <v>0</v>
      </c>
      <c r="AB646" s="136">
        <f t="shared" si="254"/>
        <v>0</v>
      </c>
      <c r="AC646" s="137">
        <f t="shared" si="255"/>
        <v>0</v>
      </c>
      <c r="AD646" s="138">
        <f t="shared" si="256"/>
        <v>0</v>
      </c>
      <c r="AE646" s="136">
        <f t="shared" si="257"/>
        <v>0</v>
      </c>
      <c r="AF646" s="138">
        <f t="shared" si="258"/>
        <v>0</v>
      </c>
      <c r="AG646" s="1"/>
    </row>
    <row r="647" ht="21.0" customHeight="1">
      <c r="A647" s="1"/>
      <c r="B647" s="102" t="s">
        <v>48</v>
      </c>
      <c r="C647" s="103"/>
      <c r="D647" s="104">
        <f>iferror(D646/D644,0)</f>
        <v>0</v>
      </c>
      <c r="E647" s="102" t="s">
        <v>49</v>
      </c>
      <c r="F647" s="103"/>
      <c r="G647" s="105"/>
      <c r="H647" s="106" t="s">
        <v>50</v>
      </c>
      <c r="I647" s="107"/>
      <c r="J647" s="11"/>
      <c r="K647" s="11"/>
      <c r="L647" s="11"/>
      <c r="M647" s="11"/>
      <c r="N647" s="11"/>
      <c r="O647" s="11"/>
      <c r="P647" s="108" t="s">
        <v>51</v>
      </c>
      <c r="Q647" s="12"/>
      <c r="R647" s="109"/>
      <c r="S647" s="11"/>
      <c r="T647" s="11"/>
      <c r="U647" s="11"/>
      <c r="V647" s="11"/>
      <c r="W647" s="11"/>
      <c r="X647" s="11"/>
      <c r="Y647" s="11"/>
      <c r="Z647" s="12"/>
      <c r="AA647" s="139">
        <f>SUM(AA638:AA646)</f>
        <v>0</v>
      </c>
      <c r="AB647" s="140" t="s">
        <v>183</v>
      </c>
      <c r="AG647" s="1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1"/>
      <c r="AA648" s="1"/>
      <c r="AB648" s="1"/>
      <c r="AC648" s="3"/>
      <c r="AD648" s="1"/>
      <c r="AE648" s="1"/>
      <c r="AF648" s="1"/>
      <c r="AG648" s="1"/>
    </row>
    <row r="649" ht="21.0" customHeight="1">
      <c r="A649" s="1"/>
      <c r="B649" s="4" t="s">
        <v>1</v>
      </c>
      <c r="C649" s="5"/>
      <c r="D649" s="6" t="s">
        <v>2</v>
      </c>
      <c r="E649" s="7"/>
      <c r="F649" s="7"/>
      <c r="G649" s="5"/>
      <c r="H649" s="8" t="s">
        <v>3</v>
      </c>
      <c r="I649" s="8" t="s">
        <v>4</v>
      </c>
      <c r="J649" s="9" t="s">
        <v>5</v>
      </c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5"/>
      <c r="AA649" s="117" t="s">
        <v>6</v>
      </c>
      <c r="AB649" s="11"/>
      <c r="AC649" s="11"/>
      <c r="AD649" s="11"/>
      <c r="AE649" s="11"/>
      <c r="AF649" s="12"/>
      <c r="AG649" s="1"/>
    </row>
    <row r="650" ht="21.0" customHeight="1">
      <c r="A650" s="1"/>
      <c r="B650" s="149" t="s">
        <v>138</v>
      </c>
      <c r="C650" s="14" t="str">
        <f>if(B650="0/0","",choose(weekday(B650),"(일)","(월)","(화)","(수)","(목)","(금)","(토)"))</f>
        <v/>
      </c>
      <c r="D650" s="15" t="s">
        <v>7</v>
      </c>
      <c r="E650" s="16" t="s">
        <v>8</v>
      </c>
      <c r="F650" s="17"/>
      <c r="G650" s="18" t="s">
        <v>9</v>
      </c>
      <c r="H650" s="150" t="s">
        <v>139</v>
      </c>
      <c r="I650" s="151"/>
      <c r="J650" s="21" t="s">
        <v>12</v>
      </c>
      <c r="K650" s="22"/>
      <c r="L650" s="21" t="s">
        <v>13</v>
      </c>
      <c r="M650" s="22"/>
      <c r="N650" s="21" t="s">
        <v>14</v>
      </c>
      <c r="O650" s="22"/>
      <c r="P650" s="21" t="s">
        <v>15</v>
      </c>
      <c r="Q650" s="22"/>
      <c r="R650" s="23" t="s">
        <v>16</v>
      </c>
      <c r="S650" s="22"/>
      <c r="T650" s="23" t="s">
        <v>17</v>
      </c>
      <c r="U650" s="22"/>
      <c r="V650" s="23" t="s">
        <v>18</v>
      </c>
      <c r="W650" s="22"/>
      <c r="X650" s="23" t="s">
        <v>19</v>
      </c>
      <c r="Y650" s="22"/>
      <c r="Z650" s="24" t="s">
        <v>184</v>
      </c>
      <c r="AA650" s="118" t="s">
        <v>21</v>
      </c>
      <c r="AB650" s="119" t="s">
        <v>22</v>
      </c>
      <c r="AC650" s="7"/>
      <c r="AD650" s="22"/>
      <c r="AE650" s="120" t="s">
        <v>23</v>
      </c>
      <c r="AF650" s="22"/>
      <c r="AG650" s="1"/>
    </row>
    <row r="651" ht="21.0" customHeight="1">
      <c r="A651" s="1"/>
      <c r="B651" s="27">
        <f>iferror(B650-'현황'!$C$4+1,0)</f>
        <v>0</v>
      </c>
      <c r="C651" s="28"/>
      <c r="D651" s="29">
        <v>0.0</v>
      </c>
      <c r="E651" s="30">
        <v>0.0</v>
      </c>
      <c r="F651" s="31"/>
      <c r="G651" s="32">
        <v>0.0</v>
      </c>
      <c r="H651" s="33">
        <v>0.0</v>
      </c>
      <c r="I651" s="34"/>
      <c r="J651" s="35"/>
      <c r="K651" s="36"/>
      <c r="L651" s="35"/>
      <c r="M651" s="36"/>
      <c r="N651" s="35"/>
      <c r="O651" s="36"/>
      <c r="P651" s="35"/>
      <c r="Q651" s="36"/>
      <c r="R651" s="35"/>
      <c r="S651" s="36"/>
      <c r="T651" s="35"/>
      <c r="U651" s="36"/>
      <c r="V651" s="35"/>
      <c r="W651" s="36"/>
      <c r="X651" s="35"/>
      <c r="Y651" s="36"/>
      <c r="Z651" s="37"/>
      <c r="AA651" s="37"/>
      <c r="AB651" s="35"/>
      <c r="AC651" s="38"/>
      <c r="AD651" s="36"/>
      <c r="AE651" s="35"/>
      <c r="AF651" s="36"/>
      <c r="AG651" s="1"/>
    </row>
    <row r="652" ht="21.0" customHeight="1">
      <c r="A652" s="1"/>
      <c r="B652" s="39" t="s">
        <v>24</v>
      </c>
      <c r="C652" s="40"/>
      <c r="D652" s="41"/>
      <c r="E652" s="42" t="s">
        <v>25</v>
      </c>
      <c r="F652" s="40"/>
      <c r="G652" s="41"/>
      <c r="H652" s="43" t="s">
        <v>26</v>
      </c>
      <c r="J652" s="44" t="s">
        <v>27</v>
      </c>
      <c r="K652" s="45" t="s">
        <v>28</v>
      </c>
      <c r="L652" s="44" t="s">
        <v>27</v>
      </c>
      <c r="M652" s="45" t="s">
        <v>28</v>
      </c>
      <c r="N652" s="44" t="s">
        <v>27</v>
      </c>
      <c r="O652" s="45" t="s">
        <v>28</v>
      </c>
      <c r="P652" s="44" t="s">
        <v>27</v>
      </c>
      <c r="Q652" s="45" t="s">
        <v>28</v>
      </c>
      <c r="R652" s="44" t="s">
        <v>27</v>
      </c>
      <c r="S652" s="45" t="s">
        <v>28</v>
      </c>
      <c r="T652" s="44" t="s">
        <v>27</v>
      </c>
      <c r="U652" s="45" t="s">
        <v>28</v>
      </c>
      <c r="V652" s="44" t="s">
        <v>27</v>
      </c>
      <c r="W652" s="45" t="s">
        <v>28</v>
      </c>
      <c r="X652" s="44" t="s">
        <v>27</v>
      </c>
      <c r="Y652" s="45" t="s">
        <v>28</v>
      </c>
      <c r="Z652" s="46"/>
      <c r="AA652" s="46"/>
      <c r="AB652" s="121" t="s">
        <v>29</v>
      </c>
      <c r="AC652" s="122" t="s">
        <v>30</v>
      </c>
      <c r="AD652" s="123" t="s">
        <v>31</v>
      </c>
      <c r="AE652" s="121" t="s">
        <v>27</v>
      </c>
      <c r="AF652" s="123" t="s">
        <v>28</v>
      </c>
      <c r="AG652" s="1"/>
    </row>
    <row r="653" ht="21.0" customHeight="1">
      <c r="A653" s="1"/>
      <c r="B653" s="48" t="s">
        <v>32</v>
      </c>
      <c r="C653" s="49"/>
      <c r="D653" s="50"/>
      <c r="E653" s="51" t="s">
        <v>33</v>
      </c>
      <c r="F653" s="52" t="s">
        <v>34</v>
      </c>
      <c r="G653" s="53"/>
      <c r="H653" s="148"/>
      <c r="I653" s="55"/>
      <c r="J653" s="58"/>
      <c r="K653" s="59"/>
      <c r="L653" s="58"/>
      <c r="M653" s="59"/>
      <c r="N653" s="58"/>
      <c r="O653" s="59"/>
      <c r="P653" s="58"/>
      <c r="Q653" s="59"/>
      <c r="R653" s="58"/>
      <c r="S653" s="59"/>
      <c r="T653" s="58"/>
      <c r="U653" s="59"/>
      <c r="V653" s="58"/>
      <c r="W653" s="59"/>
      <c r="X653" s="58"/>
      <c r="Y653" s="59"/>
      <c r="Z653" s="60" t="b">
        <v>0</v>
      </c>
      <c r="AA653" s="125">
        <f t="shared" ref="AA653:AA661" si="259">(J653*K653+L653*M653+N653*O653+P653*Q653+R653*S653+T653*U653+V653*W653+X653*Y653)*if(Z653=true,0.453592,1)</f>
        <v>0</v>
      </c>
      <c r="AB653" s="126">
        <f t="shared" ref="AB653:AB661" si="260">SUM(AE653*AF653*0.025,AE653)</f>
        <v>0</v>
      </c>
      <c r="AC653" s="127">
        <f t="shared" ref="AC653:AC661" si="261">AB653*87%</f>
        <v>0</v>
      </c>
      <c r="AD653" s="128">
        <f t="shared" ref="AD653:AD661" si="262">AB653*67%</f>
        <v>0</v>
      </c>
      <c r="AE653" s="126">
        <f t="shared" ref="AE653:AE661" si="263">MAX(J653,L653,N653,P653,R653,T653,V653,X653)*if(Z653=true,0.453592,1)</f>
        <v>0</v>
      </c>
      <c r="AF653" s="128">
        <f t="shared" ref="AF653:AF661" si="264">MAX(IF(J653*if(Z653=true,0.453592,1)=$AE653,K653,0),IF(L653*if(Z653=true,0.453592,1)=$AE653,M653,0),IF(N653*if(Z653=true,0.453592,1)=$AE653,O653,0),IF(P653*if(Z653=true,0.453592,1)=$AE653,Q653,0),IF(R653*if(Z653=true,0.453592,1)=$AE653,S653,0),IF(T653*if(Z653=true,0.453592,1)=$AE653,U653,0),IF(V653*if(Z653=true,0.453592,1)=$AE653,W653,0),IF(X653*if(Z653=true,0.453592,1)=$AE653,Y653,0))</f>
        <v>0</v>
      </c>
      <c r="AG653" s="1"/>
    </row>
    <row r="654" ht="21.0" customHeight="1">
      <c r="A654" s="1"/>
      <c r="B654" s="48" t="s">
        <v>36</v>
      </c>
      <c r="C654" s="49"/>
      <c r="D654" s="65"/>
      <c r="E654" s="66"/>
      <c r="F654" s="52" t="s">
        <v>37</v>
      </c>
      <c r="G654" s="67"/>
      <c r="H654" s="129"/>
      <c r="I654" s="69"/>
      <c r="J654" s="72"/>
      <c r="K654" s="73"/>
      <c r="L654" s="72"/>
      <c r="M654" s="73"/>
      <c r="N654" s="72"/>
      <c r="O654" s="73"/>
      <c r="P654" s="72"/>
      <c r="Q654" s="73"/>
      <c r="R654" s="72"/>
      <c r="S654" s="73"/>
      <c r="T654" s="72"/>
      <c r="U654" s="73"/>
      <c r="V654" s="72"/>
      <c r="W654" s="73"/>
      <c r="X654" s="72"/>
      <c r="Y654" s="73"/>
      <c r="Z654" s="74" t="b">
        <v>0</v>
      </c>
      <c r="AA654" s="130">
        <f t="shared" si="259"/>
        <v>0</v>
      </c>
      <c r="AB654" s="131">
        <f t="shared" si="260"/>
        <v>0</v>
      </c>
      <c r="AC654" s="132">
        <f t="shared" si="261"/>
        <v>0</v>
      </c>
      <c r="AD654" s="133">
        <f t="shared" si="262"/>
        <v>0</v>
      </c>
      <c r="AE654" s="131">
        <f t="shared" si="263"/>
        <v>0</v>
      </c>
      <c r="AF654" s="133">
        <f t="shared" si="264"/>
        <v>0</v>
      </c>
      <c r="AG654" s="1"/>
    </row>
    <row r="655" ht="21.0" customHeight="1">
      <c r="A655" s="1"/>
      <c r="B655" s="48" t="s">
        <v>39</v>
      </c>
      <c r="C655" s="49"/>
      <c r="D655" s="65"/>
      <c r="E655" s="41"/>
      <c r="F655" s="52" t="s">
        <v>40</v>
      </c>
      <c r="G655" s="79"/>
      <c r="H655" s="80"/>
      <c r="I655" s="69"/>
      <c r="J655" s="72"/>
      <c r="K655" s="73"/>
      <c r="L655" s="72"/>
      <c r="M655" s="73"/>
      <c r="N655" s="72"/>
      <c r="O655" s="73"/>
      <c r="P655" s="72"/>
      <c r="Q655" s="73"/>
      <c r="R655" s="72"/>
      <c r="S655" s="73"/>
      <c r="T655" s="72"/>
      <c r="U655" s="73"/>
      <c r="V655" s="72"/>
      <c r="W655" s="73"/>
      <c r="X655" s="72"/>
      <c r="Y655" s="73"/>
      <c r="Z655" s="74" t="b">
        <v>0</v>
      </c>
      <c r="AA655" s="130">
        <f t="shared" si="259"/>
        <v>0</v>
      </c>
      <c r="AB655" s="131">
        <f t="shared" si="260"/>
        <v>0</v>
      </c>
      <c r="AC655" s="132">
        <f t="shared" si="261"/>
        <v>0</v>
      </c>
      <c r="AD655" s="133">
        <f t="shared" si="262"/>
        <v>0</v>
      </c>
      <c r="AE655" s="131">
        <f t="shared" si="263"/>
        <v>0</v>
      </c>
      <c r="AF655" s="133">
        <f t="shared" si="264"/>
        <v>0</v>
      </c>
      <c r="AG655" s="1"/>
    </row>
    <row r="656" ht="21.0" customHeight="1">
      <c r="A656" s="1"/>
      <c r="B656" s="48" t="s">
        <v>41</v>
      </c>
      <c r="C656" s="81"/>
      <c r="D656" s="82" t="b">
        <v>0</v>
      </c>
      <c r="E656" s="51" t="s">
        <v>42</v>
      </c>
      <c r="F656" s="52" t="s">
        <v>34</v>
      </c>
      <c r="G656" s="83"/>
      <c r="H656" s="84"/>
      <c r="I656" s="85"/>
      <c r="J656" s="72"/>
      <c r="K656" s="73"/>
      <c r="L656" s="72"/>
      <c r="M656" s="73"/>
      <c r="N656" s="72"/>
      <c r="O656" s="73"/>
      <c r="P656" s="72"/>
      <c r="Q656" s="73"/>
      <c r="R656" s="72"/>
      <c r="S656" s="73"/>
      <c r="T656" s="72"/>
      <c r="U656" s="73"/>
      <c r="V656" s="72"/>
      <c r="W656" s="73"/>
      <c r="X656" s="72"/>
      <c r="Y656" s="73"/>
      <c r="Z656" s="74" t="b">
        <v>0</v>
      </c>
      <c r="AA656" s="130">
        <f t="shared" si="259"/>
        <v>0</v>
      </c>
      <c r="AB656" s="131">
        <f t="shared" si="260"/>
        <v>0</v>
      </c>
      <c r="AC656" s="132">
        <f t="shared" si="261"/>
        <v>0</v>
      </c>
      <c r="AD656" s="133">
        <f t="shared" si="262"/>
        <v>0</v>
      </c>
      <c r="AE656" s="131">
        <f t="shared" si="263"/>
        <v>0</v>
      </c>
      <c r="AF656" s="133">
        <f t="shared" si="264"/>
        <v>0</v>
      </c>
      <c r="AG656" s="1"/>
    </row>
    <row r="657" ht="21.0" customHeight="1">
      <c r="A657" s="1"/>
      <c r="B657" s="48" t="s">
        <v>43</v>
      </c>
      <c r="C657" s="49"/>
      <c r="D657" s="86" t="b">
        <v>0</v>
      </c>
      <c r="E657" s="66"/>
      <c r="F657" s="52" t="s">
        <v>37</v>
      </c>
      <c r="G657" s="67"/>
      <c r="H657" s="80"/>
      <c r="I657" s="69"/>
      <c r="J657" s="72"/>
      <c r="K657" s="73"/>
      <c r="L657" s="72"/>
      <c r="M657" s="73"/>
      <c r="N657" s="72"/>
      <c r="O657" s="73"/>
      <c r="P657" s="72"/>
      <c r="Q657" s="73"/>
      <c r="R657" s="72"/>
      <c r="S657" s="73"/>
      <c r="T657" s="72"/>
      <c r="U657" s="73"/>
      <c r="V657" s="72"/>
      <c r="W657" s="73"/>
      <c r="X657" s="72"/>
      <c r="Y657" s="73"/>
      <c r="Z657" s="74" t="b">
        <v>0</v>
      </c>
      <c r="AA657" s="130">
        <f t="shared" si="259"/>
        <v>0</v>
      </c>
      <c r="AB657" s="131">
        <f t="shared" si="260"/>
        <v>0</v>
      </c>
      <c r="AC657" s="132">
        <f t="shared" si="261"/>
        <v>0</v>
      </c>
      <c r="AD657" s="133">
        <f t="shared" si="262"/>
        <v>0</v>
      </c>
      <c r="AE657" s="131">
        <f t="shared" si="263"/>
        <v>0</v>
      </c>
      <c r="AF657" s="133">
        <f t="shared" si="264"/>
        <v>0</v>
      </c>
      <c r="AG657" s="1"/>
    </row>
    <row r="658" ht="21.0" customHeight="1">
      <c r="A658" s="1"/>
      <c r="B658" s="87" t="str">
        <f t="array" ref="B658">"📌최근 인바디 결과 : "&amp;text(xlookup(B650,'현황'!O:O,'현황'!O:O,,-1,-1),"m/d(ddd)")</f>
        <v>#REF!</v>
      </c>
      <c r="C658" s="88"/>
      <c r="D658" s="49"/>
      <c r="E658" s="41"/>
      <c r="F658" s="52" t="s">
        <v>40</v>
      </c>
      <c r="G658" s="79"/>
      <c r="H658" s="80"/>
      <c r="I658" s="69"/>
      <c r="J658" s="72"/>
      <c r="K658" s="73"/>
      <c r="L658" s="72"/>
      <c r="M658" s="73"/>
      <c r="N658" s="72"/>
      <c r="O658" s="73"/>
      <c r="P658" s="72"/>
      <c r="Q658" s="73"/>
      <c r="R658" s="72"/>
      <c r="S658" s="73"/>
      <c r="T658" s="72"/>
      <c r="U658" s="73"/>
      <c r="V658" s="72"/>
      <c r="W658" s="73"/>
      <c r="X658" s="72"/>
      <c r="Y658" s="73"/>
      <c r="Z658" s="74" t="b">
        <v>0</v>
      </c>
      <c r="AA658" s="130">
        <f t="shared" si="259"/>
        <v>0</v>
      </c>
      <c r="AB658" s="131">
        <f t="shared" si="260"/>
        <v>0</v>
      </c>
      <c r="AC658" s="132">
        <f t="shared" si="261"/>
        <v>0</v>
      </c>
      <c r="AD658" s="133">
        <f t="shared" si="262"/>
        <v>0</v>
      </c>
      <c r="AE658" s="131">
        <f t="shared" si="263"/>
        <v>0</v>
      </c>
      <c r="AF658" s="133">
        <f t="shared" si="264"/>
        <v>0</v>
      </c>
      <c r="AG658" s="1"/>
    </row>
    <row r="659" ht="21.0" customHeight="1">
      <c r="A659" s="1"/>
      <c r="B659" s="89" t="s">
        <v>44</v>
      </c>
      <c r="C659" s="49"/>
      <c r="D659" s="90">
        <f t="array" ref="D659">iferror(vlookup(xlookup(B650,'현황'!O:O,'현황'!O:O,,-1,-1),'현황'!O:S,2,false),0)</f>
        <v>0</v>
      </c>
      <c r="E659" s="51" t="s">
        <v>45</v>
      </c>
      <c r="F659" s="52" t="s">
        <v>34</v>
      </c>
      <c r="G659" s="83"/>
      <c r="H659" s="84"/>
      <c r="I659" s="85"/>
      <c r="J659" s="72"/>
      <c r="K659" s="73"/>
      <c r="L659" s="72"/>
      <c r="M659" s="73"/>
      <c r="N659" s="72"/>
      <c r="O659" s="73"/>
      <c r="P659" s="72"/>
      <c r="Q659" s="73"/>
      <c r="R659" s="72"/>
      <c r="S659" s="73"/>
      <c r="T659" s="72"/>
      <c r="U659" s="73"/>
      <c r="V659" s="72"/>
      <c r="W659" s="73"/>
      <c r="X659" s="72"/>
      <c r="Y659" s="73"/>
      <c r="Z659" s="74" t="b">
        <v>0</v>
      </c>
      <c r="AA659" s="130">
        <f t="shared" si="259"/>
        <v>0</v>
      </c>
      <c r="AB659" s="131">
        <f t="shared" si="260"/>
        <v>0</v>
      </c>
      <c r="AC659" s="132">
        <f t="shared" si="261"/>
        <v>0</v>
      </c>
      <c r="AD659" s="133">
        <f t="shared" si="262"/>
        <v>0</v>
      </c>
      <c r="AE659" s="131">
        <f t="shared" si="263"/>
        <v>0</v>
      </c>
      <c r="AF659" s="133">
        <f t="shared" si="264"/>
        <v>0</v>
      </c>
      <c r="AG659" s="1"/>
    </row>
    <row r="660" ht="21.0" customHeight="1">
      <c r="A660" s="1"/>
      <c r="B660" s="48" t="s">
        <v>46</v>
      </c>
      <c r="C660" s="49"/>
      <c r="D660" s="91">
        <f t="array" ref="D660">iferror(vlookup(xlookup(B650,'현황'!O:O,'현황'!O:O,,-1,-1),'현황'!O:S,3,false),0)</f>
        <v>0</v>
      </c>
      <c r="E660" s="66"/>
      <c r="F660" s="52" t="s">
        <v>37</v>
      </c>
      <c r="G660" s="67"/>
      <c r="H660" s="80"/>
      <c r="I660" s="69"/>
      <c r="J660" s="72"/>
      <c r="K660" s="73"/>
      <c r="L660" s="72"/>
      <c r="M660" s="73"/>
      <c r="N660" s="72"/>
      <c r="O660" s="73"/>
      <c r="P660" s="72"/>
      <c r="Q660" s="73"/>
      <c r="R660" s="72"/>
      <c r="S660" s="73"/>
      <c r="T660" s="72"/>
      <c r="U660" s="73"/>
      <c r="V660" s="72"/>
      <c r="W660" s="73"/>
      <c r="X660" s="72"/>
      <c r="Y660" s="73"/>
      <c r="Z660" s="74" t="b">
        <v>0</v>
      </c>
      <c r="AA660" s="130">
        <f t="shared" si="259"/>
        <v>0</v>
      </c>
      <c r="AB660" s="131">
        <f t="shared" si="260"/>
        <v>0</v>
      </c>
      <c r="AC660" s="132">
        <f t="shared" si="261"/>
        <v>0</v>
      </c>
      <c r="AD660" s="133">
        <f t="shared" si="262"/>
        <v>0</v>
      </c>
      <c r="AE660" s="131">
        <f t="shared" si="263"/>
        <v>0</v>
      </c>
      <c r="AF660" s="133">
        <f t="shared" si="264"/>
        <v>0</v>
      </c>
      <c r="AG660" s="1"/>
    </row>
    <row r="661" ht="21.0" customHeight="1">
      <c r="A661" s="1"/>
      <c r="B661" s="48" t="s">
        <v>47</v>
      </c>
      <c r="C661" s="49"/>
      <c r="D661" s="91">
        <f t="array" ref="D661">iferror(vlookup(xlookup(B650,'현황'!O:O,'현황'!O:O,,-1,-1),'현황'!O:S,4,false),0)</f>
        <v>0</v>
      </c>
      <c r="E661" s="41"/>
      <c r="F661" s="92" t="s">
        <v>40</v>
      </c>
      <c r="G661" s="79"/>
      <c r="H661" s="93"/>
      <c r="I661" s="94"/>
      <c r="J661" s="95"/>
      <c r="K661" s="96"/>
      <c r="L661" s="95"/>
      <c r="M661" s="96"/>
      <c r="N661" s="95"/>
      <c r="O661" s="96"/>
      <c r="P661" s="95"/>
      <c r="Q661" s="96"/>
      <c r="R661" s="95"/>
      <c r="S661" s="96"/>
      <c r="T661" s="95"/>
      <c r="U661" s="96"/>
      <c r="V661" s="95"/>
      <c r="W661" s="96"/>
      <c r="X661" s="95"/>
      <c r="Y661" s="96"/>
      <c r="Z661" s="97" t="b">
        <v>0</v>
      </c>
      <c r="AA661" s="135">
        <f t="shared" si="259"/>
        <v>0</v>
      </c>
      <c r="AB661" s="136">
        <f t="shared" si="260"/>
        <v>0</v>
      </c>
      <c r="AC661" s="137">
        <f t="shared" si="261"/>
        <v>0</v>
      </c>
      <c r="AD661" s="138">
        <f t="shared" si="262"/>
        <v>0</v>
      </c>
      <c r="AE661" s="136">
        <f t="shared" si="263"/>
        <v>0</v>
      </c>
      <c r="AF661" s="138">
        <f t="shared" si="264"/>
        <v>0</v>
      </c>
      <c r="AG661" s="1"/>
    </row>
    <row r="662" ht="21.0" customHeight="1">
      <c r="A662" s="1"/>
      <c r="B662" s="102" t="s">
        <v>48</v>
      </c>
      <c r="C662" s="103"/>
      <c r="D662" s="104">
        <f>iferror(D661/D659,0)</f>
        <v>0</v>
      </c>
      <c r="E662" s="102" t="s">
        <v>49</v>
      </c>
      <c r="F662" s="103"/>
      <c r="G662" s="105"/>
      <c r="H662" s="143" t="s">
        <v>50</v>
      </c>
      <c r="I662" s="144"/>
      <c r="J662" s="11"/>
      <c r="K662" s="11"/>
      <c r="L662" s="11"/>
      <c r="M662" s="11"/>
      <c r="N662" s="11"/>
      <c r="O662" s="11"/>
      <c r="P662" s="145" t="s">
        <v>51</v>
      </c>
      <c r="Q662" s="12"/>
      <c r="R662" s="146"/>
      <c r="S662" s="11"/>
      <c r="T662" s="11"/>
      <c r="U662" s="11"/>
      <c r="V662" s="11"/>
      <c r="W662" s="11"/>
      <c r="X662" s="11"/>
      <c r="Y662" s="11"/>
      <c r="Z662" s="12"/>
      <c r="AA662" s="139">
        <f>SUM(AA653:AA661)</f>
        <v>0</v>
      </c>
      <c r="AB662" s="140" t="s">
        <v>185</v>
      </c>
      <c r="AG662" s="1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1"/>
      <c r="AA663" s="1"/>
      <c r="AB663" s="1"/>
      <c r="AC663" s="3"/>
      <c r="AD663" s="1"/>
      <c r="AE663" s="1"/>
      <c r="AF663" s="1"/>
      <c r="AG663" s="1"/>
    </row>
    <row r="664" ht="21.0" customHeight="1">
      <c r="A664" s="1"/>
      <c r="B664" s="4" t="s">
        <v>1</v>
      </c>
      <c r="C664" s="5"/>
      <c r="D664" s="6" t="s">
        <v>2</v>
      </c>
      <c r="E664" s="7"/>
      <c r="F664" s="7"/>
      <c r="G664" s="5"/>
      <c r="H664" s="8" t="s">
        <v>3</v>
      </c>
      <c r="I664" s="8" t="s">
        <v>4</v>
      </c>
      <c r="J664" s="9" t="s">
        <v>5</v>
      </c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5"/>
      <c r="AA664" s="117" t="s">
        <v>6</v>
      </c>
      <c r="AB664" s="11"/>
      <c r="AC664" s="11"/>
      <c r="AD664" s="11"/>
      <c r="AE664" s="11"/>
      <c r="AF664" s="12"/>
      <c r="AG664" s="1"/>
    </row>
    <row r="665" ht="21.0" customHeight="1">
      <c r="A665" s="1"/>
      <c r="B665" s="149" t="s">
        <v>138</v>
      </c>
      <c r="C665" s="14" t="str">
        <f>if(B665="0/0","",choose(weekday(B665),"(일)","(월)","(화)","(수)","(목)","(금)","(토)"))</f>
        <v/>
      </c>
      <c r="D665" s="15" t="s">
        <v>7</v>
      </c>
      <c r="E665" s="16" t="s">
        <v>8</v>
      </c>
      <c r="F665" s="17"/>
      <c r="G665" s="18" t="s">
        <v>9</v>
      </c>
      <c r="H665" s="150" t="s">
        <v>139</v>
      </c>
      <c r="I665" s="151"/>
      <c r="J665" s="21" t="s">
        <v>12</v>
      </c>
      <c r="K665" s="22"/>
      <c r="L665" s="21" t="s">
        <v>13</v>
      </c>
      <c r="M665" s="22"/>
      <c r="N665" s="21" t="s">
        <v>14</v>
      </c>
      <c r="O665" s="22"/>
      <c r="P665" s="21" t="s">
        <v>15</v>
      </c>
      <c r="Q665" s="22"/>
      <c r="R665" s="23" t="s">
        <v>16</v>
      </c>
      <c r="S665" s="22"/>
      <c r="T665" s="23" t="s">
        <v>17</v>
      </c>
      <c r="U665" s="22"/>
      <c r="V665" s="23" t="s">
        <v>18</v>
      </c>
      <c r="W665" s="22"/>
      <c r="X665" s="23" t="s">
        <v>19</v>
      </c>
      <c r="Y665" s="22"/>
      <c r="Z665" s="24" t="s">
        <v>186</v>
      </c>
      <c r="AA665" s="118" t="s">
        <v>21</v>
      </c>
      <c r="AB665" s="119" t="s">
        <v>22</v>
      </c>
      <c r="AC665" s="7"/>
      <c r="AD665" s="22"/>
      <c r="AE665" s="120" t="s">
        <v>23</v>
      </c>
      <c r="AF665" s="22"/>
      <c r="AG665" s="1"/>
    </row>
    <row r="666" ht="21.0" customHeight="1">
      <c r="A666" s="1"/>
      <c r="B666" s="27">
        <f>iferror(B665-'현황'!$C$4+1,0)</f>
        <v>0</v>
      </c>
      <c r="C666" s="28"/>
      <c r="D666" s="29">
        <v>0.0</v>
      </c>
      <c r="E666" s="30">
        <v>0.0</v>
      </c>
      <c r="F666" s="31"/>
      <c r="G666" s="32">
        <v>0.0</v>
      </c>
      <c r="H666" s="33">
        <v>0.0</v>
      </c>
      <c r="I666" s="34"/>
      <c r="J666" s="35"/>
      <c r="K666" s="36"/>
      <c r="L666" s="35"/>
      <c r="M666" s="36"/>
      <c r="N666" s="35"/>
      <c r="O666" s="36"/>
      <c r="P666" s="35"/>
      <c r="Q666" s="36"/>
      <c r="R666" s="35"/>
      <c r="S666" s="36"/>
      <c r="T666" s="35"/>
      <c r="U666" s="36"/>
      <c r="V666" s="35"/>
      <c r="W666" s="36"/>
      <c r="X666" s="35"/>
      <c r="Y666" s="36"/>
      <c r="Z666" s="37"/>
      <c r="AA666" s="37"/>
      <c r="AB666" s="35"/>
      <c r="AC666" s="38"/>
      <c r="AD666" s="36"/>
      <c r="AE666" s="35"/>
      <c r="AF666" s="36"/>
      <c r="AG666" s="1"/>
    </row>
    <row r="667" ht="21.0" customHeight="1">
      <c r="A667" s="1"/>
      <c r="B667" s="39" t="s">
        <v>24</v>
      </c>
      <c r="C667" s="40"/>
      <c r="D667" s="41"/>
      <c r="E667" s="42" t="s">
        <v>25</v>
      </c>
      <c r="F667" s="40"/>
      <c r="G667" s="41"/>
      <c r="H667" s="43" t="s">
        <v>26</v>
      </c>
      <c r="J667" s="44" t="s">
        <v>27</v>
      </c>
      <c r="K667" s="45" t="s">
        <v>28</v>
      </c>
      <c r="L667" s="44" t="s">
        <v>27</v>
      </c>
      <c r="M667" s="45" t="s">
        <v>28</v>
      </c>
      <c r="N667" s="44" t="s">
        <v>27</v>
      </c>
      <c r="O667" s="45" t="s">
        <v>28</v>
      </c>
      <c r="P667" s="44" t="s">
        <v>27</v>
      </c>
      <c r="Q667" s="45" t="s">
        <v>28</v>
      </c>
      <c r="R667" s="44" t="s">
        <v>27</v>
      </c>
      <c r="S667" s="45" t="s">
        <v>28</v>
      </c>
      <c r="T667" s="44" t="s">
        <v>27</v>
      </c>
      <c r="U667" s="45" t="s">
        <v>28</v>
      </c>
      <c r="V667" s="44" t="s">
        <v>27</v>
      </c>
      <c r="W667" s="45" t="s">
        <v>28</v>
      </c>
      <c r="X667" s="44" t="s">
        <v>27</v>
      </c>
      <c r="Y667" s="45" t="s">
        <v>28</v>
      </c>
      <c r="Z667" s="46"/>
      <c r="AA667" s="46"/>
      <c r="AB667" s="121" t="s">
        <v>29</v>
      </c>
      <c r="AC667" s="122" t="s">
        <v>30</v>
      </c>
      <c r="AD667" s="123" t="s">
        <v>31</v>
      </c>
      <c r="AE667" s="121" t="s">
        <v>27</v>
      </c>
      <c r="AF667" s="123" t="s">
        <v>28</v>
      </c>
      <c r="AG667" s="1"/>
    </row>
    <row r="668" ht="21.0" customHeight="1">
      <c r="A668" s="1"/>
      <c r="B668" s="48" t="s">
        <v>32</v>
      </c>
      <c r="C668" s="49"/>
      <c r="D668" s="50"/>
      <c r="E668" s="51" t="s">
        <v>33</v>
      </c>
      <c r="F668" s="52" t="s">
        <v>34</v>
      </c>
      <c r="G668" s="53"/>
      <c r="H668" s="148"/>
      <c r="I668" s="55"/>
      <c r="J668" s="58"/>
      <c r="K668" s="59"/>
      <c r="L668" s="58"/>
      <c r="M668" s="59"/>
      <c r="N668" s="58"/>
      <c r="O668" s="59"/>
      <c r="P668" s="58"/>
      <c r="Q668" s="59"/>
      <c r="R668" s="58"/>
      <c r="S668" s="59"/>
      <c r="T668" s="58"/>
      <c r="U668" s="59"/>
      <c r="V668" s="58"/>
      <c r="W668" s="59"/>
      <c r="X668" s="58"/>
      <c r="Y668" s="59"/>
      <c r="Z668" s="60" t="b">
        <v>0</v>
      </c>
      <c r="AA668" s="125">
        <f t="shared" ref="AA668:AA676" si="265">(J668*K668+L668*M668+N668*O668+P668*Q668+R668*S668+T668*U668+V668*W668+X668*Y668)*if(Z668=true,0.453592,1)</f>
        <v>0</v>
      </c>
      <c r="AB668" s="126">
        <f t="shared" ref="AB668:AB676" si="266">SUM(AE668*AF668*0.025,AE668)</f>
        <v>0</v>
      </c>
      <c r="AC668" s="127">
        <f t="shared" ref="AC668:AC676" si="267">AB668*87%</f>
        <v>0</v>
      </c>
      <c r="AD668" s="128">
        <f t="shared" ref="AD668:AD676" si="268">AB668*67%</f>
        <v>0</v>
      </c>
      <c r="AE668" s="126">
        <f t="shared" ref="AE668:AE676" si="269">MAX(J668,L668,N668,P668,R668,T668,V668,X668)*if(Z668=true,0.453592,1)</f>
        <v>0</v>
      </c>
      <c r="AF668" s="128">
        <f t="shared" ref="AF668:AF676" si="270">MAX(IF(J668*if(Z668=true,0.453592,1)=$AE668,K668,0),IF(L668*if(Z668=true,0.453592,1)=$AE668,M668,0),IF(N668*if(Z668=true,0.453592,1)=$AE668,O668,0),IF(P668*if(Z668=true,0.453592,1)=$AE668,Q668,0),IF(R668*if(Z668=true,0.453592,1)=$AE668,S668,0),IF(T668*if(Z668=true,0.453592,1)=$AE668,U668,0),IF(V668*if(Z668=true,0.453592,1)=$AE668,W668,0),IF(X668*if(Z668=true,0.453592,1)=$AE668,Y668,0))</f>
        <v>0</v>
      </c>
      <c r="AG668" s="1"/>
    </row>
    <row r="669" ht="21.0" customHeight="1">
      <c r="A669" s="1"/>
      <c r="B669" s="48" t="s">
        <v>36</v>
      </c>
      <c r="C669" s="49"/>
      <c r="D669" s="65"/>
      <c r="E669" s="66"/>
      <c r="F669" s="52" t="s">
        <v>37</v>
      </c>
      <c r="G669" s="67"/>
      <c r="H669" s="129"/>
      <c r="I669" s="69"/>
      <c r="J669" s="72"/>
      <c r="K669" s="73"/>
      <c r="L669" s="72"/>
      <c r="M669" s="73"/>
      <c r="N669" s="72"/>
      <c r="O669" s="73"/>
      <c r="P669" s="72"/>
      <c r="Q669" s="73"/>
      <c r="R669" s="72"/>
      <c r="S669" s="73"/>
      <c r="T669" s="72"/>
      <c r="U669" s="73"/>
      <c r="V669" s="72"/>
      <c r="W669" s="73"/>
      <c r="X669" s="72"/>
      <c r="Y669" s="73"/>
      <c r="Z669" s="74" t="b">
        <v>0</v>
      </c>
      <c r="AA669" s="130">
        <f t="shared" si="265"/>
        <v>0</v>
      </c>
      <c r="AB669" s="131">
        <f t="shared" si="266"/>
        <v>0</v>
      </c>
      <c r="AC669" s="132">
        <f t="shared" si="267"/>
        <v>0</v>
      </c>
      <c r="AD669" s="133">
        <f t="shared" si="268"/>
        <v>0</v>
      </c>
      <c r="AE669" s="131">
        <f t="shared" si="269"/>
        <v>0</v>
      </c>
      <c r="AF669" s="133">
        <f t="shared" si="270"/>
        <v>0</v>
      </c>
      <c r="AG669" s="1"/>
    </row>
    <row r="670" ht="21.0" customHeight="1">
      <c r="A670" s="1"/>
      <c r="B670" s="48" t="s">
        <v>39</v>
      </c>
      <c r="C670" s="49"/>
      <c r="D670" s="65"/>
      <c r="E670" s="41"/>
      <c r="F670" s="52" t="s">
        <v>40</v>
      </c>
      <c r="G670" s="79"/>
      <c r="H670" s="80"/>
      <c r="I670" s="69"/>
      <c r="J670" s="72"/>
      <c r="K670" s="73"/>
      <c r="L670" s="72"/>
      <c r="M670" s="73"/>
      <c r="N670" s="72"/>
      <c r="O670" s="73"/>
      <c r="P670" s="72"/>
      <c r="Q670" s="73"/>
      <c r="R670" s="72"/>
      <c r="S670" s="73"/>
      <c r="T670" s="72"/>
      <c r="U670" s="73"/>
      <c r="V670" s="72"/>
      <c r="W670" s="73"/>
      <c r="X670" s="72"/>
      <c r="Y670" s="73"/>
      <c r="Z670" s="74" t="b">
        <v>0</v>
      </c>
      <c r="AA670" s="130">
        <f t="shared" si="265"/>
        <v>0</v>
      </c>
      <c r="AB670" s="131">
        <f t="shared" si="266"/>
        <v>0</v>
      </c>
      <c r="AC670" s="132">
        <f t="shared" si="267"/>
        <v>0</v>
      </c>
      <c r="AD670" s="133">
        <f t="shared" si="268"/>
        <v>0</v>
      </c>
      <c r="AE670" s="131">
        <f t="shared" si="269"/>
        <v>0</v>
      </c>
      <c r="AF670" s="133">
        <f t="shared" si="270"/>
        <v>0</v>
      </c>
      <c r="AG670" s="1"/>
    </row>
    <row r="671" ht="21.0" customHeight="1">
      <c r="A671" s="1"/>
      <c r="B671" s="48" t="s">
        <v>41</v>
      </c>
      <c r="C671" s="81"/>
      <c r="D671" s="82" t="b">
        <v>0</v>
      </c>
      <c r="E671" s="51" t="s">
        <v>42</v>
      </c>
      <c r="F671" s="52" t="s">
        <v>34</v>
      </c>
      <c r="G671" s="83"/>
      <c r="H671" s="84"/>
      <c r="I671" s="85"/>
      <c r="J671" s="72"/>
      <c r="K671" s="73"/>
      <c r="L671" s="72"/>
      <c r="M671" s="73"/>
      <c r="N671" s="72"/>
      <c r="O671" s="73"/>
      <c r="P671" s="72"/>
      <c r="Q671" s="73"/>
      <c r="R671" s="72"/>
      <c r="S671" s="73"/>
      <c r="T671" s="72"/>
      <c r="U671" s="73"/>
      <c r="V671" s="72"/>
      <c r="W671" s="73"/>
      <c r="X671" s="72"/>
      <c r="Y671" s="73"/>
      <c r="Z671" s="74" t="b">
        <v>0</v>
      </c>
      <c r="AA671" s="130">
        <f t="shared" si="265"/>
        <v>0</v>
      </c>
      <c r="AB671" s="131">
        <f t="shared" si="266"/>
        <v>0</v>
      </c>
      <c r="AC671" s="132">
        <f t="shared" si="267"/>
        <v>0</v>
      </c>
      <c r="AD671" s="133">
        <f t="shared" si="268"/>
        <v>0</v>
      </c>
      <c r="AE671" s="131">
        <f t="shared" si="269"/>
        <v>0</v>
      </c>
      <c r="AF671" s="133">
        <f t="shared" si="270"/>
        <v>0</v>
      </c>
      <c r="AG671" s="1"/>
    </row>
    <row r="672" ht="21.0" customHeight="1">
      <c r="A672" s="1"/>
      <c r="B672" s="48" t="s">
        <v>43</v>
      </c>
      <c r="C672" s="49"/>
      <c r="D672" s="86" t="b">
        <v>0</v>
      </c>
      <c r="E672" s="66"/>
      <c r="F672" s="52" t="s">
        <v>37</v>
      </c>
      <c r="G672" s="67"/>
      <c r="H672" s="80"/>
      <c r="I672" s="69"/>
      <c r="J672" s="72"/>
      <c r="K672" s="73"/>
      <c r="L672" s="72"/>
      <c r="M672" s="73"/>
      <c r="N672" s="72"/>
      <c r="O672" s="73"/>
      <c r="P672" s="72"/>
      <c r="Q672" s="73"/>
      <c r="R672" s="72"/>
      <c r="S672" s="73"/>
      <c r="T672" s="72"/>
      <c r="U672" s="73"/>
      <c r="V672" s="72"/>
      <c r="W672" s="73"/>
      <c r="X672" s="72"/>
      <c r="Y672" s="73"/>
      <c r="Z672" s="74" t="b">
        <v>0</v>
      </c>
      <c r="AA672" s="130">
        <f t="shared" si="265"/>
        <v>0</v>
      </c>
      <c r="AB672" s="131">
        <f t="shared" si="266"/>
        <v>0</v>
      </c>
      <c r="AC672" s="132">
        <f t="shared" si="267"/>
        <v>0</v>
      </c>
      <c r="AD672" s="133">
        <f t="shared" si="268"/>
        <v>0</v>
      </c>
      <c r="AE672" s="131">
        <f t="shared" si="269"/>
        <v>0</v>
      </c>
      <c r="AF672" s="133">
        <f t="shared" si="270"/>
        <v>0</v>
      </c>
      <c r="AG672" s="1"/>
    </row>
    <row r="673" ht="21.0" customHeight="1">
      <c r="A673" s="1"/>
      <c r="B673" s="87" t="str">
        <f t="array" ref="B673">"📌최근 인바디 결과 : "&amp;text(xlookup(B665,'현황'!O:O,'현황'!O:O,,-1,-1),"m/d(ddd)")</f>
        <v>#REF!</v>
      </c>
      <c r="C673" s="88"/>
      <c r="D673" s="49"/>
      <c r="E673" s="41"/>
      <c r="F673" s="52" t="s">
        <v>40</v>
      </c>
      <c r="G673" s="79"/>
      <c r="H673" s="80"/>
      <c r="I673" s="69"/>
      <c r="J673" s="72"/>
      <c r="K673" s="73"/>
      <c r="L673" s="72"/>
      <c r="M673" s="73"/>
      <c r="N673" s="72"/>
      <c r="O673" s="73"/>
      <c r="P673" s="72"/>
      <c r="Q673" s="73"/>
      <c r="R673" s="72"/>
      <c r="S673" s="73"/>
      <c r="T673" s="72"/>
      <c r="U673" s="73"/>
      <c r="V673" s="72"/>
      <c r="W673" s="73"/>
      <c r="X673" s="72"/>
      <c r="Y673" s="73"/>
      <c r="Z673" s="74" t="b">
        <v>0</v>
      </c>
      <c r="AA673" s="130">
        <f t="shared" si="265"/>
        <v>0</v>
      </c>
      <c r="AB673" s="131">
        <f t="shared" si="266"/>
        <v>0</v>
      </c>
      <c r="AC673" s="132">
        <f t="shared" si="267"/>
        <v>0</v>
      </c>
      <c r="AD673" s="133">
        <f t="shared" si="268"/>
        <v>0</v>
      </c>
      <c r="AE673" s="131">
        <f t="shared" si="269"/>
        <v>0</v>
      </c>
      <c r="AF673" s="133">
        <f t="shared" si="270"/>
        <v>0</v>
      </c>
      <c r="AG673" s="1"/>
    </row>
    <row r="674" ht="21.0" customHeight="1">
      <c r="A674" s="1"/>
      <c r="B674" s="89" t="s">
        <v>44</v>
      </c>
      <c r="C674" s="49"/>
      <c r="D674" s="90">
        <f t="array" ref="D674">iferror(vlookup(xlookup(B665,'현황'!O:O,'현황'!O:O,,-1,-1),'현황'!O:S,2,false),0)</f>
        <v>0</v>
      </c>
      <c r="E674" s="51" t="s">
        <v>45</v>
      </c>
      <c r="F674" s="52" t="s">
        <v>34</v>
      </c>
      <c r="G674" s="83"/>
      <c r="H674" s="84"/>
      <c r="I674" s="85"/>
      <c r="J674" s="72"/>
      <c r="K674" s="73"/>
      <c r="L674" s="72"/>
      <c r="M674" s="73"/>
      <c r="N674" s="72"/>
      <c r="O674" s="73"/>
      <c r="P674" s="72"/>
      <c r="Q674" s="73"/>
      <c r="R674" s="72"/>
      <c r="S674" s="73"/>
      <c r="T674" s="72"/>
      <c r="U674" s="73"/>
      <c r="V674" s="72"/>
      <c r="W674" s="73"/>
      <c r="X674" s="72"/>
      <c r="Y674" s="73"/>
      <c r="Z674" s="74" t="b">
        <v>0</v>
      </c>
      <c r="AA674" s="130">
        <f t="shared" si="265"/>
        <v>0</v>
      </c>
      <c r="AB674" s="131">
        <f t="shared" si="266"/>
        <v>0</v>
      </c>
      <c r="AC674" s="132">
        <f t="shared" si="267"/>
        <v>0</v>
      </c>
      <c r="AD674" s="133">
        <f t="shared" si="268"/>
        <v>0</v>
      </c>
      <c r="AE674" s="131">
        <f t="shared" si="269"/>
        <v>0</v>
      </c>
      <c r="AF674" s="133">
        <f t="shared" si="270"/>
        <v>0</v>
      </c>
      <c r="AG674" s="1"/>
    </row>
    <row r="675" ht="21.0" customHeight="1">
      <c r="A675" s="1"/>
      <c r="B675" s="48" t="s">
        <v>46</v>
      </c>
      <c r="C675" s="49"/>
      <c r="D675" s="91">
        <f t="array" ref="D675">iferror(vlookup(xlookup(B665,'현황'!O:O,'현황'!O:O,,-1,-1),'현황'!O:S,3,false),0)</f>
        <v>0</v>
      </c>
      <c r="E675" s="66"/>
      <c r="F675" s="52" t="s">
        <v>37</v>
      </c>
      <c r="G675" s="67"/>
      <c r="H675" s="80"/>
      <c r="I675" s="69"/>
      <c r="J675" s="72"/>
      <c r="K675" s="73"/>
      <c r="L675" s="72"/>
      <c r="M675" s="73"/>
      <c r="N675" s="72"/>
      <c r="O675" s="73"/>
      <c r="P675" s="72"/>
      <c r="Q675" s="73"/>
      <c r="R675" s="72"/>
      <c r="S675" s="73"/>
      <c r="T675" s="72"/>
      <c r="U675" s="73"/>
      <c r="V675" s="72"/>
      <c r="W675" s="73"/>
      <c r="X675" s="72"/>
      <c r="Y675" s="73"/>
      <c r="Z675" s="74" t="b">
        <v>0</v>
      </c>
      <c r="AA675" s="130">
        <f t="shared" si="265"/>
        <v>0</v>
      </c>
      <c r="AB675" s="131">
        <f t="shared" si="266"/>
        <v>0</v>
      </c>
      <c r="AC675" s="132">
        <f t="shared" si="267"/>
        <v>0</v>
      </c>
      <c r="AD675" s="133">
        <f t="shared" si="268"/>
        <v>0</v>
      </c>
      <c r="AE675" s="131">
        <f t="shared" si="269"/>
        <v>0</v>
      </c>
      <c r="AF675" s="133">
        <f t="shared" si="270"/>
        <v>0</v>
      </c>
      <c r="AG675" s="1"/>
    </row>
    <row r="676" ht="21.0" customHeight="1">
      <c r="A676" s="1"/>
      <c r="B676" s="48" t="s">
        <v>47</v>
      </c>
      <c r="C676" s="49"/>
      <c r="D676" s="91">
        <f t="array" ref="D676">iferror(vlookup(xlookup(B665,'현황'!O:O,'현황'!O:O,,-1,-1),'현황'!O:S,4,false),0)</f>
        <v>0</v>
      </c>
      <c r="E676" s="41"/>
      <c r="F676" s="92" t="s">
        <v>40</v>
      </c>
      <c r="G676" s="79"/>
      <c r="H676" s="93"/>
      <c r="I676" s="94"/>
      <c r="J676" s="95"/>
      <c r="K676" s="96"/>
      <c r="L676" s="95"/>
      <c r="M676" s="96"/>
      <c r="N676" s="95"/>
      <c r="O676" s="96"/>
      <c r="P676" s="95"/>
      <c r="Q676" s="96"/>
      <c r="R676" s="95"/>
      <c r="S676" s="96"/>
      <c r="T676" s="95"/>
      <c r="U676" s="96"/>
      <c r="V676" s="95"/>
      <c r="W676" s="96"/>
      <c r="X676" s="95"/>
      <c r="Y676" s="96"/>
      <c r="Z676" s="97" t="b">
        <v>0</v>
      </c>
      <c r="AA676" s="135">
        <f t="shared" si="265"/>
        <v>0</v>
      </c>
      <c r="AB676" s="136">
        <f t="shared" si="266"/>
        <v>0</v>
      </c>
      <c r="AC676" s="137">
        <f t="shared" si="267"/>
        <v>0</v>
      </c>
      <c r="AD676" s="138">
        <f t="shared" si="268"/>
        <v>0</v>
      </c>
      <c r="AE676" s="136">
        <f t="shared" si="269"/>
        <v>0</v>
      </c>
      <c r="AF676" s="138">
        <f t="shared" si="270"/>
        <v>0</v>
      </c>
      <c r="AG676" s="1"/>
    </row>
    <row r="677" ht="21.0" customHeight="1">
      <c r="A677" s="1"/>
      <c r="B677" s="102" t="s">
        <v>48</v>
      </c>
      <c r="C677" s="103"/>
      <c r="D677" s="104">
        <f>iferror(D676/D674,0)</f>
        <v>0</v>
      </c>
      <c r="E677" s="102" t="s">
        <v>49</v>
      </c>
      <c r="F677" s="103"/>
      <c r="G677" s="105"/>
      <c r="H677" s="106" t="s">
        <v>50</v>
      </c>
      <c r="I677" s="107"/>
      <c r="J677" s="11"/>
      <c r="K677" s="11"/>
      <c r="L677" s="11"/>
      <c r="M677" s="11"/>
      <c r="N677" s="11"/>
      <c r="O677" s="11"/>
      <c r="P677" s="108" t="s">
        <v>51</v>
      </c>
      <c r="Q677" s="12"/>
      <c r="R677" s="109"/>
      <c r="S677" s="11"/>
      <c r="T677" s="11"/>
      <c r="U677" s="11"/>
      <c r="V677" s="11"/>
      <c r="W677" s="11"/>
      <c r="X677" s="11"/>
      <c r="Y677" s="11"/>
      <c r="Z677" s="12"/>
      <c r="AA677" s="139">
        <f>SUM(AA668:AA676)</f>
        <v>0</v>
      </c>
      <c r="AB677" s="140" t="s">
        <v>187</v>
      </c>
      <c r="AG677" s="1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1"/>
      <c r="AA678" s="1"/>
      <c r="AB678" s="1"/>
      <c r="AC678" s="3"/>
      <c r="AD678" s="1"/>
      <c r="AE678" s="1"/>
      <c r="AF678" s="1"/>
      <c r="AG678" s="1"/>
    </row>
    <row r="679" ht="21.0" customHeight="1">
      <c r="A679" s="1"/>
      <c r="B679" s="4" t="s">
        <v>1</v>
      </c>
      <c r="C679" s="5"/>
      <c r="D679" s="6" t="s">
        <v>2</v>
      </c>
      <c r="E679" s="7"/>
      <c r="F679" s="7"/>
      <c r="G679" s="5"/>
      <c r="H679" s="8" t="s">
        <v>3</v>
      </c>
      <c r="I679" s="8" t="s">
        <v>4</v>
      </c>
      <c r="J679" s="9" t="s">
        <v>5</v>
      </c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5"/>
      <c r="AA679" s="117" t="s">
        <v>6</v>
      </c>
      <c r="AB679" s="11"/>
      <c r="AC679" s="11"/>
      <c r="AD679" s="11"/>
      <c r="AE679" s="11"/>
      <c r="AF679" s="12"/>
      <c r="AG679" s="1"/>
    </row>
    <row r="680" ht="21.0" customHeight="1">
      <c r="A680" s="1"/>
      <c r="B680" s="149" t="s">
        <v>138</v>
      </c>
      <c r="C680" s="14" t="str">
        <f>if(B680="0/0","",choose(weekday(B680),"(일)","(월)","(화)","(수)","(목)","(금)","(토)"))</f>
        <v/>
      </c>
      <c r="D680" s="15" t="s">
        <v>7</v>
      </c>
      <c r="E680" s="16" t="s">
        <v>8</v>
      </c>
      <c r="F680" s="17"/>
      <c r="G680" s="18" t="s">
        <v>9</v>
      </c>
      <c r="H680" s="150" t="s">
        <v>139</v>
      </c>
      <c r="I680" s="151"/>
      <c r="J680" s="21" t="s">
        <v>12</v>
      </c>
      <c r="K680" s="22"/>
      <c r="L680" s="21" t="s">
        <v>13</v>
      </c>
      <c r="M680" s="22"/>
      <c r="N680" s="21" t="s">
        <v>14</v>
      </c>
      <c r="O680" s="22"/>
      <c r="P680" s="21" t="s">
        <v>15</v>
      </c>
      <c r="Q680" s="22"/>
      <c r="R680" s="23" t="s">
        <v>16</v>
      </c>
      <c r="S680" s="22"/>
      <c r="T680" s="23" t="s">
        <v>17</v>
      </c>
      <c r="U680" s="22"/>
      <c r="V680" s="23" t="s">
        <v>18</v>
      </c>
      <c r="W680" s="22"/>
      <c r="X680" s="23" t="s">
        <v>19</v>
      </c>
      <c r="Y680" s="22"/>
      <c r="Z680" s="24" t="s">
        <v>188</v>
      </c>
      <c r="AA680" s="118" t="s">
        <v>21</v>
      </c>
      <c r="AB680" s="119" t="s">
        <v>22</v>
      </c>
      <c r="AC680" s="7"/>
      <c r="AD680" s="22"/>
      <c r="AE680" s="120" t="s">
        <v>23</v>
      </c>
      <c r="AF680" s="22"/>
      <c r="AG680" s="1"/>
    </row>
    <row r="681" ht="21.0" customHeight="1">
      <c r="A681" s="1"/>
      <c r="B681" s="27">
        <f>iferror(B680-'현황'!$C$4+1,0)</f>
        <v>0</v>
      </c>
      <c r="C681" s="28"/>
      <c r="D681" s="29">
        <v>0.0</v>
      </c>
      <c r="E681" s="30">
        <v>0.0</v>
      </c>
      <c r="F681" s="31"/>
      <c r="G681" s="32">
        <v>0.0</v>
      </c>
      <c r="H681" s="33">
        <v>0.0</v>
      </c>
      <c r="I681" s="34"/>
      <c r="J681" s="35"/>
      <c r="K681" s="36"/>
      <c r="L681" s="35"/>
      <c r="M681" s="36"/>
      <c r="N681" s="35"/>
      <c r="O681" s="36"/>
      <c r="P681" s="35"/>
      <c r="Q681" s="36"/>
      <c r="R681" s="35"/>
      <c r="S681" s="36"/>
      <c r="T681" s="35"/>
      <c r="U681" s="36"/>
      <c r="V681" s="35"/>
      <c r="W681" s="36"/>
      <c r="X681" s="35"/>
      <c r="Y681" s="36"/>
      <c r="Z681" s="37"/>
      <c r="AA681" s="37"/>
      <c r="AB681" s="35"/>
      <c r="AC681" s="38"/>
      <c r="AD681" s="36"/>
      <c r="AE681" s="35"/>
      <c r="AF681" s="36"/>
      <c r="AG681" s="1"/>
    </row>
    <row r="682" ht="21.0" customHeight="1">
      <c r="A682" s="1"/>
      <c r="B682" s="39" t="s">
        <v>24</v>
      </c>
      <c r="C682" s="40"/>
      <c r="D682" s="41"/>
      <c r="E682" s="42" t="s">
        <v>25</v>
      </c>
      <c r="F682" s="40"/>
      <c r="G682" s="41"/>
      <c r="H682" s="43" t="s">
        <v>26</v>
      </c>
      <c r="J682" s="44" t="s">
        <v>27</v>
      </c>
      <c r="K682" s="45" t="s">
        <v>28</v>
      </c>
      <c r="L682" s="44" t="s">
        <v>27</v>
      </c>
      <c r="M682" s="45" t="s">
        <v>28</v>
      </c>
      <c r="N682" s="44" t="s">
        <v>27</v>
      </c>
      <c r="O682" s="45" t="s">
        <v>28</v>
      </c>
      <c r="P682" s="44" t="s">
        <v>27</v>
      </c>
      <c r="Q682" s="45" t="s">
        <v>28</v>
      </c>
      <c r="R682" s="44" t="s">
        <v>27</v>
      </c>
      <c r="S682" s="45" t="s">
        <v>28</v>
      </c>
      <c r="T682" s="44" t="s">
        <v>27</v>
      </c>
      <c r="U682" s="45" t="s">
        <v>28</v>
      </c>
      <c r="V682" s="44" t="s">
        <v>27</v>
      </c>
      <c r="W682" s="45" t="s">
        <v>28</v>
      </c>
      <c r="X682" s="44" t="s">
        <v>27</v>
      </c>
      <c r="Y682" s="45" t="s">
        <v>28</v>
      </c>
      <c r="Z682" s="46"/>
      <c r="AA682" s="46"/>
      <c r="AB682" s="121" t="s">
        <v>29</v>
      </c>
      <c r="AC682" s="122" t="s">
        <v>30</v>
      </c>
      <c r="AD682" s="123" t="s">
        <v>31</v>
      </c>
      <c r="AE682" s="121" t="s">
        <v>27</v>
      </c>
      <c r="AF682" s="123" t="s">
        <v>28</v>
      </c>
      <c r="AG682" s="1"/>
    </row>
    <row r="683" ht="21.0" customHeight="1">
      <c r="A683" s="1"/>
      <c r="B683" s="48" t="s">
        <v>32</v>
      </c>
      <c r="C683" s="49"/>
      <c r="D683" s="50"/>
      <c r="E683" s="51" t="s">
        <v>33</v>
      </c>
      <c r="F683" s="52" t="s">
        <v>34</v>
      </c>
      <c r="G683" s="53"/>
      <c r="H683" s="148"/>
      <c r="I683" s="55"/>
      <c r="J683" s="58"/>
      <c r="K683" s="59"/>
      <c r="L683" s="58"/>
      <c r="M683" s="59"/>
      <c r="N683" s="58"/>
      <c r="O683" s="59"/>
      <c r="P683" s="58"/>
      <c r="Q683" s="59"/>
      <c r="R683" s="58"/>
      <c r="S683" s="59"/>
      <c r="T683" s="58"/>
      <c r="U683" s="59"/>
      <c r="V683" s="58"/>
      <c r="W683" s="59"/>
      <c r="X683" s="58"/>
      <c r="Y683" s="59"/>
      <c r="Z683" s="60" t="b">
        <v>0</v>
      </c>
      <c r="AA683" s="125">
        <f t="shared" ref="AA683:AA691" si="271">(J683*K683+L683*M683+N683*O683+P683*Q683+R683*S683+T683*U683+V683*W683+X683*Y683)*if(Z683=true,0.453592,1)</f>
        <v>0</v>
      </c>
      <c r="AB683" s="126">
        <f t="shared" ref="AB683:AB691" si="272">SUM(AE683*AF683*0.025,AE683)</f>
        <v>0</v>
      </c>
      <c r="AC683" s="127">
        <f t="shared" ref="AC683:AC691" si="273">AB683*87%</f>
        <v>0</v>
      </c>
      <c r="AD683" s="128">
        <f t="shared" ref="AD683:AD691" si="274">AB683*67%</f>
        <v>0</v>
      </c>
      <c r="AE683" s="126">
        <f t="shared" ref="AE683:AE691" si="275">MAX(J683,L683,N683,P683,R683,T683,V683,X683)*if(Z683=true,0.453592,1)</f>
        <v>0</v>
      </c>
      <c r="AF683" s="128">
        <f t="shared" ref="AF683:AF691" si="276">MAX(IF(J683*if(Z683=true,0.453592,1)=$AE683,K683,0),IF(L683*if(Z683=true,0.453592,1)=$AE683,M683,0),IF(N683*if(Z683=true,0.453592,1)=$AE683,O683,0),IF(P683*if(Z683=true,0.453592,1)=$AE683,Q683,0),IF(R683*if(Z683=true,0.453592,1)=$AE683,S683,0),IF(T683*if(Z683=true,0.453592,1)=$AE683,U683,0),IF(V683*if(Z683=true,0.453592,1)=$AE683,W683,0),IF(X683*if(Z683=true,0.453592,1)=$AE683,Y683,0))</f>
        <v>0</v>
      </c>
      <c r="AG683" s="1"/>
    </row>
    <row r="684" ht="21.0" customHeight="1">
      <c r="A684" s="1"/>
      <c r="B684" s="48" t="s">
        <v>36</v>
      </c>
      <c r="C684" s="49"/>
      <c r="D684" s="65"/>
      <c r="E684" s="66"/>
      <c r="F684" s="52" t="s">
        <v>37</v>
      </c>
      <c r="G684" s="67"/>
      <c r="H684" s="129"/>
      <c r="I684" s="69"/>
      <c r="J684" s="72"/>
      <c r="K684" s="73"/>
      <c r="L684" s="72"/>
      <c r="M684" s="73"/>
      <c r="N684" s="72"/>
      <c r="O684" s="73"/>
      <c r="P684" s="72"/>
      <c r="Q684" s="73"/>
      <c r="R684" s="72"/>
      <c r="S684" s="73"/>
      <c r="T684" s="72"/>
      <c r="U684" s="73"/>
      <c r="V684" s="72"/>
      <c r="W684" s="73"/>
      <c r="X684" s="72"/>
      <c r="Y684" s="73"/>
      <c r="Z684" s="74" t="b">
        <v>0</v>
      </c>
      <c r="AA684" s="130">
        <f t="shared" si="271"/>
        <v>0</v>
      </c>
      <c r="AB684" s="131">
        <f t="shared" si="272"/>
        <v>0</v>
      </c>
      <c r="AC684" s="132">
        <f t="shared" si="273"/>
        <v>0</v>
      </c>
      <c r="AD684" s="133">
        <f t="shared" si="274"/>
        <v>0</v>
      </c>
      <c r="AE684" s="131">
        <f t="shared" si="275"/>
        <v>0</v>
      </c>
      <c r="AF684" s="133">
        <f t="shared" si="276"/>
        <v>0</v>
      </c>
      <c r="AG684" s="1"/>
    </row>
    <row r="685" ht="21.0" customHeight="1">
      <c r="A685" s="1"/>
      <c r="B685" s="48" t="s">
        <v>39</v>
      </c>
      <c r="C685" s="49"/>
      <c r="D685" s="65"/>
      <c r="E685" s="41"/>
      <c r="F685" s="52" t="s">
        <v>40</v>
      </c>
      <c r="G685" s="79"/>
      <c r="H685" s="80"/>
      <c r="I685" s="69"/>
      <c r="J685" s="72"/>
      <c r="K685" s="73"/>
      <c r="L685" s="72"/>
      <c r="M685" s="73"/>
      <c r="N685" s="72"/>
      <c r="O685" s="73"/>
      <c r="P685" s="72"/>
      <c r="Q685" s="73"/>
      <c r="R685" s="72"/>
      <c r="S685" s="73"/>
      <c r="T685" s="72"/>
      <c r="U685" s="73"/>
      <c r="V685" s="72"/>
      <c r="W685" s="73"/>
      <c r="X685" s="72"/>
      <c r="Y685" s="73"/>
      <c r="Z685" s="74" t="b">
        <v>0</v>
      </c>
      <c r="AA685" s="130">
        <f t="shared" si="271"/>
        <v>0</v>
      </c>
      <c r="AB685" s="131">
        <f t="shared" si="272"/>
        <v>0</v>
      </c>
      <c r="AC685" s="132">
        <f t="shared" si="273"/>
        <v>0</v>
      </c>
      <c r="AD685" s="133">
        <f t="shared" si="274"/>
        <v>0</v>
      </c>
      <c r="AE685" s="131">
        <f t="shared" si="275"/>
        <v>0</v>
      </c>
      <c r="AF685" s="133">
        <f t="shared" si="276"/>
        <v>0</v>
      </c>
      <c r="AG685" s="1"/>
    </row>
    <row r="686" ht="21.0" customHeight="1">
      <c r="A686" s="1"/>
      <c r="B686" s="48" t="s">
        <v>41</v>
      </c>
      <c r="C686" s="81"/>
      <c r="D686" s="82" t="b">
        <v>0</v>
      </c>
      <c r="E686" s="51" t="s">
        <v>42</v>
      </c>
      <c r="F686" s="52" t="s">
        <v>34</v>
      </c>
      <c r="G686" s="83"/>
      <c r="H686" s="84"/>
      <c r="I686" s="85"/>
      <c r="J686" s="72"/>
      <c r="K686" s="73"/>
      <c r="L686" s="72"/>
      <c r="M686" s="73"/>
      <c r="N686" s="72"/>
      <c r="O686" s="73"/>
      <c r="P686" s="72"/>
      <c r="Q686" s="73"/>
      <c r="R686" s="72"/>
      <c r="S686" s="73"/>
      <c r="T686" s="72"/>
      <c r="U686" s="73"/>
      <c r="V686" s="72"/>
      <c r="W686" s="73"/>
      <c r="X686" s="72"/>
      <c r="Y686" s="73"/>
      <c r="Z686" s="74" t="b">
        <v>0</v>
      </c>
      <c r="AA686" s="130">
        <f t="shared" si="271"/>
        <v>0</v>
      </c>
      <c r="AB686" s="131">
        <f t="shared" si="272"/>
        <v>0</v>
      </c>
      <c r="AC686" s="132">
        <f t="shared" si="273"/>
        <v>0</v>
      </c>
      <c r="AD686" s="133">
        <f t="shared" si="274"/>
        <v>0</v>
      </c>
      <c r="AE686" s="131">
        <f t="shared" si="275"/>
        <v>0</v>
      </c>
      <c r="AF686" s="133">
        <f t="shared" si="276"/>
        <v>0</v>
      </c>
      <c r="AG686" s="1"/>
    </row>
    <row r="687" ht="21.0" customHeight="1">
      <c r="A687" s="1"/>
      <c r="B687" s="48" t="s">
        <v>43</v>
      </c>
      <c r="C687" s="49"/>
      <c r="D687" s="86" t="b">
        <v>0</v>
      </c>
      <c r="E687" s="66"/>
      <c r="F687" s="52" t="s">
        <v>37</v>
      </c>
      <c r="G687" s="67"/>
      <c r="H687" s="80"/>
      <c r="I687" s="69"/>
      <c r="J687" s="72"/>
      <c r="K687" s="73"/>
      <c r="L687" s="72"/>
      <c r="M687" s="73"/>
      <c r="N687" s="72"/>
      <c r="O687" s="73"/>
      <c r="P687" s="72"/>
      <c r="Q687" s="73"/>
      <c r="R687" s="72"/>
      <c r="S687" s="73"/>
      <c r="T687" s="72"/>
      <c r="U687" s="73"/>
      <c r="V687" s="72"/>
      <c r="W687" s="73"/>
      <c r="X687" s="72"/>
      <c r="Y687" s="73"/>
      <c r="Z687" s="74" t="b">
        <v>0</v>
      </c>
      <c r="AA687" s="130">
        <f t="shared" si="271"/>
        <v>0</v>
      </c>
      <c r="AB687" s="131">
        <f t="shared" si="272"/>
        <v>0</v>
      </c>
      <c r="AC687" s="132">
        <f t="shared" si="273"/>
        <v>0</v>
      </c>
      <c r="AD687" s="133">
        <f t="shared" si="274"/>
        <v>0</v>
      </c>
      <c r="AE687" s="131">
        <f t="shared" si="275"/>
        <v>0</v>
      </c>
      <c r="AF687" s="133">
        <f t="shared" si="276"/>
        <v>0</v>
      </c>
      <c r="AG687" s="1"/>
    </row>
    <row r="688" ht="21.0" customHeight="1">
      <c r="A688" s="1"/>
      <c r="B688" s="87" t="str">
        <f t="array" ref="B688">"📌최근 인바디 결과 : "&amp;text(xlookup(B680,'현황'!O:O,'현황'!O:O,,-1,-1),"m/d(ddd)")</f>
        <v>#REF!</v>
      </c>
      <c r="C688" s="88"/>
      <c r="D688" s="49"/>
      <c r="E688" s="41"/>
      <c r="F688" s="52" t="s">
        <v>40</v>
      </c>
      <c r="G688" s="79"/>
      <c r="H688" s="80"/>
      <c r="I688" s="69"/>
      <c r="J688" s="72"/>
      <c r="K688" s="73"/>
      <c r="L688" s="72"/>
      <c r="M688" s="73"/>
      <c r="N688" s="72"/>
      <c r="O688" s="73"/>
      <c r="P688" s="72"/>
      <c r="Q688" s="73"/>
      <c r="R688" s="72"/>
      <c r="S688" s="73"/>
      <c r="T688" s="72"/>
      <c r="U688" s="73"/>
      <c r="V688" s="72"/>
      <c r="W688" s="73"/>
      <c r="X688" s="72"/>
      <c r="Y688" s="73"/>
      <c r="Z688" s="74" t="b">
        <v>0</v>
      </c>
      <c r="AA688" s="130">
        <f t="shared" si="271"/>
        <v>0</v>
      </c>
      <c r="AB688" s="131">
        <f t="shared" si="272"/>
        <v>0</v>
      </c>
      <c r="AC688" s="132">
        <f t="shared" si="273"/>
        <v>0</v>
      </c>
      <c r="AD688" s="133">
        <f t="shared" si="274"/>
        <v>0</v>
      </c>
      <c r="AE688" s="131">
        <f t="shared" si="275"/>
        <v>0</v>
      </c>
      <c r="AF688" s="133">
        <f t="shared" si="276"/>
        <v>0</v>
      </c>
      <c r="AG688" s="1"/>
    </row>
    <row r="689" ht="21.0" customHeight="1">
      <c r="A689" s="1"/>
      <c r="B689" s="89" t="s">
        <v>44</v>
      </c>
      <c r="C689" s="49"/>
      <c r="D689" s="90">
        <f t="array" ref="D689">iferror(vlookup(xlookup(B680,'현황'!O:O,'현황'!O:O,,-1,-1),'현황'!O:S,2,false),0)</f>
        <v>0</v>
      </c>
      <c r="E689" s="51" t="s">
        <v>45</v>
      </c>
      <c r="F689" s="52" t="s">
        <v>34</v>
      </c>
      <c r="G689" s="83"/>
      <c r="H689" s="84"/>
      <c r="I689" s="85"/>
      <c r="J689" s="72"/>
      <c r="K689" s="73"/>
      <c r="L689" s="72"/>
      <c r="M689" s="73"/>
      <c r="N689" s="72"/>
      <c r="O689" s="73"/>
      <c r="P689" s="72"/>
      <c r="Q689" s="73"/>
      <c r="R689" s="72"/>
      <c r="S689" s="73"/>
      <c r="T689" s="72"/>
      <c r="U689" s="73"/>
      <c r="V689" s="72"/>
      <c r="W689" s="73"/>
      <c r="X689" s="72"/>
      <c r="Y689" s="73"/>
      <c r="Z689" s="74" t="b">
        <v>0</v>
      </c>
      <c r="AA689" s="130">
        <f t="shared" si="271"/>
        <v>0</v>
      </c>
      <c r="AB689" s="131">
        <f t="shared" si="272"/>
        <v>0</v>
      </c>
      <c r="AC689" s="132">
        <f t="shared" si="273"/>
        <v>0</v>
      </c>
      <c r="AD689" s="133">
        <f t="shared" si="274"/>
        <v>0</v>
      </c>
      <c r="AE689" s="131">
        <f t="shared" si="275"/>
        <v>0</v>
      </c>
      <c r="AF689" s="133">
        <f t="shared" si="276"/>
        <v>0</v>
      </c>
      <c r="AG689" s="1"/>
    </row>
    <row r="690" ht="21.0" customHeight="1">
      <c r="A690" s="1"/>
      <c r="B690" s="48" t="s">
        <v>46</v>
      </c>
      <c r="C690" s="49"/>
      <c r="D690" s="91">
        <f t="array" ref="D690">iferror(vlookup(xlookup(B680,'현황'!O:O,'현황'!O:O,,-1,-1),'현황'!O:S,3,false),0)</f>
        <v>0</v>
      </c>
      <c r="E690" s="66"/>
      <c r="F690" s="52" t="s">
        <v>37</v>
      </c>
      <c r="G690" s="67"/>
      <c r="H690" s="80"/>
      <c r="I690" s="69"/>
      <c r="J690" s="72"/>
      <c r="K690" s="73"/>
      <c r="L690" s="72"/>
      <c r="M690" s="73"/>
      <c r="N690" s="72"/>
      <c r="O690" s="73"/>
      <c r="P690" s="72"/>
      <c r="Q690" s="73"/>
      <c r="R690" s="72"/>
      <c r="S690" s="73"/>
      <c r="T690" s="72"/>
      <c r="U690" s="73"/>
      <c r="V690" s="72"/>
      <c r="W690" s="73"/>
      <c r="X690" s="72"/>
      <c r="Y690" s="73"/>
      <c r="Z690" s="74" t="b">
        <v>0</v>
      </c>
      <c r="AA690" s="130">
        <f t="shared" si="271"/>
        <v>0</v>
      </c>
      <c r="AB690" s="131">
        <f t="shared" si="272"/>
        <v>0</v>
      </c>
      <c r="AC690" s="132">
        <f t="shared" si="273"/>
        <v>0</v>
      </c>
      <c r="AD690" s="133">
        <f t="shared" si="274"/>
        <v>0</v>
      </c>
      <c r="AE690" s="131">
        <f t="shared" si="275"/>
        <v>0</v>
      </c>
      <c r="AF690" s="133">
        <f t="shared" si="276"/>
        <v>0</v>
      </c>
      <c r="AG690" s="1"/>
    </row>
    <row r="691" ht="21.0" customHeight="1">
      <c r="A691" s="1"/>
      <c r="B691" s="48" t="s">
        <v>47</v>
      </c>
      <c r="C691" s="49"/>
      <c r="D691" s="91">
        <f t="array" ref="D691">iferror(vlookup(xlookup(B680,'현황'!O:O,'현황'!O:O,,-1,-1),'현황'!O:S,4,false),0)</f>
        <v>0</v>
      </c>
      <c r="E691" s="41"/>
      <c r="F691" s="92" t="s">
        <v>40</v>
      </c>
      <c r="G691" s="79"/>
      <c r="H691" s="93"/>
      <c r="I691" s="94"/>
      <c r="J691" s="95"/>
      <c r="K691" s="96"/>
      <c r="L691" s="95"/>
      <c r="M691" s="96"/>
      <c r="N691" s="95"/>
      <c r="O691" s="96"/>
      <c r="P691" s="95"/>
      <c r="Q691" s="96"/>
      <c r="R691" s="95"/>
      <c r="S691" s="96"/>
      <c r="T691" s="95"/>
      <c r="U691" s="96"/>
      <c r="V691" s="95"/>
      <c r="W691" s="96"/>
      <c r="X691" s="95"/>
      <c r="Y691" s="96"/>
      <c r="Z691" s="97" t="b">
        <v>0</v>
      </c>
      <c r="AA691" s="135">
        <f t="shared" si="271"/>
        <v>0</v>
      </c>
      <c r="AB691" s="136">
        <f t="shared" si="272"/>
        <v>0</v>
      </c>
      <c r="AC691" s="137">
        <f t="shared" si="273"/>
        <v>0</v>
      </c>
      <c r="AD691" s="138">
        <f t="shared" si="274"/>
        <v>0</v>
      </c>
      <c r="AE691" s="136">
        <f t="shared" si="275"/>
        <v>0</v>
      </c>
      <c r="AF691" s="138">
        <f t="shared" si="276"/>
        <v>0</v>
      </c>
      <c r="AG691" s="1"/>
    </row>
    <row r="692" ht="21.0" customHeight="1">
      <c r="A692" s="1"/>
      <c r="B692" s="102" t="s">
        <v>48</v>
      </c>
      <c r="C692" s="103"/>
      <c r="D692" s="104">
        <f>iferror(D691/D689,0)</f>
        <v>0</v>
      </c>
      <c r="E692" s="102" t="s">
        <v>49</v>
      </c>
      <c r="F692" s="103"/>
      <c r="G692" s="105"/>
      <c r="H692" s="106" t="s">
        <v>50</v>
      </c>
      <c r="I692" s="107"/>
      <c r="J692" s="11"/>
      <c r="K692" s="11"/>
      <c r="L692" s="11"/>
      <c r="M692" s="11"/>
      <c r="N692" s="11"/>
      <c r="O692" s="11"/>
      <c r="P692" s="108" t="s">
        <v>51</v>
      </c>
      <c r="Q692" s="12"/>
      <c r="R692" s="109"/>
      <c r="S692" s="11"/>
      <c r="T692" s="11"/>
      <c r="U692" s="11"/>
      <c r="V692" s="11"/>
      <c r="W692" s="11"/>
      <c r="X692" s="11"/>
      <c r="Y692" s="11"/>
      <c r="Z692" s="12"/>
      <c r="AA692" s="139">
        <f>SUM(AA683:AA691)</f>
        <v>0</v>
      </c>
      <c r="AB692" s="140" t="s">
        <v>189</v>
      </c>
      <c r="AG692" s="1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1"/>
      <c r="AA693" s="1"/>
      <c r="AB693" s="1"/>
      <c r="AC693" s="3"/>
      <c r="AD693" s="1"/>
      <c r="AE693" s="1"/>
      <c r="AF693" s="1"/>
      <c r="AG693" s="1"/>
    </row>
    <row r="694" ht="21.0" customHeight="1">
      <c r="A694" s="1"/>
      <c r="B694" s="4" t="s">
        <v>1</v>
      </c>
      <c r="C694" s="5"/>
      <c r="D694" s="6" t="s">
        <v>2</v>
      </c>
      <c r="E694" s="7"/>
      <c r="F694" s="7"/>
      <c r="G694" s="5"/>
      <c r="H694" s="8" t="s">
        <v>3</v>
      </c>
      <c r="I694" s="8" t="s">
        <v>4</v>
      </c>
      <c r="J694" s="9" t="s">
        <v>5</v>
      </c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5"/>
      <c r="AA694" s="117" t="s">
        <v>6</v>
      </c>
      <c r="AB694" s="11"/>
      <c r="AC694" s="11"/>
      <c r="AD694" s="11"/>
      <c r="AE694" s="11"/>
      <c r="AF694" s="12"/>
      <c r="AG694" s="1"/>
    </row>
    <row r="695" ht="21.0" customHeight="1">
      <c r="A695" s="1"/>
      <c r="B695" s="149" t="s">
        <v>138</v>
      </c>
      <c r="C695" s="14" t="str">
        <f>if(B695="0/0","",choose(weekday(B695),"(일)","(월)","(화)","(수)","(목)","(금)","(토)"))</f>
        <v/>
      </c>
      <c r="D695" s="15" t="s">
        <v>7</v>
      </c>
      <c r="E695" s="16" t="s">
        <v>8</v>
      </c>
      <c r="F695" s="17"/>
      <c r="G695" s="18" t="s">
        <v>9</v>
      </c>
      <c r="H695" s="150" t="s">
        <v>139</v>
      </c>
      <c r="I695" s="151"/>
      <c r="J695" s="21" t="s">
        <v>12</v>
      </c>
      <c r="K695" s="22"/>
      <c r="L695" s="21" t="s">
        <v>13</v>
      </c>
      <c r="M695" s="22"/>
      <c r="N695" s="21" t="s">
        <v>14</v>
      </c>
      <c r="O695" s="22"/>
      <c r="P695" s="21" t="s">
        <v>15</v>
      </c>
      <c r="Q695" s="22"/>
      <c r="R695" s="23" t="s">
        <v>16</v>
      </c>
      <c r="S695" s="22"/>
      <c r="T695" s="23" t="s">
        <v>17</v>
      </c>
      <c r="U695" s="22"/>
      <c r="V695" s="23" t="s">
        <v>18</v>
      </c>
      <c r="W695" s="22"/>
      <c r="X695" s="23" t="s">
        <v>19</v>
      </c>
      <c r="Y695" s="22"/>
      <c r="Z695" s="24" t="s">
        <v>190</v>
      </c>
      <c r="AA695" s="118" t="s">
        <v>21</v>
      </c>
      <c r="AB695" s="119" t="s">
        <v>22</v>
      </c>
      <c r="AC695" s="7"/>
      <c r="AD695" s="22"/>
      <c r="AE695" s="120" t="s">
        <v>23</v>
      </c>
      <c r="AF695" s="22"/>
      <c r="AG695" s="1"/>
    </row>
    <row r="696" ht="21.0" customHeight="1">
      <c r="A696" s="1"/>
      <c r="B696" s="27">
        <f>iferror(B695-'현황'!$C$4+1,0)</f>
        <v>0</v>
      </c>
      <c r="C696" s="28"/>
      <c r="D696" s="29">
        <v>0.0</v>
      </c>
      <c r="E696" s="30">
        <v>0.0</v>
      </c>
      <c r="F696" s="31"/>
      <c r="G696" s="32">
        <v>0.0</v>
      </c>
      <c r="H696" s="33">
        <v>0.0</v>
      </c>
      <c r="I696" s="34"/>
      <c r="J696" s="35"/>
      <c r="K696" s="36"/>
      <c r="L696" s="35"/>
      <c r="M696" s="36"/>
      <c r="N696" s="35"/>
      <c r="O696" s="36"/>
      <c r="P696" s="35"/>
      <c r="Q696" s="36"/>
      <c r="R696" s="35"/>
      <c r="S696" s="36"/>
      <c r="T696" s="35"/>
      <c r="U696" s="36"/>
      <c r="V696" s="35"/>
      <c r="W696" s="36"/>
      <c r="X696" s="35"/>
      <c r="Y696" s="36"/>
      <c r="Z696" s="37"/>
      <c r="AA696" s="37"/>
      <c r="AB696" s="35"/>
      <c r="AC696" s="38"/>
      <c r="AD696" s="36"/>
      <c r="AE696" s="35"/>
      <c r="AF696" s="36"/>
      <c r="AG696" s="1"/>
    </row>
    <row r="697" ht="21.0" customHeight="1">
      <c r="A697" s="1"/>
      <c r="B697" s="39" t="s">
        <v>24</v>
      </c>
      <c r="C697" s="40"/>
      <c r="D697" s="41"/>
      <c r="E697" s="42" t="s">
        <v>25</v>
      </c>
      <c r="F697" s="40"/>
      <c r="G697" s="41"/>
      <c r="H697" s="43" t="s">
        <v>26</v>
      </c>
      <c r="J697" s="44" t="s">
        <v>27</v>
      </c>
      <c r="K697" s="45" t="s">
        <v>28</v>
      </c>
      <c r="L697" s="44" t="s">
        <v>27</v>
      </c>
      <c r="M697" s="45" t="s">
        <v>28</v>
      </c>
      <c r="N697" s="44" t="s">
        <v>27</v>
      </c>
      <c r="O697" s="45" t="s">
        <v>28</v>
      </c>
      <c r="P697" s="44" t="s">
        <v>27</v>
      </c>
      <c r="Q697" s="45" t="s">
        <v>28</v>
      </c>
      <c r="R697" s="44" t="s">
        <v>27</v>
      </c>
      <c r="S697" s="45" t="s">
        <v>28</v>
      </c>
      <c r="T697" s="44" t="s">
        <v>27</v>
      </c>
      <c r="U697" s="45" t="s">
        <v>28</v>
      </c>
      <c r="V697" s="44" t="s">
        <v>27</v>
      </c>
      <c r="W697" s="45" t="s">
        <v>28</v>
      </c>
      <c r="X697" s="44" t="s">
        <v>27</v>
      </c>
      <c r="Y697" s="45" t="s">
        <v>28</v>
      </c>
      <c r="Z697" s="46"/>
      <c r="AA697" s="46"/>
      <c r="AB697" s="121" t="s">
        <v>29</v>
      </c>
      <c r="AC697" s="122" t="s">
        <v>30</v>
      </c>
      <c r="AD697" s="123" t="s">
        <v>31</v>
      </c>
      <c r="AE697" s="121" t="s">
        <v>27</v>
      </c>
      <c r="AF697" s="123" t="s">
        <v>28</v>
      </c>
      <c r="AG697" s="1"/>
    </row>
    <row r="698" ht="21.0" customHeight="1">
      <c r="A698" s="1"/>
      <c r="B698" s="48" t="s">
        <v>32</v>
      </c>
      <c r="C698" s="49"/>
      <c r="D698" s="50"/>
      <c r="E698" s="51" t="s">
        <v>33</v>
      </c>
      <c r="F698" s="52" t="s">
        <v>34</v>
      </c>
      <c r="G698" s="53"/>
      <c r="H698" s="148"/>
      <c r="I698" s="55"/>
      <c r="J698" s="58"/>
      <c r="K698" s="59"/>
      <c r="L698" s="58"/>
      <c r="M698" s="59"/>
      <c r="N698" s="58"/>
      <c r="O698" s="59"/>
      <c r="P698" s="58"/>
      <c r="Q698" s="59"/>
      <c r="R698" s="58"/>
      <c r="S698" s="59"/>
      <c r="T698" s="58"/>
      <c r="U698" s="59"/>
      <c r="V698" s="58"/>
      <c r="W698" s="59"/>
      <c r="X698" s="58"/>
      <c r="Y698" s="59"/>
      <c r="Z698" s="60" t="b">
        <v>0</v>
      </c>
      <c r="AA698" s="125">
        <f t="shared" ref="AA698:AA706" si="277">(J698*K698+L698*M698+N698*O698+P698*Q698+R698*S698+T698*U698+V698*W698+X698*Y698)*if(Z698=true,0.453592,1)</f>
        <v>0</v>
      </c>
      <c r="AB698" s="126">
        <f t="shared" ref="AB698:AB706" si="278">SUM(AE698*AF698*0.025,AE698)</f>
        <v>0</v>
      </c>
      <c r="AC698" s="127">
        <f t="shared" ref="AC698:AC706" si="279">AB698*87%</f>
        <v>0</v>
      </c>
      <c r="AD698" s="128">
        <f t="shared" ref="AD698:AD706" si="280">AB698*67%</f>
        <v>0</v>
      </c>
      <c r="AE698" s="126">
        <f t="shared" ref="AE698:AE706" si="281">MAX(J698,L698,N698,P698,R698,T698,V698,X698)*if(Z698=true,0.453592,1)</f>
        <v>0</v>
      </c>
      <c r="AF698" s="128">
        <f t="shared" ref="AF698:AF706" si="282">MAX(IF(J698*if(Z698=true,0.453592,1)=$AE698,K698,0),IF(L698*if(Z698=true,0.453592,1)=$AE698,M698,0),IF(N698*if(Z698=true,0.453592,1)=$AE698,O698,0),IF(P698*if(Z698=true,0.453592,1)=$AE698,Q698,0),IF(R698*if(Z698=true,0.453592,1)=$AE698,S698,0),IF(T698*if(Z698=true,0.453592,1)=$AE698,U698,0),IF(V698*if(Z698=true,0.453592,1)=$AE698,W698,0),IF(X698*if(Z698=true,0.453592,1)=$AE698,Y698,0))</f>
        <v>0</v>
      </c>
      <c r="AG698" s="1"/>
    </row>
    <row r="699" ht="21.0" customHeight="1">
      <c r="A699" s="1"/>
      <c r="B699" s="48" t="s">
        <v>36</v>
      </c>
      <c r="C699" s="49"/>
      <c r="D699" s="65"/>
      <c r="E699" s="66"/>
      <c r="F699" s="52" t="s">
        <v>37</v>
      </c>
      <c r="G699" s="67"/>
      <c r="H699" s="129"/>
      <c r="I699" s="69"/>
      <c r="J699" s="72"/>
      <c r="K699" s="73"/>
      <c r="L699" s="72"/>
      <c r="M699" s="73"/>
      <c r="N699" s="72"/>
      <c r="O699" s="73"/>
      <c r="P699" s="72"/>
      <c r="Q699" s="73"/>
      <c r="R699" s="72"/>
      <c r="S699" s="73"/>
      <c r="T699" s="72"/>
      <c r="U699" s="73"/>
      <c r="V699" s="72"/>
      <c r="W699" s="73"/>
      <c r="X699" s="72"/>
      <c r="Y699" s="73"/>
      <c r="Z699" s="74" t="b">
        <v>0</v>
      </c>
      <c r="AA699" s="130">
        <f t="shared" si="277"/>
        <v>0</v>
      </c>
      <c r="AB699" s="131">
        <f t="shared" si="278"/>
        <v>0</v>
      </c>
      <c r="AC699" s="132">
        <f t="shared" si="279"/>
        <v>0</v>
      </c>
      <c r="AD699" s="133">
        <f t="shared" si="280"/>
        <v>0</v>
      </c>
      <c r="AE699" s="131">
        <f t="shared" si="281"/>
        <v>0</v>
      </c>
      <c r="AF699" s="133">
        <f t="shared" si="282"/>
        <v>0</v>
      </c>
      <c r="AG699" s="1"/>
    </row>
    <row r="700" ht="21.0" customHeight="1">
      <c r="A700" s="1"/>
      <c r="B700" s="48" t="s">
        <v>39</v>
      </c>
      <c r="C700" s="49"/>
      <c r="D700" s="65"/>
      <c r="E700" s="41"/>
      <c r="F700" s="52" t="s">
        <v>40</v>
      </c>
      <c r="G700" s="79"/>
      <c r="H700" s="80"/>
      <c r="I700" s="69"/>
      <c r="J700" s="72"/>
      <c r="K700" s="73"/>
      <c r="L700" s="72"/>
      <c r="M700" s="73"/>
      <c r="N700" s="72"/>
      <c r="O700" s="73"/>
      <c r="P700" s="72"/>
      <c r="Q700" s="73"/>
      <c r="R700" s="72"/>
      <c r="S700" s="73"/>
      <c r="T700" s="72"/>
      <c r="U700" s="73"/>
      <c r="V700" s="72"/>
      <c r="W700" s="73"/>
      <c r="X700" s="72"/>
      <c r="Y700" s="73"/>
      <c r="Z700" s="74" t="b">
        <v>0</v>
      </c>
      <c r="AA700" s="130">
        <f t="shared" si="277"/>
        <v>0</v>
      </c>
      <c r="AB700" s="131">
        <f t="shared" si="278"/>
        <v>0</v>
      </c>
      <c r="AC700" s="132">
        <f t="shared" si="279"/>
        <v>0</v>
      </c>
      <c r="AD700" s="133">
        <f t="shared" si="280"/>
        <v>0</v>
      </c>
      <c r="AE700" s="131">
        <f t="shared" si="281"/>
        <v>0</v>
      </c>
      <c r="AF700" s="133">
        <f t="shared" si="282"/>
        <v>0</v>
      </c>
      <c r="AG700" s="1"/>
    </row>
    <row r="701" ht="21.0" customHeight="1">
      <c r="A701" s="1"/>
      <c r="B701" s="48" t="s">
        <v>41</v>
      </c>
      <c r="C701" s="81"/>
      <c r="D701" s="82" t="b">
        <v>0</v>
      </c>
      <c r="E701" s="51" t="s">
        <v>42</v>
      </c>
      <c r="F701" s="52" t="s">
        <v>34</v>
      </c>
      <c r="G701" s="83"/>
      <c r="H701" s="84"/>
      <c r="I701" s="85"/>
      <c r="J701" s="72"/>
      <c r="K701" s="73"/>
      <c r="L701" s="72"/>
      <c r="M701" s="73"/>
      <c r="N701" s="72"/>
      <c r="O701" s="73"/>
      <c r="P701" s="72"/>
      <c r="Q701" s="73"/>
      <c r="R701" s="72"/>
      <c r="S701" s="73"/>
      <c r="T701" s="72"/>
      <c r="U701" s="73"/>
      <c r="V701" s="72"/>
      <c r="W701" s="73"/>
      <c r="X701" s="72"/>
      <c r="Y701" s="73"/>
      <c r="Z701" s="74" t="b">
        <v>0</v>
      </c>
      <c r="AA701" s="130">
        <f t="shared" si="277"/>
        <v>0</v>
      </c>
      <c r="AB701" s="131">
        <f t="shared" si="278"/>
        <v>0</v>
      </c>
      <c r="AC701" s="132">
        <f t="shared" si="279"/>
        <v>0</v>
      </c>
      <c r="AD701" s="133">
        <f t="shared" si="280"/>
        <v>0</v>
      </c>
      <c r="AE701" s="131">
        <f t="shared" si="281"/>
        <v>0</v>
      </c>
      <c r="AF701" s="133">
        <f t="shared" si="282"/>
        <v>0</v>
      </c>
      <c r="AG701" s="1"/>
    </row>
    <row r="702" ht="21.0" customHeight="1">
      <c r="A702" s="1"/>
      <c r="B702" s="48" t="s">
        <v>43</v>
      </c>
      <c r="C702" s="49"/>
      <c r="D702" s="86" t="b">
        <v>0</v>
      </c>
      <c r="E702" s="66"/>
      <c r="F702" s="52" t="s">
        <v>37</v>
      </c>
      <c r="G702" s="67"/>
      <c r="H702" s="80"/>
      <c r="I702" s="69"/>
      <c r="J702" s="72"/>
      <c r="K702" s="73"/>
      <c r="L702" s="72"/>
      <c r="M702" s="73"/>
      <c r="N702" s="72"/>
      <c r="O702" s="73"/>
      <c r="P702" s="72"/>
      <c r="Q702" s="73"/>
      <c r="R702" s="72"/>
      <c r="S702" s="73"/>
      <c r="T702" s="72"/>
      <c r="U702" s="73"/>
      <c r="V702" s="72"/>
      <c r="W702" s="73"/>
      <c r="X702" s="72"/>
      <c r="Y702" s="73"/>
      <c r="Z702" s="74" t="b">
        <v>0</v>
      </c>
      <c r="AA702" s="130">
        <f t="shared" si="277"/>
        <v>0</v>
      </c>
      <c r="AB702" s="131">
        <f t="shared" si="278"/>
        <v>0</v>
      </c>
      <c r="AC702" s="132">
        <f t="shared" si="279"/>
        <v>0</v>
      </c>
      <c r="AD702" s="133">
        <f t="shared" si="280"/>
        <v>0</v>
      </c>
      <c r="AE702" s="131">
        <f t="shared" si="281"/>
        <v>0</v>
      </c>
      <c r="AF702" s="133">
        <f t="shared" si="282"/>
        <v>0</v>
      </c>
      <c r="AG702" s="1"/>
    </row>
    <row r="703" ht="21.0" customHeight="1">
      <c r="A703" s="1"/>
      <c r="B703" s="87" t="str">
        <f t="array" ref="B703">"📌최근 인바디 결과 : "&amp;text(xlookup(B695,'현황'!O:O,'현황'!O:O,,-1,-1),"m/d(ddd)")</f>
        <v>#REF!</v>
      </c>
      <c r="C703" s="88"/>
      <c r="D703" s="49"/>
      <c r="E703" s="41"/>
      <c r="F703" s="52" t="s">
        <v>40</v>
      </c>
      <c r="G703" s="79"/>
      <c r="H703" s="80"/>
      <c r="I703" s="69"/>
      <c r="J703" s="72"/>
      <c r="K703" s="73"/>
      <c r="L703" s="72"/>
      <c r="M703" s="73"/>
      <c r="N703" s="72"/>
      <c r="O703" s="73"/>
      <c r="P703" s="72"/>
      <c r="Q703" s="73"/>
      <c r="R703" s="72"/>
      <c r="S703" s="73"/>
      <c r="T703" s="72"/>
      <c r="U703" s="73"/>
      <c r="V703" s="72"/>
      <c r="W703" s="73"/>
      <c r="X703" s="72"/>
      <c r="Y703" s="73"/>
      <c r="Z703" s="74" t="b">
        <v>0</v>
      </c>
      <c r="AA703" s="130">
        <f t="shared" si="277"/>
        <v>0</v>
      </c>
      <c r="AB703" s="131">
        <f t="shared" si="278"/>
        <v>0</v>
      </c>
      <c r="AC703" s="132">
        <f t="shared" si="279"/>
        <v>0</v>
      </c>
      <c r="AD703" s="133">
        <f t="shared" si="280"/>
        <v>0</v>
      </c>
      <c r="AE703" s="131">
        <f t="shared" si="281"/>
        <v>0</v>
      </c>
      <c r="AF703" s="133">
        <f t="shared" si="282"/>
        <v>0</v>
      </c>
      <c r="AG703" s="1"/>
    </row>
    <row r="704" ht="21.0" customHeight="1">
      <c r="A704" s="1"/>
      <c r="B704" s="89" t="s">
        <v>44</v>
      </c>
      <c r="C704" s="49"/>
      <c r="D704" s="90">
        <f t="array" ref="D704">iferror(vlookup(xlookup(B695,'현황'!O:O,'현황'!O:O,,-1,-1),'현황'!O:S,2,false),0)</f>
        <v>0</v>
      </c>
      <c r="E704" s="51" t="s">
        <v>45</v>
      </c>
      <c r="F704" s="52" t="s">
        <v>34</v>
      </c>
      <c r="G704" s="83"/>
      <c r="H704" s="84"/>
      <c r="I704" s="85"/>
      <c r="J704" s="72"/>
      <c r="K704" s="73"/>
      <c r="L704" s="72"/>
      <c r="M704" s="73"/>
      <c r="N704" s="72"/>
      <c r="O704" s="73"/>
      <c r="P704" s="72"/>
      <c r="Q704" s="73"/>
      <c r="R704" s="72"/>
      <c r="S704" s="73"/>
      <c r="T704" s="72"/>
      <c r="U704" s="73"/>
      <c r="V704" s="72"/>
      <c r="W704" s="73"/>
      <c r="X704" s="72"/>
      <c r="Y704" s="73"/>
      <c r="Z704" s="74" t="b">
        <v>0</v>
      </c>
      <c r="AA704" s="130">
        <f t="shared" si="277"/>
        <v>0</v>
      </c>
      <c r="AB704" s="131">
        <f t="shared" si="278"/>
        <v>0</v>
      </c>
      <c r="AC704" s="132">
        <f t="shared" si="279"/>
        <v>0</v>
      </c>
      <c r="AD704" s="133">
        <f t="shared" si="280"/>
        <v>0</v>
      </c>
      <c r="AE704" s="131">
        <f t="shared" si="281"/>
        <v>0</v>
      </c>
      <c r="AF704" s="133">
        <f t="shared" si="282"/>
        <v>0</v>
      </c>
      <c r="AG704" s="1"/>
    </row>
    <row r="705" ht="21.0" customHeight="1">
      <c r="A705" s="1"/>
      <c r="B705" s="48" t="s">
        <v>46</v>
      </c>
      <c r="C705" s="49"/>
      <c r="D705" s="91">
        <f t="array" ref="D705">iferror(vlookup(xlookup(B695,'현황'!O:O,'현황'!O:O,,-1,-1),'현황'!O:S,3,false),0)</f>
        <v>0</v>
      </c>
      <c r="E705" s="66"/>
      <c r="F705" s="52" t="s">
        <v>37</v>
      </c>
      <c r="G705" s="67"/>
      <c r="H705" s="80"/>
      <c r="I705" s="69"/>
      <c r="J705" s="72"/>
      <c r="K705" s="73"/>
      <c r="L705" s="72"/>
      <c r="M705" s="73"/>
      <c r="N705" s="72"/>
      <c r="O705" s="73"/>
      <c r="P705" s="72"/>
      <c r="Q705" s="73"/>
      <c r="R705" s="72"/>
      <c r="S705" s="73"/>
      <c r="T705" s="72"/>
      <c r="U705" s="73"/>
      <c r="V705" s="72"/>
      <c r="W705" s="73"/>
      <c r="X705" s="72"/>
      <c r="Y705" s="73"/>
      <c r="Z705" s="74" t="b">
        <v>0</v>
      </c>
      <c r="AA705" s="130">
        <f t="shared" si="277"/>
        <v>0</v>
      </c>
      <c r="AB705" s="131">
        <f t="shared" si="278"/>
        <v>0</v>
      </c>
      <c r="AC705" s="132">
        <f t="shared" si="279"/>
        <v>0</v>
      </c>
      <c r="AD705" s="133">
        <f t="shared" si="280"/>
        <v>0</v>
      </c>
      <c r="AE705" s="131">
        <f t="shared" si="281"/>
        <v>0</v>
      </c>
      <c r="AF705" s="133">
        <f t="shared" si="282"/>
        <v>0</v>
      </c>
      <c r="AG705" s="1"/>
    </row>
    <row r="706" ht="21.0" customHeight="1">
      <c r="A706" s="1"/>
      <c r="B706" s="48" t="s">
        <v>47</v>
      </c>
      <c r="C706" s="49"/>
      <c r="D706" s="91">
        <f t="array" ref="D706">iferror(vlookup(xlookup(B695,'현황'!O:O,'현황'!O:O,,-1,-1),'현황'!O:S,4,false),0)</f>
        <v>0</v>
      </c>
      <c r="E706" s="41"/>
      <c r="F706" s="92" t="s">
        <v>40</v>
      </c>
      <c r="G706" s="79"/>
      <c r="H706" s="93"/>
      <c r="I706" s="94"/>
      <c r="J706" s="95"/>
      <c r="K706" s="96"/>
      <c r="L706" s="95"/>
      <c r="M706" s="96"/>
      <c r="N706" s="95"/>
      <c r="O706" s="96"/>
      <c r="P706" s="95"/>
      <c r="Q706" s="96"/>
      <c r="R706" s="95"/>
      <c r="S706" s="96"/>
      <c r="T706" s="95"/>
      <c r="U706" s="96"/>
      <c r="V706" s="95"/>
      <c r="W706" s="96"/>
      <c r="X706" s="95"/>
      <c r="Y706" s="96"/>
      <c r="Z706" s="97" t="b">
        <v>0</v>
      </c>
      <c r="AA706" s="135">
        <f t="shared" si="277"/>
        <v>0</v>
      </c>
      <c r="AB706" s="136">
        <f t="shared" si="278"/>
        <v>0</v>
      </c>
      <c r="AC706" s="137">
        <f t="shared" si="279"/>
        <v>0</v>
      </c>
      <c r="AD706" s="138">
        <f t="shared" si="280"/>
        <v>0</v>
      </c>
      <c r="AE706" s="136">
        <f t="shared" si="281"/>
        <v>0</v>
      </c>
      <c r="AF706" s="138">
        <f t="shared" si="282"/>
        <v>0</v>
      </c>
      <c r="AG706" s="1"/>
    </row>
    <row r="707" ht="21.0" customHeight="1">
      <c r="A707" s="1"/>
      <c r="B707" s="102" t="s">
        <v>48</v>
      </c>
      <c r="C707" s="103"/>
      <c r="D707" s="104">
        <f>iferror(D706/D704,0)</f>
        <v>0</v>
      </c>
      <c r="E707" s="102" t="s">
        <v>49</v>
      </c>
      <c r="F707" s="103"/>
      <c r="G707" s="105"/>
      <c r="H707" s="106" t="s">
        <v>50</v>
      </c>
      <c r="I707" s="107"/>
      <c r="J707" s="11"/>
      <c r="K707" s="11"/>
      <c r="L707" s="11"/>
      <c r="M707" s="11"/>
      <c r="N707" s="11"/>
      <c r="O707" s="11"/>
      <c r="P707" s="108" t="s">
        <v>51</v>
      </c>
      <c r="Q707" s="12"/>
      <c r="R707" s="109"/>
      <c r="S707" s="11"/>
      <c r="T707" s="11"/>
      <c r="U707" s="11"/>
      <c r="V707" s="11"/>
      <c r="W707" s="11"/>
      <c r="X707" s="11"/>
      <c r="Y707" s="11"/>
      <c r="Z707" s="12"/>
      <c r="AA707" s="139">
        <f>SUM(AA698:AA706)</f>
        <v>0</v>
      </c>
      <c r="AB707" s="140" t="s">
        <v>191</v>
      </c>
      <c r="AG707" s="1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1"/>
      <c r="AA708" s="1"/>
      <c r="AB708" s="1"/>
      <c r="AC708" s="3"/>
      <c r="AD708" s="1"/>
      <c r="AE708" s="1"/>
      <c r="AF708" s="1"/>
      <c r="AG708" s="1"/>
    </row>
    <row r="709" ht="21.0" customHeight="1">
      <c r="A709" s="1"/>
      <c r="B709" s="4" t="s">
        <v>1</v>
      </c>
      <c r="C709" s="5"/>
      <c r="D709" s="6" t="s">
        <v>2</v>
      </c>
      <c r="E709" s="7"/>
      <c r="F709" s="7"/>
      <c r="G709" s="5"/>
      <c r="H709" s="8" t="s">
        <v>3</v>
      </c>
      <c r="I709" s="8" t="s">
        <v>4</v>
      </c>
      <c r="J709" s="9" t="s">
        <v>5</v>
      </c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5"/>
      <c r="AA709" s="117" t="s">
        <v>6</v>
      </c>
      <c r="AB709" s="11"/>
      <c r="AC709" s="11"/>
      <c r="AD709" s="11"/>
      <c r="AE709" s="11"/>
      <c r="AF709" s="12"/>
      <c r="AG709" s="1"/>
    </row>
    <row r="710" ht="21.0" customHeight="1">
      <c r="A710" s="1"/>
      <c r="B710" s="149" t="s">
        <v>138</v>
      </c>
      <c r="C710" s="14" t="str">
        <f>if(B710="0/0","",choose(weekday(B710),"(일)","(월)","(화)","(수)","(목)","(금)","(토)"))</f>
        <v/>
      </c>
      <c r="D710" s="15" t="s">
        <v>7</v>
      </c>
      <c r="E710" s="16" t="s">
        <v>8</v>
      </c>
      <c r="F710" s="17"/>
      <c r="G710" s="18" t="s">
        <v>9</v>
      </c>
      <c r="H710" s="150" t="s">
        <v>139</v>
      </c>
      <c r="I710" s="151"/>
      <c r="J710" s="21" t="s">
        <v>12</v>
      </c>
      <c r="K710" s="22"/>
      <c r="L710" s="21" t="s">
        <v>13</v>
      </c>
      <c r="M710" s="22"/>
      <c r="N710" s="21" t="s">
        <v>14</v>
      </c>
      <c r="O710" s="22"/>
      <c r="P710" s="21" t="s">
        <v>15</v>
      </c>
      <c r="Q710" s="22"/>
      <c r="R710" s="23" t="s">
        <v>16</v>
      </c>
      <c r="S710" s="22"/>
      <c r="T710" s="23" t="s">
        <v>17</v>
      </c>
      <c r="U710" s="22"/>
      <c r="V710" s="23" t="s">
        <v>18</v>
      </c>
      <c r="W710" s="22"/>
      <c r="X710" s="23" t="s">
        <v>19</v>
      </c>
      <c r="Y710" s="22"/>
      <c r="Z710" s="24" t="s">
        <v>192</v>
      </c>
      <c r="AA710" s="118" t="s">
        <v>21</v>
      </c>
      <c r="AB710" s="119" t="s">
        <v>22</v>
      </c>
      <c r="AC710" s="7"/>
      <c r="AD710" s="22"/>
      <c r="AE710" s="120" t="s">
        <v>23</v>
      </c>
      <c r="AF710" s="22"/>
      <c r="AG710" s="1"/>
    </row>
    <row r="711" ht="21.0" customHeight="1">
      <c r="A711" s="1"/>
      <c r="B711" s="27">
        <f>iferror(B710-'현황'!$C$4+1,0)</f>
        <v>0</v>
      </c>
      <c r="C711" s="28"/>
      <c r="D711" s="29">
        <v>0.0</v>
      </c>
      <c r="E711" s="30">
        <v>0.0</v>
      </c>
      <c r="F711" s="31"/>
      <c r="G711" s="32">
        <v>0.0</v>
      </c>
      <c r="H711" s="33">
        <v>0.0</v>
      </c>
      <c r="I711" s="34"/>
      <c r="J711" s="35"/>
      <c r="K711" s="36"/>
      <c r="L711" s="35"/>
      <c r="M711" s="36"/>
      <c r="N711" s="35"/>
      <c r="O711" s="36"/>
      <c r="P711" s="35"/>
      <c r="Q711" s="36"/>
      <c r="R711" s="35"/>
      <c r="S711" s="36"/>
      <c r="T711" s="35"/>
      <c r="U711" s="36"/>
      <c r="V711" s="35"/>
      <c r="W711" s="36"/>
      <c r="X711" s="35"/>
      <c r="Y711" s="36"/>
      <c r="Z711" s="37"/>
      <c r="AA711" s="37"/>
      <c r="AB711" s="35"/>
      <c r="AC711" s="38"/>
      <c r="AD711" s="36"/>
      <c r="AE711" s="35"/>
      <c r="AF711" s="36"/>
      <c r="AG711" s="1"/>
    </row>
    <row r="712" ht="21.0" customHeight="1">
      <c r="A712" s="1"/>
      <c r="B712" s="39" t="s">
        <v>24</v>
      </c>
      <c r="C712" s="40"/>
      <c r="D712" s="41"/>
      <c r="E712" s="42" t="s">
        <v>25</v>
      </c>
      <c r="F712" s="40"/>
      <c r="G712" s="41"/>
      <c r="H712" s="43" t="s">
        <v>26</v>
      </c>
      <c r="J712" s="44" t="s">
        <v>27</v>
      </c>
      <c r="K712" s="45" t="s">
        <v>28</v>
      </c>
      <c r="L712" s="44" t="s">
        <v>27</v>
      </c>
      <c r="M712" s="45" t="s">
        <v>28</v>
      </c>
      <c r="N712" s="44" t="s">
        <v>27</v>
      </c>
      <c r="O712" s="45" t="s">
        <v>28</v>
      </c>
      <c r="P712" s="44" t="s">
        <v>27</v>
      </c>
      <c r="Q712" s="45" t="s">
        <v>28</v>
      </c>
      <c r="R712" s="44" t="s">
        <v>27</v>
      </c>
      <c r="S712" s="45" t="s">
        <v>28</v>
      </c>
      <c r="T712" s="44" t="s">
        <v>27</v>
      </c>
      <c r="U712" s="45" t="s">
        <v>28</v>
      </c>
      <c r="V712" s="44" t="s">
        <v>27</v>
      </c>
      <c r="W712" s="45" t="s">
        <v>28</v>
      </c>
      <c r="X712" s="44" t="s">
        <v>27</v>
      </c>
      <c r="Y712" s="45" t="s">
        <v>28</v>
      </c>
      <c r="Z712" s="46"/>
      <c r="AA712" s="46"/>
      <c r="AB712" s="121" t="s">
        <v>29</v>
      </c>
      <c r="AC712" s="122" t="s">
        <v>30</v>
      </c>
      <c r="AD712" s="123" t="s">
        <v>31</v>
      </c>
      <c r="AE712" s="121" t="s">
        <v>27</v>
      </c>
      <c r="AF712" s="123" t="s">
        <v>28</v>
      </c>
      <c r="AG712" s="1"/>
    </row>
    <row r="713" ht="21.0" customHeight="1">
      <c r="A713" s="1"/>
      <c r="B713" s="48" t="s">
        <v>32</v>
      </c>
      <c r="C713" s="49"/>
      <c r="D713" s="50"/>
      <c r="E713" s="51" t="s">
        <v>33</v>
      </c>
      <c r="F713" s="52" t="s">
        <v>34</v>
      </c>
      <c r="G713" s="53"/>
      <c r="H713" s="148"/>
      <c r="I713" s="55"/>
      <c r="J713" s="58"/>
      <c r="K713" s="59"/>
      <c r="L713" s="58"/>
      <c r="M713" s="59"/>
      <c r="N713" s="58"/>
      <c r="O713" s="59"/>
      <c r="P713" s="58"/>
      <c r="Q713" s="59"/>
      <c r="R713" s="58"/>
      <c r="S713" s="59"/>
      <c r="T713" s="58"/>
      <c r="U713" s="59"/>
      <c r="V713" s="58"/>
      <c r="W713" s="59"/>
      <c r="X713" s="58"/>
      <c r="Y713" s="59"/>
      <c r="Z713" s="60" t="b">
        <v>0</v>
      </c>
      <c r="AA713" s="125">
        <f t="shared" ref="AA713:AA721" si="283">(J713*K713+L713*M713+N713*O713+P713*Q713+R713*S713+T713*U713+V713*W713+X713*Y713)*if(Z713=true,0.453592,1)</f>
        <v>0</v>
      </c>
      <c r="AB713" s="126">
        <f t="shared" ref="AB713:AB721" si="284">SUM(AE713*AF713*0.025,AE713)</f>
        <v>0</v>
      </c>
      <c r="AC713" s="127">
        <f t="shared" ref="AC713:AC721" si="285">AB713*87%</f>
        <v>0</v>
      </c>
      <c r="AD713" s="128">
        <f t="shared" ref="AD713:AD721" si="286">AB713*67%</f>
        <v>0</v>
      </c>
      <c r="AE713" s="126">
        <f t="shared" ref="AE713:AE721" si="287">MAX(J713,L713,N713,P713,R713,T713,V713,X713)*if(Z713=true,0.453592,1)</f>
        <v>0</v>
      </c>
      <c r="AF713" s="128">
        <f t="shared" ref="AF713:AF721" si="288">MAX(IF(J713*if(Z713=true,0.453592,1)=$AE713,K713,0),IF(L713*if(Z713=true,0.453592,1)=$AE713,M713,0),IF(N713*if(Z713=true,0.453592,1)=$AE713,O713,0),IF(P713*if(Z713=true,0.453592,1)=$AE713,Q713,0),IF(R713*if(Z713=true,0.453592,1)=$AE713,S713,0),IF(T713*if(Z713=true,0.453592,1)=$AE713,U713,0),IF(V713*if(Z713=true,0.453592,1)=$AE713,W713,0),IF(X713*if(Z713=true,0.453592,1)=$AE713,Y713,0))</f>
        <v>0</v>
      </c>
      <c r="AG713" s="1"/>
    </row>
    <row r="714" ht="21.0" customHeight="1">
      <c r="A714" s="1"/>
      <c r="B714" s="48" t="s">
        <v>36</v>
      </c>
      <c r="C714" s="49"/>
      <c r="D714" s="65"/>
      <c r="E714" s="66"/>
      <c r="F714" s="52" t="s">
        <v>37</v>
      </c>
      <c r="G714" s="67"/>
      <c r="H714" s="129"/>
      <c r="I714" s="69"/>
      <c r="J714" s="72"/>
      <c r="K714" s="73"/>
      <c r="L714" s="72"/>
      <c r="M714" s="73"/>
      <c r="N714" s="72"/>
      <c r="O714" s="73"/>
      <c r="P714" s="72"/>
      <c r="Q714" s="73"/>
      <c r="R714" s="72"/>
      <c r="S714" s="73"/>
      <c r="T714" s="72"/>
      <c r="U714" s="73"/>
      <c r="V714" s="72"/>
      <c r="W714" s="73"/>
      <c r="X714" s="72"/>
      <c r="Y714" s="73"/>
      <c r="Z714" s="74" t="b">
        <v>0</v>
      </c>
      <c r="AA714" s="130">
        <f t="shared" si="283"/>
        <v>0</v>
      </c>
      <c r="AB714" s="131">
        <f t="shared" si="284"/>
        <v>0</v>
      </c>
      <c r="AC714" s="132">
        <f t="shared" si="285"/>
        <v>0</v>
      </c>
      <c r="AD714" s="133">
        <f t="shared" si="286"/>
        <v>0</v>
      </c>
      <c r="AE714" s="131">
        <f t="shared" si="287"/>
        <v>0</v>
      </c>
      <c r="AF714" s="133">
        <f t="shared" si="288"/>
        <v>0</v>
      </c>
      <c r="AG714" s="1"/>
    </row>
    <row r="715" ht="21.0" customHeight="1">
      <c r="A715" s="1"/>
      <c r="B715" s="48" t="s">
        <v>39</v>
      </c>
      <c r="C715" s="49"/>
      <c r="D715" s="65"/>
      <c r="E715" s="41"/>
      <c r="F715" s="52" t="s">
        <v>40</v>
      </c>
      <c r="G715" s="79"/>
      <c r="H715" s="80"/>
      <c r="I715" s="69"/>
      <c r="J715" s="72"/>
      <c r="K715" s="73"/>
      <c r="L715" s="72"/>
      <c r="M715" s="73"/>
      <c r="N715" s="72"/>
      <c r="O715" s="73"/>
      <c r="P715" s="72"/>
      <c r="Q715" s="73"/>
      <c r="R715" s="72"/>
      <c r="S715" s="73"/>
      <c r="T715" s="72"/>
      <c r="U715" s="73"/>
      <c r="V715" s="72"/>
      <c r="W715" s="73"/>
      <c r="X715" s="72"/>
      <c r="Y715" s="73"/>
      <c r="Z715" s="74" t="b">
        <v>0</v>
      </c>
      <c r="AA715" s="130">
        <f t="shared" si="283"/>
        <v>0</v>
      </c>
      <c r="AB715" s="131">
        <f t="shared" si="284"/>
        <v>0</v>
      </c>
      <c r="AC715" s="132">
        <f t="shared" si="285"/>
        <v>0</v>
      </c>
      <c r="AD715" s="133">
        <f t="shared" si="286"/>
        <v>0</v>
      </c>
      <c r="AE715" s="131">
        <f t="shared" si="287"/>
        <v>0</v>
      </c>
      <c r="AF715" s="133">
        <f t="shared" si="288"/>
        <v>0</v>
      </c>
      <c r="AG715" s="1"/>
    </row>
    <row r="716" ht="21.0" customHeight="1">
      <c r="A716" s="1"/>
      <c r="B716" s="48" t="s">
        <v>41</v>
      </c>
      <c r="C716" s="81"/>
      <c r="D716" s="82" t="b">
        <v>0</v>
      </c>
      <c r="E716" s="51" t="s">
        <v>42</v>
      </c>
      <c r="F716" s="52" t="s">
        <v>34</v>
      </c>
      <c r="G716" s="83"/>
      <c r="H716" s="84"/>
      <c r="I716" s="85"/>
      <c r="J716" s="72"/>
      <c r="K716" s="73"/>
      <c r="L716" s="72"/>
      <c r="M716" s="73"/>
      <c r="N716" s="72"/>
      <c r="O716" s="73"/>
      <c r="P716" s="72"/>
      <c r="Q716" s="73"/>
      <c r="R716" s="72"/>
      <c r="S716" s="73"/>
      <c r="T716" s="72"/>
      <c r="U716" s="73"/>
      <c r="V716" s="72"/>
      <c r="W716" s="73"/>
      <c r="X716" s="72"/>
      <c r="Y716" s="73"/>
      <c r="Z716" s="74" t="b">
        <v>0</v>
      </c>
      <c r="AA716" s="130">
        <f t="shared" si="283"/>
        <v>0</v>
      </c>
      <c r="AB716" s="131">
        <f t="shared" si="284"/>
        <v>0</v>
      </c>
      <c r="AC716" s="132">
        <f t="shared" si="285"/>
        <v>0</v>
      </c>
      <c r="AD716" s="133">
        <f t="shared" si="286"/>
        <v>0</v>
      </c>
      <c r="AE716" s="131">
        <f t="shared" si="287"/>
        <v>0</v>
      </c>
      <c r="AF716" s="133">
        <f t="shared" si="288"/>
        <v>0</v>
      </c>
      <c r="AG716" s="1"/>
    </row>
    <row r="717" ht="21.0" customHeight="1">
      <c r="A717" s="1"/>
      <c r="B717" s="48" t="s">
        <v>43</v>
      </c>
      <c r="C717" s="49"/>
      <c r="D717" s="86" t="b">
        <v>0</v>
      </c>
      <c r="E717" s="66"/>
      <c r="F717" s="52" t="s">
        <v>37</v>
      </c>
      <c r="G717" s="67"/>
      <c r="H717" s="80"/>
      <c r="I717" s="69"/>
      <c r="J717" s="72"/>
      <c r="K717" s="73"/>
      <c r="L717" s="72"/>
      <c r="M717" s="73"/>
      <c r="N717" s="72"/>
      <c r="O717" s="73"/>
      <c r="P717" s="72"/>
      <c r="Q717" s="73"/>
      <c r="R717" s="72"/>
      <c r="S717" s="73"/>
      <c r="T717" s="72"/>
      <c r="U717" s="73"/>
      <c r="V717" s="72"/>
      <c r="W717" s="73"/>
      <c r="X717" s="72"/>
      <c r="Y717" s="73"/>
      <c r="Z717" s="74" t="b">
        <v>0</v>
      </c>
      <c r="AA717" s="130">
        <f t="shared" si="283"/>
        <v>0</v>
      </c>
      <c r="AB717" s="131">
        <f t="shared" si="284"/>
        <v>0</v>
      </c>
      <c r="AC717" s="132">
        <f t="shared" si="285"/>
        <v>0</v>
      </c>
      <c r="AD717" s="133">
        <f t="shared" si="286"/>
        <v>0</v>
      </c>
      <c r="AE717" s="131">
        <f t="shared" si="287"/>
        <v>0</v>
      </c>
      <c r="AF717" s="133">
        <f t="shared" si="288"/>
        <v>0</v>
      </c>
      <c r="AG717" s="1"/>
    </row>
    <row r="718" ht="21.0" customHeight="1">
      <c r="A718" s="1"/>
      <c r="B718" s="87" t="str">
        <f t="array" ref="B718">"📌최근 인바디 결과 : "&amp;text(xlookup(B710,'현황'!O:O,'현황'!O:O,,-1,-1),"m/d(ddd)")</f>
        <v>#REF!</v>
      </c>
      <c r="C718" s="88"/>
      <c r="D718" s="49"/>
      <c r="E718" s="41"/>
      <c r="F718" s="52" t="s">
        <v>40</v>
      </c>
      <c r="G718" s="79"/>
      <c r="H718" s="80"/>
      <c r="I718" s="69"/>
      <c r="J718" s="72"/>
      <c r="K718" s="73"/>
      <c r="L718" s="72"/>
      <c r="M718" s="73"/>
      <c r="N718" s="72"/>
      <c r="O718" s="73"/>
      <c r="P718" s="72"/>
      <c r="Q718" s="73"/>
      <c r="R718" s="72"/>
      <c r="S718" s="73"/>
      <c r="T718" s="72"/>
      <c r="U718" s="73"/>
      <c r="V718" s="72"/>
      <c r="W718" s="73"/>
      <c r="X718" s="72"/>
      <c r="Y718" s="73"/>
      <c r="Z718" s="74" t="b">
        <v>0</v>
      </c>
      <c r="AA718" s="130">
        <f t="shared" si="283"/>
        <v>0</v>
      </c>
      <c r="AB718" s="131">
        <f t="shared" si="284"/>
        <v>0</v>
      </c>
      <c r="AC718" s="132">
        <f t="shared" si="285"/>
        <v>0</v>
      </c>
      <c r="AD718" s="133">
        <f t="shared" si="286"/>
        <v>0</v>
      </c>
      <c r="AE718" s="131">
        <f t="shared" si="287"/>
        <v>0</v>
      </c>
      <c r="AF718" s="133">
        <f t="shared" si="288"/>
        <v>0</v>
      </c>
      <c r="AG718" s="1"/>
    </row>
    <row r="719" ht="21.0" customHeight="1">
      <c r="A719" s="1"/>
      <c r="B719" s="89" t="s">
        <v>44</v>
      </c>
      <c r="C719" s="49"/>
      <c r="D719" s="90">
        <f t="array" ref="D719">iferror(vlookup(xlookup(B710,'현황'!O:O,'현황'!O:O,,-1,-1),'현황'!O:S,2,false),0)</f>
        <v>0</v>
      </c>
      <c r="E719" s="51" t="s">
        <v>45</v>
      </c>
      <c r="F719" s="52" t="s">
        <v>34</v>
      </c>
      <c r="G719" s="83"/>
      <c r="H719" s="84"/>
      <c r="I719" s="85"/>
      <c r="J719" s="72"/>
      <c r="K719" s="73"/>
      <c r="L719" s="72"/>
      <c r="M719" s="73"/>
      <c r="N719" s="72"/>
      <c r="O719" s="73"/>
      <c r="P719" s="72"/>
      <c r="Q719" s="73"/>
      <c r="R719" s="72"/>
      <c r="S719" s="73"/>
      <c r="T719" s="72"/>
      <c r="U719" s="73"/>
      <c r="V719" s="72"/>
      <c r="W719" s="73"/>
      <c r="X719" s="72"/>
      <c r="Y719" s="73"/>
      <c r="Z719" s="74" t="b">
        <v>0</v>
      </c>
      <c r="AA719" s="130">
        <f t="shared" si="283"/>
        <v>0</v>
      </c>
      <c r="AB719" s="131">
        <f t="shared" si="284"/>
        <v>0</v>
      </c>
      <c r="AC719" s="132">
        <f t="shared" si="285"/>
        <v>0</v>
      </c>
      <c r="AD719" s="133">
        <f t="shared" si="286"/>
        <v>0</v>
      </c>
      <c r="AE719" s="131">
        <f t="shared" si="287"/>
        <v>0</v>
      </c>
      <c r="AF719" s="133">
        <f t="shared" si="288"/>
        <v>0</v>
      </c>
      <c r="AG719" s="1"/>
    </row>
    <row r="720" ht="21.0" customHeight="1">
      <c r="A720" s="1"/>
      <c r="B720" s="48" t="s">
        <v>46</v>
      </c>
      <c r="C720" s="49"/>
      <c r="D720" s="91">
        <f t="array" ref="D720">iferror(vlookup(xlookup(B710,'현황'!O:O,'현황'!O:O,,-1,-1),'현황'!O:S,3,false),0)</f>
        <v>0</v>
      </c>
      <c r="E720" s="66"/>
      <c r="F720" s="52" t="s">
        <v>37</v>
      </c>
      <c r="G720" s="67"/>
      <c r="H720" s="80"/>
      <c r="I720" s="69"/>
      <c r="J720" s="72"/>
      <c r="K720" s="73"/>
      <c r="L720" s="72"/>
      <c r="M720" s="73"/>
      <c r="N720" s="72"/>
      <c r="O720" s="73"/>
      <c r="P720" s="72"/>
      <c r="Q720" s="73"/>
      <c r="R720" s="72"/>
      <c r="S720" s="73"/>
      <c r="T720" s="72"/>
      <c r="U720" s="73"/>
      <c r="V720" s="72"/>
      <c r="W720" s="73"/>
      <c r="X720" s="72"/>
      <c r="Y720" s="73"/>
      <c r="Z720" s="74" t="b">
        <v>0</v>
      </c>
      <c r="AA720" s="130">
        <f t="shared" si="283"/>
        <v>0</v>
      </c>
      <c r="AB720" s="131">
        <f t="shared" si="284"/>
        <v>0</v>
      </c>
      <c r="AC720" s="132">
        <f t="shared" si="285"/>
        <v>0</v>
      </c>
      <c r="AD720" s="133">
        <f t="shared" si="286"/>
        <v>0</v>
      </c>
      <c r="AE720" s="131">
        <f t="shared" si="287"/>
        <v>0</v>
      </c>
      <c r="AF720" s="133">
        <f t="shared" si="288"/>
        <v>0</v>
      </c>
      <c r="AG720" s="1"/>
    </row>
    <row r="721" ht="21.0" customHeight="1">
      <c r="A721" s="1"/>
      <c r="B721" s="48" t="s">
        <v>47</v>
      </c>
      <c r="C721" s="49"/>
      <c r="D721" s="91">
        <f t="array" ref="D721">iferror(vlookup(xlookup(B710,'현황'!O:O,'현황'!O:O,,-1,-1),'현황'!O:S,4,false),0)</f>
        <v>0</v>
      </c>
      <c r="E721" s="41"/>
      <c r="F721" s="92" t="s">
        <v>40</v>
      </c>
      <c r="G721" s="79"/>
      <c r="H721" s="93"/>
      <c r="I721" s="94"/>
      <c r="J721" s="95"/>
      <c r="K721" s="96"/>
      <c r="L721" s="95"/>
      <c r="M721" s="96"/>
      <c r="N721" s="95"/>
      <c r="O721" s="96"/>
      <c r="P721" s="95"/>
      <c r="Q721" s="96"/>
      <c r="R721" s="95"/>
      <c r="S721" s="96"/>
      <c r="T721" s="95"/>
      <c r="U721" s="96"/>
      <c r="V721" s="95"/>
      <c r="W721" s="96"/>
      <c r="X721" s="95"/>
      <c r="Y721" s="96"/>
      <c r="Z721" s="97" t="b">
        <v>0</v>
      </c>
      <c r="AA721" s="135">
        <f t="shared" si="283"/>
        <v>0</v>
      </c>
      <c r="AB721" s="136">
        <f t="shared" si="284"/>
        <v>0</v>
      </c>
      <c r="AC721" s="137">
        <f t="shared" si="285"/>
        <v>0</v>
      </c>
      <c r="AD721" s="138">
        <f t="shared" si="286"/>
        <v>0</v>
      </c>
      <c r="AE721" s="136">
        <f t="shared" si="287"/>
        <v>0</v>
      </c>
      <c r="AF721" s="138">
        <f t="shared" si="288"/>
        <v>0</v>
      </c>
      <c r="AG721" s="1"/>
    </row>
    <row r="722" ht="21.0" customHeight="1">
      <c r="A722" s="1"/>
      <c r="B722" s="102" t="s">
        <v>48</v>
      </c>
      <c r="C722" s="103"/>
      <c r="D722" s="104">
        <f>iferror(D721/D719,0)</f>
        <v>0</v>
      </c>
      <c r="E722" s="102" t="s">
        <v>49</v>
      </c>
      <c r="F722" s="103"/>
      <c r="G722" s="105"/>
      <c r="H722" s="143" t="s">
        <v>50</v>
      </c>
      <c r="I722" s="144"/>
      <c r="J722" s="11"/>
      <c r="K722" s="11"/>
      <c r="L722" s="11"/>
      <c r="M722" s="11"/>
      <c r="N722" s="11"/>
      <c r="O722" s="11"/>
      <c r="P722" s="145" t="s">
        <v>51</v>
      </c>
      <c r="Q722" s="12"/>
      <c r="R722" s="146"/>
      <c r="S722" s="11"/>
      <c r="T722" s="11"/>
      <c r="U722" s="11"/>
      <c r="V722" s="11"/>
      <c r="W722" s="11"/>
      <c r="X722" s="11"/>
      <c r="Y722" s="11"/>
      <c r="Z722" s="12"/>
      <c r="AA722" s="139">
        <f>SUM(AA713:AA721)</f>
        <v>0</v>
      </c>
      <c r="AB722" s="140" t="s">
        <v>193</v>
      </c>
      <c r="AG722" s="1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1"/>
      <c r="AA723" s="1"/>
      <c r="AB723" s="1"/>
      <c r="AC723" s="3"/>
      <c r="AD723" s="1"/>
      <c r="AE723" s="1"/>
      <c r="AF723" s="1"/>
      <c r="AG723" s="1"/>
    </row>
    <row r="724" ht="21.0" customHeight="1">
      <c r="A724" s="1"/>
      <c r="B724" s="4" t="s">
        <v>1</v>
      </c>
      <c r="C724" s="5"/>
      <c r="D724" s="6" t="s">
        <v>2</v>
      </c>
      <c r="E724" s="7"/>
      <c r="F724" s="7"/>
      <c r="G724" s="5"/>
      <c r="H724" s="8" t="s">
        <v>3</v>
      </c>
      <c r="I724" s="8" t="s">
        <v>4</v>
      </c>
      <c r="J724" s="9" t="s">
        <v>5</v>
      </c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5"/>
      <c r="AA724" s="117" t="s">
        <v>6</v>
      </c>
      <c r="AB724" s="11"/>
      <c r="AC724" s="11"/>
      <c r="AD724" s="11"/>
      <c r="AE724" s="11"/>
      <c r="AF724" s="12"/>
      <c r="AG724" s="1"/>
    </row>
    <row r="725" ht="21.0" customHeight="1">
      <c r="A725" s="1"/>
      <c r="B725" s="149" t="s">
        <v>138</v>
      </c>
      <c r="C725" s="14" t="str">
        <f>if(B725="0/0","",choose(weekday(B725),"(일)","(월)","(화)","(수)","(목)","(금)","(토)"))</f>
        <v/>
      </c>
      <c r="D725" s="15" t="s">
        <v>7</v>
      </c>
      <c r="E725" s="16" t="s">
        <v>8</v>
      </c>
      <c r="F725" s="17"/>
      <c r="G725" s="18" t="s">
        <v>9</v>
      </c>
      <c r="H725" s="150" t="s">
        <v>139</v>
      </c>
      <c r="I725" s="151"/>
      <c r="J725" s="21" t="s">
        <v>12</v>
      </c>
      <c r="K725" s="22"/>
      <c r="L725" s="21" t="s">
        <v>13</v>
      </c>
      <c r="M725" s="22"/>
      <c r="N725" s="21" t="s">
        <v>14</v>
      </c>
      <c r="O725" s="22"/>
      <c r="P725" s="21" t="s">
        <v>15</v>
      </c>
      <c r="Q725" s="22"/>
      <c r="R725" s="23" t="s">
        <v>16</v>
      </c>
      <c r="S725" s="22"/>
      <c r="T725" s="23" t="s">
        <v>17</v>
      </c>
      <c r="U725" s="22"/>
      <c r="V725" s="23" t="s">
        <v>18</v>
      </c>
      <c r="W725" s="22"/>
      <c r="X725" s="23" t="s">
        <v>19</v>
      </c>
      <c r="Y725" s="22"/>
      <c r="Z725" s="24" t="s">
        <v>194</v>
      </c>
      <c r="AA725" s="118" t="s">
        <v>21</v>
      </c>
      <c r="AB725" s="119" t="s">
        <v>22</v>
      </c>
      <c r="AC725" s="7"/>
      <c r="AD725" s="22"/>
      <c r="AE725" s="120" t="s">
        <v>23</v>
      </c>
      <c r="AF725" s="22"/>
      <c r="AG725" s="1"/>
    </row>
    <row r="726" ht="21.0" customHeight="1">
      <c r="A726" s="1"/>
      <c r="B726" s="27">
        <f>iferror(B725-'현황'!$C$4+1,0)</f>
        <v>0</v>
      </c>
      <c r="C726" s="28"/>
      <c r="D726" s="29">
        <v>0.0</v>
      </c>
      <c r="E726" s="30">
        <v>0.0</v>
      </c>
      <c r="F726" s="31"/>
      <c r="G726" s="32">
        <v>0.0</v>
      </c>
      <c r="H726" s="33">
        <v>0.0</v>
      </c>
      <c r="I726" s="34"/>
      <c r="J726" s="35"/>
      <c r="K726" s="36"/>
      <c r="L726" s="35"/>
      <c r="M726" s="36"/>
      <c r="N726" s="35"/>
      <c r="O726" s="36"/>
      <c r="P726" s="35"/>
      <c r="Q726" s="36"/>
      <c r="R726" s="35"/>
      <c r="S726" s="36"/>
      <c r="T726" s="35"/>
      <c r="U726" s="36"/>
      <c r="V726" s="35"/>
      <c r="W726" s="36"/>
      <c r="X726" s="35"/>
      <c r="Y726" s="36"/>
      <c r="Z726" s="37"/>
      <c r="AA726" s="37"/>
      <c r="AB726" s="35"/>
      <c r="AC726" s="38"/>
      <c r="AD726" s="36"/>
      <c r="AE726" s="35"/>
      <c r="AF726" s="36"/>
      <c r="AG726" s="1"/>
    </row>
    <row r="727" ht="21.0" customHeight="1">
      <c r="A727" s="1"/>
      <c r="B727" s="39" t="s">
        <v>24</v>
      </c>
      <c r="C727" s="40"/>
      <c r="D727" s="41"/>
      <c r="E727" s="42" t="s">
        <v>25</v>
      </c>
      <c r="F727" s="40"/>
      <c r="G727" s="41"/>
      <c r="H727" s="43" t="s">
        <v>26</v>
      </c>
      <c r="J727" s="44" t="s">
        <v>27</v>
      </c>
      <c r="K727" s="45" t="s">
        <v>28</v>
      </c>
      <c r="L727" s="44" t="s">
        <v>27</v>
      </c>
      <c r="M727" s="45" t="s">
        <v>28</v>
      </c>
      <c r="N727" s="44" t="s">
        <v>27</v>
      </c>
      <c r="O727" s="45" t="s">
        <v>28</v>
      </c>
      <c r="P727" s="44" t="s">
        <v>27</v>
      </c>
      <c r="Q727" s="45" t="s">
        <v>28</v>
      </c>
      <c r="R727" s="44" t="s">
        <v>27</v>
      </c>
      <c r="S727" s="45" t="s">
        <v>28</v>
      </c>
      <c r="T727" s="44" t="s">
        <v>27</v>
      </c>
      <c r="U727" s="45" t="s">
        <v>28</v>
      </c>
      <c r="V727" s="44" t="s">
        <v>27</v>
      </c>
      <c r="W727" s="45" t="s">
        <v>28</v>
      </c>
      <c r="X727" s="44" t="s">
        <v>27</v>
      </c>
      <c r="Y727" s="45" t="s">
        <v>28</v>
      </c>
      <c r="Z727" s="46"/>
      <c r="AA727" s="46"/>
      <c r="AB727" s="121" t="s">
        <v>29</v>
      </c>
      <c r="AC727" s="122" t="s">
        <v>30</v>
      </c>
      <c r="AD727" s="123" t="s">
        <v>31</v>
      </c>
      <c r="AE727" s="121" t="s">
        <v>27</v>
      </c>
      <c r="AF727" s="123" t="s">
        <v>28</v>
      </c>
      <c r="AG727" s="1"/>
    </row>
    <row r="728" ht="21.0" customHeight="1">
      <c r="A728" s="1"/>
      <c r="B728" s="48" t="s">
        <v>32</v>
      </c>
      <c r="C728" s="49"/>
      <c r="D728" s="50"/>
      <c r="E728" s="51" t="s">
        <v>33</v>
      </c>
      <c r="F728" s="52" t="s">
        <v>34</v>
      </c>
      <c r="G728" s="53"/>
      <c r="H728" s="148"/>
      <c r="I728" s="55"/>
      <c r="J728" s="58"/>
      <c r="K728" s="59"/>
      <c r="L728" s="58"/>
      <c r="M728" s="59"/>
      <c r="N728" s="58"/>
      <c r="O728" s="59"/>
      <c r="P728" s="58"/>
      <c r="Q728" s="59"/>
      <c r="R728" s="58"/>
      <c r="S728" s="59"/>
      <c r="T728" s="58"/>
      <c r="U728" s="59"/>
      <c r="V728" s="58"/>
      <c r="W728" s="59"/>
      <c r="X728" s="58"/>
      <c r="Y728" s="59"/>
      <c r="Z728" s="60" t="b">
        <v>0</v>
      </c>
      <c r="AA728" s="125">
        <f t="shared" ref="AA728:AA736" si="289">(J728*K728+L728*M728+N728*O728+P728*Q728+R728*S728+T728*U728+V728*W728+X728*Y728)*if(Z728=true,0.453592,1)</f>
        <v>0</v>
      </c>
      <c r="AB728" s="126">
        <f t="shared" ref="AB728:AB736" si="290">SUM(AE728*AF728*0.025,AE728)</f>
        <v>0</v>
      </c>
      <c r="AC728" s="127">
        <f t="shared" ref="AC728:AC736" si="291">AB728*87%</f>
        <v>0</v>
      </c>
      <c r="AD728" s="128">
        <f t="shared" ref="AD728:AD736" si="292">AB728*67%</f>
        <v>0</v>
      </c>
      <c r="AE728" s="126">
        <f t="shared" ref="AE728:AE736" si="293">MAX(J728,L728,N728,P728,R728,T728,V728,X728)*if(Z728=true,0.453592,1)</f>
        <v>0</v>
      </c>
      <c r="AF728" s="128">
        <f t="shared" ref="AF728:AF736" si="294">MAX(IF(J728*if(Z728=true,0.453592,1)=$AE728,K728,0),IF(L728*if(Z728=true,0.453592,1)=$AE728,M728,0),IF(N728*if(Z728=true,0.453592,1)=$AE728,O728,0),IF(P728*if(Z728=true,0.453592,1)=$AE728,Q728,0),IF(R728*if(Z728=true,0.453592,1)=$AE728,S728,0),IF(T728*if(Z728=true,0.453592,1)=$AE728,U728,0),IF(V728*if(Z728=true,0.453592,1)=$AE728,W728,0),IF(X728*if(Z728=true,0.453592,1)=$AE728,Y728,0))</f>
        <v>0</v>
      </c>
      <c r="AG728" s="1"/>
    </row>
    <row r="729" ht="21.0" customHeight="1">
      <c r="A729" s="1"/>
      <c r="B729" s="48" t="s">
        <v>36</v>
      </c>
      <c r="C729" s="49"/>
      <c r="D729" s="65"/>
      <c r="E729" s="66"/>
      <c r="F729" s="52" t="s">
        <v>37</v>
      </c>
      <c r="G729" s="67"/>
      <c r="H729" s="129"/>
      <c r="I729" s="69"/>
      <c r="J729" s="72"/>
      <c r="K729" s="73"/>
      <c r="L729" s="72"/>
      <c r="M729" s="73"/>
      <c r="N729" s="72"/>
      <c r="O729" s="73"/>
      <c r="P729" s="72"/>
      <c r="Q729" s="73"/>
      <c r="R729" s="72"/>
      <c r="S729" s="73"/>
      <c r="T729" s="72"/>
      <c r="U729" s="73"/>
      <c r="V729" s="72"/>
      <c r="W729" s="73"/>
      <c r="X729" s="72"/>
      <c r="Y729" s="73"/>
      <c r="Z729" s="74" t="b">
        <v>0</v>
      </c>
      <c r="AA729" s="130">
        <f t="shared" si="289"/>
        <v>0</v>
      </c>
      <c r="AB729" s="131">
        <f t="shared" si="290"/>
        <v>0</v>
      </c>
      <c r="AC729" s="132">
        <f t="shared" si="291"/>
        <v>0</v>
      </c>
      <c r="AD729" s="133">
        <f t="shared" si="292"/>
        <v>0</v>
      </c>
      <c r="AE729" s="131">
        <f t="shared" si="293"/>
        <v>0</v>
      </c>
      <c r="AF729" s="133">
        <f t="shared" si="294"/>
        <v>0</v>
      </c>
      <c r="AG729" s="1"/>
    </row>
    <row r="730" ht="21.0" customHeight="1">
      <c r="A730" s="1"/>
      <c r="B730" s="48" t="s">
        <v>39</v>
      </c>
      <c r="C730" s="49"/>
      <c r="D730" s="65"/>
      <c r="E730" s="41"/>
      <c r="F730" s="52" t="s">
        <v>40</v>
      </c>
      <c r="G730" s="79"/>
      <c r="H730" s="80"/>
      <c r="I730" s="69"/>
      <c r="J730" s="72"/>
      <c r="K730" s="73"/>
      <c r="L730" s="72"/>
      <c r="M730" s="73"/>
      <c r="N730" s="72"/>
      <c r="O730" s="73"/>
      <c r="P730" s="72"/>
      <c r="Q730" s="73"/>
      <c r="R730" s="72"/>
      <c r="S730" s="73"/>
      <c r="T730" s="72"/>
      <c r="U730" s="73"/>
      <c r="V730" s="72"/>
      <c r="W730" s="73"/>
      <c r="X730" s="72"/>
      <c r="Y730" s="73"/>
      <c r="Z730" s="74" t="b">
        <v>0</v>
      </c>
      <c r="AA730" s="130">
        <f t="shared" si="289"/>
        <v>0</v>
      </c>
      <c r="AB730" s="131">
        <f t="shared" si="290"/>
        <v>0</v>
      </c>
      <c r="AC730" s="132">
        <f t="shared" si="291"/>
        <v>0</v>
      </c>
      <c r="AD730" s="133">
        <f t="shared" si="292"/>
        <v>0</v>
      </c>
      <c r="AE730" s="131">
        <f t="shared" si="293"/>
        <v>0</v>
      </c>
      <c r="AF730" s="133">
        <f t="shared" si="294"/>
        <v>0</v>
      </c>
      <c r="AG730" s="1"/>
    </row>
    <row r="731" ht="21.0" customHeight="1">
      <c r="A731" s="1"/>
      <c r="B731" s="48" t="s">
        <v>41</v>
      </c>
      <c r="C731" s="81"/>
      <c r="D731" s="82" t="b">
        <v>0</v>
      </c>
      <c r="E731" s="51" t="s">
        <v>42</v>
      </c>
      <c r="F731" s="52" t="s">
        <v>34</v>
      </c>
      <c r="G731" s="83"/>
      <c r="H731" s="84"/>
      <c r="I731" s="85"/>
      <c r="J731" s="72"/>
      <c r="K731" s="73"/>
      <c r="L731" s="72"/>
      <c r="M731" s="73"/>
      <c r="N731" s="72"/>
      <c r="O731" s="73"/>
      <c r="P731" s="72"/>
      <c r="Q731" s="73"/>
      <c r="R731" s="72"/>
      <c r="S731" s="73"/>
      <c r="T731" s="72"/>
      <c r="U731" s="73"/>
      <c r="V731" s="72"/>
      <c r="W731" s="73"/>
      <c r="X731" s="72"/>
      <c r="Y731" s="73"/>
      <c r="Z731" s="74" t="b">
        <v>0</v>
      </c>
      <c r="AA731" s="130">
        <f t="shared" si="289"/>
        <v>0</v>
      </c>
      <c r="AB731" s="131">
        <f t="shared" si="290"/>
        <v>0</v>
      </c>
      <c r="AC731" s="132">
        <f t="shared" si="291"/>
        <v>0</v>
      </c>
      <c r="AD731" s="133">
        <f t="shared" si="292"/>
        <v>0</v>
      </c>
      <c r="AE731" s="131">
        <f t="shared" si="293"/>
        <v>0</v>
      </c>
      <c r="AF731" s="133">
        <f t="shared" si="294"/>
        <v>0</v>
      </c>
      <c r="AG731" s="1"/>
    </row>
    <row r="732" ht="21.0" customHeight="1">
      <c r="A732" s="1"/>
      <c r="B732" s="48" t="s">
        <v>43</v>
      </c>
      <c r="C732" s="49"/>
      <c r="D732" s="86" t="b">
        <v>0</v>
      </c>
      <c r="E732" s="66"/>
      <c r="F732" s="52" t="s">
        <v>37</v>
      </c>
      <c r="G732" s="67"/>
      <c r="H732" s="80"/>
      <c r="I732" s="69"/>
      <c r="J732" s="72"/>
      <c r="K732" s="73"/>
      <c r="L732" s="72"/>
      <c r="M732" s="73"/>
      <c r="N732" s="72"/>
      <c r="O732" s="73"/>
      <c r="P732" s="72"/>
      <c r="Q732" s="73"/>
      <c r="R732" s="72"/>
      <c r="S732" s="73"/>
      <c r="T732" s="72"/>
      <c r="U732" s="73"/>
      <c r="V732" s="72"/>
      <c r="W732" s="73"/>
      <c r="X732" s="72"/>
      <c r="Y732" s="73"/>
      <c r="Z732" s="74" t="b">
        <v>0</v>
      </c>
      <c r="AA732" s="130">
        <f t="shared" si="289"/>
        <v>0</v>
      </c>
      <c r="AB732" s="131">
        <f t="shared" si="290"/>
        <v>0</v>
      </c>
      <c r="AC732" s="132">
        <f t="shared" si="291"/>
        <v>0</v>
      </c>
      <c r="AD732" s="133">
        <f t="shared" si="292"/>
        <v>0</v>
      </c>
      <c r="AE732" s="131">
        <f t="shared" si="293"/>
        <v>0</v>
      </c>
      <c r="AF732" s="133">
        <f t="shared" si="294"/>
        <v>0</v>
      </c>
      <c r="AG732" s="1"/>
    </row>
    <row r="733" ht="21.0" customHeight="1">
      <c r="A733" s="1"/>
      <c r="B733" s="87" t="str">
        <f t="array" ref="B733">"📌최근 인바디 결과 : "&amp;text(xlookup(B725,'현황'!O:O,'현황'!O:O,,-1,-1),"m/d(ddd)")</f>
        <v>#REF!</v>
      </c>
      <c r="C733" s="88"/>
      <c r="D733" s="49"/>
      <c r="E733" s="41"/>
      <c r="F733" s="52" t="s">
        <v>40</v>
      </c>
      <c r="G733" s="79"/>
      <c r="H733" s="80"/>
      <c r="I733" s="69"/>
      <c r="J733" s="72"/>
      <c r="K733" s="73"/>
      <c r="L733" s="72"/>
      <c r="M733" s="73"/>
      <c r="N733" s="72"/>
      <c r="O733" s="73"/>
      <c r="P733" s="72"/>
      <c r="Q733" s="73"/>
      <c r="R733" s="72"/>
      <c r="S733" s="73"/>
      <c r="T733" s="72"/>
      <c r="U733" s="73"/>
      <c r="V733" s="72"/>
      <c r="W733" s="73"/>
      <c r="X733" s="72"/>
      <c r="Y733" s="73"/>
      <c r="Z733" s="74" t="b">
        <v>0</v>
      </c>
      <c r="AA733" s="130">
        <f t="shared" si="289"/>
        <v>0</v>
      </c>
      <c r="AB733" s="131">
        <f t="shared" si="290"/>
        <v>0</v>
      </c>
      <c r="AC733" s="132">
        <f t="shared" si="291"/>
        <v>0</v>
      </c>
      <c r="AD733" s="133">
        <f t="shared" si="292"/>
        <v>0</v>
      </c>
      <c r="AE733" s="131">
        <f t="shared" si="293"/>
        <v>0</v>
      </c>
      <c r="AF733" s="133">
        <f t="shared" si="294"/>
        <v>0</v>
      </c>
      <c r="AG733" s="1"/>
    </row>
    <row r="734" ht="21.0" customHeight="1">
      <c r="A734" s="1"/>
      <c r="B734" s="89" t="s">
        <v>44</v>
      </c>
      <c r="C734" s="49"/>
      <c r="D734" s="90">
        <f t="array" ref="D734">iferror(vlookup(xlookup(B725,'현황'!O:O,'현황'!O:O,,-1,-1),'현황'!O:S,2,false),0)</f>
        <v>0</v>
      </c>
      <c r="E734" s="51" t="s">
        <v>45</v>
      </c>
      <c r="F734" s="52" t="s">
        <v>34</v>
      </c>
      <c r="G734" s="83"/>
      <c r="H734" s="84"/>
      <c r="I734" s="85"/>
      <c r="J734" s="72"/>
      <c r="K734" s="73"/>
      <c r="L734" s="72"/>
      <c r="M734" s="73"/>
      <c r="N734" s="72"/>
      <c r="O734" s="73"/>
      <c r="P734" s="72"/>
      <c r="Q734" s="73"/>
      <c r="R734" s="72"/>
      <c r="S734" s="73"/>
      <c r="T734" s="72"/>
      <c r="U734" s="73"/>
      <c r="V734" s="72"/>
      <c r="W734" s="73"/>
      <c r="X734" s="72"/>
      <c r="Y734" s="73"/>
      <c r="Z734" s="74" t="b">
        <v>0</v>
      </c>
      <c r="AA734" s="130">
        <f t="shared" si="289"/>
        <v>0</v>
      </c>
      <c r="AB734" s="131">
        <f t="shared" si="290"/>
        <v>0</v>
      </c>
      <c r="AC734" s="132">
        <f t="shared" si="291"/>
        <v>0</v>
      </c>
      <c r="AD734" s="133">
        <f t="shared" si="292"/>
        <v>0</v>
      </c>
      <c r="AE734" s="131">
        <f t="shared" si="293"/>
        <v>0</v>
      </c>
      <c r="AF734" s="133">
        <f t="shared" si="294"/>
        <v>0</v>
      </c>
      <c r="AG734" s="1"/>
    </row>
    <row r="735" ht="21.0" customHeight="1">
      <c r="A735" s="1"/>
      <c r="B735" s="48" t="s">
        <v>46</v>
      </c>
      <c r="C735" s="49"/>
      <c r="D735" s="91">
        <f t="array" ref="D735">iferror(vlookup(xlookup(B725,'현황'!O:O,'현황'!O:O,,-1,-1),'현황'!O:S,3,false),0)</f>
        <v>0</v>
      </c>
      <c r="E735" s="66"/>
      <c r="F735" s="52" t="s">
        <v>37</v>
      </c>
      <c r="G735" s="67"/>
      <c r="H735" s="80"/>
      <c r="I735" s="69"/>
      <c r="J735" s="72"/>
      <c r="K735" s="73"/>
      <c r="L735" s="72"/>
      <c r="M735" s="73"/>
      <c r="N735" s="72"/>
      <c r="O735" s="73"/>
      <c r="P735" s="72"/>
      <c r="Q735" s="73"/>
      <c r="R735" s="72"/>
      <c r="S735" s="73"/>
      <c r="T735" s="72"/>
      <c r="U735" s="73"/>
      <c r="V735" s="72"/>
      <c r="W735" s="73"/>
      <c r="X735" s="72"/>
      <c r="Y735" s="73"/>
      <c r="Z735" s="74" t="b">
        <v>0</v>
      </c>
      <c r="AA735" s="130">
        <f t="shared" si="289"/>
        <v>0</v>
      </c>
      <c r="AB735" s="131">
        <f t="shared" si="290"/>
        <v>0</v>
      </c>
      <c r="AC735" s="132">
        <f t="shared" si="291"/>
        <v>0</v>
      </c>
      <c r="AD735" s="133">
        <f t="shared" si="292"/>
        <v>0</v>
      </c>
      <c r="AE735" s="131">
        <f t="shared" si="293"/>
        <v>0</v>
      </c>
      <c r="AF735" s="133">
        <f t="shared" si="294"/>
        <v>0</v>
      </c>
      <c r="AG735" s="1"/>
    </row>
    <row r="736" ht="21.0" customHeight="1">
      <c r="A736" s="1"/>
      <c r="B736" s="48" t="s">
        <v>47</v>
      </c>
      <c r="C736" s="49"/>
      <c r="D736" s="91">
        <f t="array" ref="D736">iferror(vlookup(xlookup(B725,'현황'!O:O,'현황'!O:O,,-1,-1),'현황'!O:S,4,false),0)</f>
        <v>0</v>
      </c>
      <c r="E736" s="41"/>
      <c r="F736" s="92" t="s">
        <v>40</v>
      </c>
      <c r="G736" s="79"/>
      <c r="H736" s="93"/>
      <c r="I736" s="94"/>
      <c r="J736" s="95"/>
      <c r="K736" s="96"/>
      <c r="L736" s="95"/>
      <c r="M736" s="96"/>
      <c r="N736" s="95"/>
      <c r="O736" s="96"/>
      <c r="P736" s="95"/>
      <c r="Q736" s="96"/>
      <c r="R736" s="95"/>
      <c r="S736" s="96"/>
      <c r="T736" s="95"/>
      <c r="U736" s="96"/>
      <c r="V736" s="95"/>
      <c r="W736" s="96"/>
      <c r="X736" s="95"/>
      <c r="Y736" s="96"/>
      <c r="Z736" s="97" t="b">
        <v>0</v>
      </c>
      <c r="AA736" s="135">
        <f t="shared" si="289"/>
        <v>0</v>
      </c>
      <c r="AB736" s="136">
        <f t="shared" si="290"/>
        <v>0</v>
      </c>
      <c r="AC736" s="137">
        <f t="shared" si="291"/>
        <v>0</v>
      </c>
      <c r="AD736" s="138">
        <f t="shared" si="292"/>
        <v>0</v>
      </c>
      <c r="AE736" s="136">
        <f t="shared" si="293"/>
        <v>0</v>
      </c>
      <c r="AF736" s="138">
        <f t="shared" si="294"/>
        <v>0</v>
      </c>
      <c r="AG736" s="1"/>
    </row>
    <row r="737" ht="21.0" customHeight="1">
      <c r="A737" s="1"/>
      <c r="B737" s="102" t="s">
        <v>48</v>
      </c>
      <c r="C737" s="103"/>
      <c r="D737" s="104">
        <f>iferror(D736/D734,0)</f>
        <v>0</v>
      </c>
      <c r="E737" s="102" t="s">
        <v>49</v>
      </c>
      <c r="F737" s="103"/>
      <c r="G737" s="105"/>
      <c r="H737" s="106" t="s">
        <v>50</v>
      </c>
      <c r="I737" s="107"/>
      <c r="J737" s="11"/>
      <c r="K737" s="11"/>
      <c r="L737" s="11"/>
      <c r="M737" s="11"/>
      <c r="N737" s="11"/>
      <c r="O737" s="11"/>
      <c r="P737" s="108" t="s">
        <v>51</v>
      </c>
      <c r="Q737" s="12"/>
      <c r="R737" s="109"/>
      <c r="S737" s="11"/>
      <c r="T737" s="11"/>
      <c r="U737" s="11"/>
      <c r="V737" s="11"/>
      <c r="W737" s="11"/>
      <c r="X737" s="11"/>
      <c r="Y737" s="11"/>
      <c r="Z737" s="12"/>
      <c r="AA737" s="139">
        <f>SUM(AA728:AA736)</f>
        <v>0</v>
      </c>
      <c r="AB737" s="140" t="s">
        <v>195</v>
      </c>
      <c r="AG737" s="1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1"/>
      <c r="AA738" s="1"/>
      <c r="AB738" s="1"/>
      <c r="AC738" s="3"/>
      <c r="AD738" s="1"/>
      <c r="AE738" s="1"/>
      <c r="AF738" s="1"/>
      <c r="AG738" s="1"/>
    </row>
    <row r="739" ht="21.0" customHeight="1">
      <c r="A739" s="1"/>
      <c r="B739" s="4" t="s">
        <v>1</v>
      </c>
      <c r="C739" s="5"/>
      <c r="D739" s="6" t="s">
        <v>2</v>
      </c>
      <c r="E739" s="7"/>
      <c r="F739" s="7"/>
      <c r="G739" s="5"/>
      <c r="H739" s="8" t="s">
        <v>3</v>
      </c>
      <c r="I739" s="8" t="s">
        <v>4</v>
      </c>
      <c r="J739" s="9" t="s">
        <v>5</v>
      </c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5"/>
      <c r="AA739" s="117" t="s">
        <v>6</v>
      </c>
      <c r="AB739" s="11"/>
      <c r="AC739" s="11"/>
      <c r="AD739" s="11"/>
      <c r="AE739" s="11"/>
      <c r="AF739" s="12"/>
      <c r="AG739" s="1"/>
    </row>
    <row r="740" ht="21.0" customHeight="1">
      <c r="A740" s="1"/>
      <c r="B740" s="149" t="s">
        <v>138</v>
      </c>
      <c r="C740" s="14" t="str">
        <f>if(B740="0/0","",choose(weekday(B740),"(일)","(월)","(화)","(수)","(목)","(금)","(토)"))</f>
        <v/>
      </c>
      <c r="D740" s="15" t="s">
        <v>7</v>
      </c>
      <c r="E740" s="16" t="s">
        <v>8</v>
      </c>
      <c r="F740" s="17"/>
      <c r="G740" s="18" t="s">
        <v>9</v>
      </c>
      <c r="H740" s="150" t="s">
        <v>139</v>
      </c>
      <c r="I740" s="151"/>
      <c r="J740" s="21" t="s">
        <v>12</v>
      </c>
      <c r="K740" s="22"/>
      <c r="L740" s="21" t="s">
        <v>13</v>
      </c>
      <c r="M740" s="22"/>
      <c r="N740" s="21" t="s">
        <v>14</v>
      </c>
      <c r="O740" s="22"/>
      <c r="P740" s="21" t="s">
        <v>15</v>
      </c>
      <c r="Q740" s="22"/>
      <c r="R740" s="23" t="s">
        <v>16</v>
      </c>
      <c r="S740" s="22"/>
      <c r="T740" s="23" t="s">
        <v>17</v>
      </c>
      <c r="U740" s="22"/>
      <c r="V740" s="23" t="s">
        <v>18</v>
      </c>
      <c r="W740" s="22"/>
      <c r="X740" s="23" t="s">
        <v>19</v>
      </c>
      <c r="Y740" s="22"/>
      <c r="Z740" s="24" t="s">
        <v>196</v>
      </c>
      <c r="AA740" s="118" t="s">
        <v>21</v>
      </c>
      <c r="AB740" s="119" t="s">
        <v>22</v>
      </c>
      <c r="AC740" s="7"/>
      <c r="AD740" s="22"/>
      <c r="AE740" s="120" t="s">
        <v>23</v>
      </c>
      <c r="AF740" s="22"/>
      <c r="AG740" s="1"/>
    </row>
    <row r="741" ht="21.0" customHeight="1">
      <c r="A741" s="1"/>
      <c r="B741" s="27">
        <f>iferror(B740-'현황'!$C$4+1,0)</f>
        <v>0</v>
      </c>
      <c r="C741" s="28"/>
      <c r="D741" s="29">
        <v>0.0</v>
      </c>
      <c r="E741" s="30">
        <v>0.0</v>
      </c>
      <c r="F741" s="31"/>
      <c r="G741" s="32">
        <v>0.0</v>
      </c>
      <c r="H741" s="33">
        <v>0.0</v>
      </c>
      <c r="I741" s="34"/>
      <c r="J741" s="35"/>
      <c r="K741" s="36"/>
      <c r="L741" s="35"/>
      <c r="M741" s="36"/>
      <c r="N741" s="35"/>
      <c r="O741" s="36"/>
      <c r="P741" s="35"/>
      <c r="Q741" s="36"/>
      <c r="R741" s="35"/>
      <c r="S741" s="36"/>
      <c r="T741" s="35"/>
      <c r="U741" s="36"/>
      <c r="V741" s="35"/>
      <c r="W741" s="36"/>
      <c r="X741" s="35"/>
      <c r="Y741" s="36"/>
      <c r="Z741" s="37"/>
      <c r="AA741" s="37"/>
      <c r="AB741" s="35"/>
      <c r="AC741" s="38"/>
      <c r="AD741" s="36"/>
      <c r="AE741" s="35"/>
      <c r="AF741" s="36"/>
      <c r="AG741" s="1"/>
    </row>
    <row r="742" ht="21.0" customHeight="1">
      <c r="A742" s="1"/>
      <c r="B742" s="39" t="s">
        <v>24</v>
      </c>
      <c r="C742" s="40"/>
      <c r="D742" s="41"/>
      <c r="E742" s="42" t="s">
        <v>25</v>
      </c>
      <c r="F742" s="40"/>
      <c r="G742" s="41"/>
      <c r="H742" s="43" t="s">
        <v>26</v>
      </c>
      <c r="J742" s="44" t="s">
        <v>27</v>
      </c>
      <c r="K742" s="45" t="s">
        <v>28</v>
      </c>
      <c r="L742" s="44" t="s">
        <v>27</v>
      </c>
      <c r="M742" s="45" t="s">
        <v>28</v>
      </c>
      <c r="N742" s="44" t="s">
        <v>27</v>
      </c>
      <c r="O742" s="45" t="s">
        <v>28</v>
      </c>
      <c r="P742" s="44" t="s">
        <v>27</v>
      </c>
      <c r="Q742" s="45" t="s">
        <v>28</v>
      </c>
      <c r="R742" s="44" t="s">
        <v>27</v>
      </c>
      <c r="S742" s="45" t="s">
        <v>28</v>
      </c>
      <c r="T742" s="44" t="s">
        <v>27</v>
      </c>
      <c r="U742" s="45" t="s">
        <v>28</v>
      </c>
      <c r="V742" s="44" t="s">
        <v>27</v>
      </c>
      <c r="W742" s="45" t="s">
        <v>28</v>
      </c>
      <c r="X742" s="44" t="s">
        <v>27</v>
      </c>
      <c r="Y742" s="45" t="s">
        <v>28</v>
      </c>
      <c r="Z742" s="46"/>
      <c r="AA742" s="46"/>
      <c r="AB742" s="121" t="s">
        <v>29</v>
      </c>
      <c r="AC742" s="122" t="s">
        <v>30</v>
      </c>
      <c r="AD742" s="123" t="s">
        <v>31</v>
      </c>
      <c r="AE742" s="121" t="s">
        <v>27</v>
      </c>
      <c r="AF742" s="123" t="s">
        <v>28</v>
      </c>
      <c r="AG742" s="1"/>
    </row>
    <row r="743" ht="21.0" customHeight="1">
      <c r="A743" s="1"/>
      <c r="B743" s="48" t="s">
        <v>32</v>
      </c>
      <c r="C743" s="49"/>
      <c r="D743" s="50"/>
      <c r="E743" s="51" t="s">
        <v>33</v>
      </c>
      <c r="F743" s="52" t="s">
        <v>34</v>
      </c>
      <c r="G743" s="53"/>
      <c r="H743" s="148"/>
      <c r="I743" s="55"/>
      <c r="J743" s="58"/>
      <c r="K743" s="59"/>
      <c r="L743" s="58"/>
      <c r="M743" s="59"/>
      <c r="N743" s="58"/>
      <c r="O743" s="59"/>
      <c r="P743" s="58"/>
      <c r="Q743" s="59"/>
      <c r="R743" s="58"/>
      <c r="S743" s="59"/>
      <c r="T743" s="58"/>
      <c r="U743" s="59"/>
      <c r="V743" s="58"/>
      <c r="W743" s="59"/>
      <c r="X743" s="58"/>
      <c r="Y743" s="59"/>
      <c r="Z743" s="60" t="b">
        <v>0</v>
      </c>
      <c r="AA743" s="125">
        <f t="shared" ref="AA743:AA751" si="295">(J743*K743+L743*M743+N743*O743+P743*Q743+R743*S743+T743*U743+V743*W743+X743*Y743)*if(Z743=true,0.453592,1)</f>
        <v>0</v>
      </c>
      <c r="AB743" s="126">
        <f t="shared" ref="AB743:AB751" si="296">SUM(AE743*AF743*0.025,AE743)</f>
        <v>0</v>
      </c>
      <c r="AC743" s="127">
        <f t="shared" ref="AC743:AC751" si="297">AB743*87%</f>
        <v>0</v>
      </c>
      <c r="AD743" s="128">
        <f t="shared" ref="AD743:AD751" si="298">AB743*67%</f>
        <v>0</v>
      </c>
      <c r="AE743" s="126">
        <f t="shared" ref="AE743:AE751" si="299">MAX(J743,L743,N743,P743,R743,T743,V743,X743)*if(Z743=true,0.453592,1)</f>
        <v>0</v>
      </c>
      <c r="AF743" s="128">
        <f t="shared" ref="AF743:AF751" si="300">MAX(IF(J743*if(Z743=true,0.453592,1)=$AE743,K743,0),IF(L743*if(Z743=true,0.453592,1)=$AE743,M743,0),IF(N743*if(Z743=true,0.453592,1)=$AE743,O743,0),IF(P743*if(Z743=true,0.453592,1)=$AE743,Q743,0),IF(R743*if(Z743=true,0.453592,1)=$AE743,S743,0),IF(T743*if(Z743=true,0.453592,1)=$AE743,U743,0),IF(V743*if(Z743=true,0.453592,1)=$AE743,W743,0),IF(X743*if(Z743=true,0.453592,1)=$AE743,Y743,0))</f>
        <v>0</v>
      </c>
      <c r="AG743" s="1"/>
    </row>
    <row r="744" ht="21.0" customHeight="1">
      <c r="A744" s="1"/>
      <c r="B744" s="48" t="s">
        <v>36</v>
      </c>
      <c r="C744" s="49"/>
      <c r="D744" s="65"/>
      <c r="E744" s="66"/>
      <c r="F744" s="52" t="s">
        <v>37</v>
      </c>
      <c r="G744" s="67"/>
      <c r="H744" s="129"/>
      <c r="I744" s="69"/>
      <c r="J744" s="72"/>
      <c r="K744" s="73"/>
      <c r="L744" s="72"/>
      <c r="M744" s="73"/>
      <c r="N744" s="72"/>
      <c r="O744" s="73"/>
      <c r="P744" s="72"/>
      <c r="Q744" s="73"/>
      <c r="R744" s="72"/>
      <c r="S744" s="73"/>
      <c r="T744" s="72"/>
      <c r="U744" s="73"/>
      <c r="V744" s="72"/>
      <c r="W744" s="73"/>
      <c r="X744" s="72"/>
      <c r="Y744" s="73"/>
      <c r="Z744" s="74" t="b">
        <v>0</v>
      </c>
      <c r="AA744" s="130">
        <f t="shared" si="295"/>
        <v>0</v>
      </c>
      <c r="AB744" s="131">
        <f t="shared" si="296"/>
        <v>0</v>
      </c>
      <c r="AC744" s="132">
        <f t="shared" si="297"/>
        <v>0</v>
      </c>
      <c r="AD744" s="133">
        <f t="shared" si="298"/>
        <v>0</v>
      </c>
      <c r="AE744" s="131">
        <f t="shared" si="299"/>
        <v>0</v>
      </c>
      <c r="AF744" s="133">
        <f t="shared" si="300"/>
        <v>0</v>
      </c>
      <c r="AG744" s="1"/>
    </row>
    <row r="745" ht="21.0" customHeight="1">
      <c r="A745" s="1"/>
      <c r="B745" s="48" t="s">
        <v>39</v>
      </c>
      <c r="C745" s="49"/>
      <c r="D745" s="65"/>
      <c r="E745" s="41"/>
      <c r="F745" s="52" t="s">
        <v>40</v>
      </c>
      <c r="G745" s="79"/>
      <c r="H745" s="80"/>
      <c r="I745" s="69"/>
      <c r="J745" s="72"/>
      <c r="K745" s="73"/>
      <c r="L745" s="72"/>
      <c r="M745" s="73"/>
      <c r="N745" s="72"/>
      <c r="O745" s="73"/>
      <c r="P745" s="72"/>
      <c r="Q745" s="73"/>
      <c r="R745" s="72"/>
      <c r="S745" s="73"/>
      <c r="T745" s="72"/>
      <c r="U745" s="73"/>
      <c r="V745" s="72"/>
      <c r="W745" s="73"/>
      <c r="X745" s="72"/>
      <c r="Y745" s="73"/>
      <c r="Z745" s="74" t="b">
        <v>0</v>
      </c>
      <c r="AA745" s="130">
        <f t="shared" si="295"/>
        <v>0</v>
      </c>
      <c r="AB745" s="131">
        <f t="shared" si="296"/>
        <v>0</v>
      </c>
      <c r="AC745" s="132">
        <f t="shared" si="297"/>
        <v>0</v>
      </c>
      <c r="AD745" s="133">
        <f t="shared" si="298"/>
        <v>0</v>
      </c>
      <c r="AE745" s="131">
        <f t="shared" si="299"/>
        <v>0</v>
      </c>
      <c r="AF745" s="133">
        <f t="shared" si="300"/>
        <v>0</v>
      </c>
      <c r="AG745" s="1"/>
    </row>
    <row r="746" ht="21.0" customHeight="1">
      <c r="A746" s="1"/>
      <c r="B746" s="48" t="s">
        <v>41</v>
      </c>
      <c r="C746" s="81"/>
      <c r="D746" s="82" t="b">
        <v>0</v>
      </c>
      <c r="E746" s="51" t="s">
        <v>42</v>
      </c>
      <c r="F746" s="52" t="s">
        <v>34</v>
      </c>
      <c r="G746" s="83"/>
      <c r="H746" s="84"/>
      <c r="I746" s="85"/>
      <c r="J746" s="72"/>
      <c r="K746" s="73"/>
      <c r="L746" s="72"/>
      <c r="M746" s="73"/>
      <c r="N746" s="72"/>
      <c r="O746" s="73"/>
      <c r="P746" s="72"/>
      <c r="Q746" s="73"/>
      <c r="R746" s="72"/>
      <c r="S746" s="73"/>
      <c r="T746" s="72"/>
      <c r="U746" s="73"/>
      <c r="V746" s="72"/>
      <c r="W746" s="73"/>
      <c r="X746" s="72"/>
      <c r="Y746" s="73"/>
      <c r="Z746" s="74" t="b">
        <v>0</v>
      </c>
      <c r="AA746" s="130">
        <f t="shared" si="295"/>
        <v>0</v>
      </c>
      <c r="AB746" s="131">
        <f t="shared" si="296"/>
        <v>0</v>
      </c>
      <c r="AC746" s="132">
        <f t="shared" si="297"/>
        <v>0</v>
      </c>
      <c r="AD746" s="133">
        <f t="shared" si="298"/>
        <v>0</v>
      </c>
      <c r="AE746" s="131">
        <f t="shared" si="299"/>
        <v>0</v>
      </c>
      <c r="AF746" s="133">
        <f t="shared" si="300"/>
        <v>0</v>
      </c>
      <c r="AG746" s="1"/>
    </row>
    <row r="747" ht="21.0" customHeight="1">
      <c r="A747" s="1"/>
      <c r="B747" s="48" t="s">
        <v>43</v>
      </c>
      <c r="C747" s="49"/>
      <c r="D747" s="86" t="b">
        <v>0</v>
      </c>
      <c r="E747" s="66"/>
      <c r="F747" s="52" t="s">
        <v>37</v>
      </c>
      <c r="G747" s="67"/>
      <c r="H747" s="80"/>
      <c r="I747" s="69"/>
      <c r="J747" s="72"/>
      <c r="K747" s="73"/>
      <c r="L747" s="72"/>
      <c r="M747" s="73"/>
      <c r="N747" s="72"/>
      <c r="O747" s="73"/>
      <c r="P747" s="72"/>
      <c r="Q747" s="73"/>
      <c r="R747" s="72"/>
      <c r="S747" s="73"/>
      <c r="T747" s="72"/>
      <c r="U747" s="73"/>
      <c r="V747" s="72"/>
      <c r="W747" s="73"/>
      <c r="X747" s="72"/>
      <c r="Y747" s="73"/>
      <c r="Z747" s="74" t="b">
        <v>0</v>
      </c>
      <c r="AA747" s="130">
        <f t="shared" si="295"/>
        <v>0</v>
      </c>
      <c r="AB747" s="131">
        <f t="shared" si="296"/>
        <v>0</v>
      </c>
      <c r="AC747" s="132">
        <f t="shared" si="297"/>
        <v>0</v>
      </c>
      <c r="AD747" s="133">
        <f t="shared" si="298"/>
        <v>0</v>
      </c>
      <c r="AE747" s="131">
        <f t="shared" si="299"/>
        <v>0</v>
      </c>
      <c r="AF747" s="133">
        <f t="shared" si="300"/>
        <v>0</v>
      </c>
      <c r="AG747" s="1"/>
    </row>
    <row r="748" ht="21.0" customHeight="1">
      <c r="A748" s="1"/>
      <c r="B748" s="87" t="str">
        <f t="array" ref="B748">"📌최근 인바디 결과 : "&amp;text(xlookup(B740,'현황'!O:O,'현황'!O:O,,-1,-1),"m/d(ddd)")</f>
        <v>#REF!</v>
      </c>
      <c r="C748" s="88"/>
      <c r="D748" s="49"/>
      <c r="E748" s="41"/>
      <c r="F748" s="52" t="s">
        <v>40</v>
      </c>
      <c r="G748" s="79"/>
      <c r="H748" s="80"/>
      <c r="I748" s="69"/>
      <c r="J748" s="72"/>
      <c r="K748" s="73"/>
      <c r="L748" s="72"/>
      <c r="M748" s="73"/>
      <c r="N748" s="72"/>
      <c r="O748" s="73"/>
      <c r="P748" s="72"/>
      <c r="Q748" s="73"/>
      <c r="R748" s="72"/>
      <c r="S748" s="73"/>
      <c r="T748" s="72"/>
      <c r="U748" s="73"/>
      <c r="V748" s="72"/>
      <c r="W748" s="73"/>
      <c r="X748" s="72"/>
      <c r="Y748" s="73"/>
      <c r="Z748" s="74" t="b">
        <v>0</v>
      </c>
      <c r="AA748" s="130">
        <f t="shared" si="295"/>
        <v>0</v>
      </c>
      <c r="AB748" s="131">
        <f t="shared" si="296"/>
        <v>0</v>
      </c>
      <c r="AC748" s="132">
        <f t="shared" si="297"/>
        <v>0</v>
      </c>
      <c r="AD748" s="133">
        <f t="shared" si="298"/>
        <v>0</v>
      </c>
      <c r="AE748" s="131">
        <f t="shared" si="299"/>
        <v>0</v>
      </c>
      <c r="AF748" s="133">
        <f t="shared" si="300"/>
        <v>0</v>
      </c>
      <c r="AG748" s="1"/>
    </row>
    <row r="749" ht="21.0" customHeight="1">
      <c r="A749" s="1"/>
      <c r="B749" s="89" t="s">
        <v>44</v>
      </c>
      <c r="C749" s="49"/>
      <c r="D749" s="90">
        <f t="array" ref="D749">iferror(vlookup(xlookup(B740,'현황'!O:O,'현황'!O:O,,-1,-1),'현황'!O:S,2,false),0)</f>
        <v>0</v>
      </c>
      <c r="E749" s="51" t="s">
        <v>45</v>
      </c>
      <c r="F749" s="52" t="s">
        <v>34</v>
      </c>
      <c r="G749" s="83"/>
      <c r="H749" s="84"/>
      <c r="I749" s="85"/>
      <c r="J749" s="72"/>
      <c r="K749" s="73"/>
      <c r="L749" s="72"/>
      <c r="M749" s="73"/>
      <c r="N749" s="72"/>
      <c r="O749" s="73"/>
      <c r="P749" s="72"/>
      <c r="Q749" s="73"/>
      <c r="R749" s="72"/>
      <c r="S749" s="73"/>
      <c r="T749" s="72"/>
      <c r="U749" s="73"/>
      <c r="V749" s="72"/>
      <c r="W749" s="73"/>
      <c r="X749" s="72"/>
      <c r="Y749" s="73"/>
      <c r="Z749" s="74" t="b">
        <v>0</v>
      </c>
      <c r="AA749" s="130">
        <f t="shared" si="295"/>
        <v>0</v>
      </c>
      <c r="AB749" s="131">
        <f t="shared" si="296"/>
        <v>0</v>
      </c>
      <c r="AC749" s="132">
        <f t="shared" si="297"/>
        <v>0</v>
      </c>
      <c r="AD749" s="133">
        <f t="shared" si="298"/>
        <v>0</v>
      </c>
      <c r="AE749" s="131">
        <f t="shared" si="299"/>
        <v>0</v>
      </c>
      <c r="AF749" s="133">
        <f t="shared" si="300"/>
        <v>0</v>
      </c>
      <c r="AG749" s="1"/>
    </row>
    <row r="750" ht="21.0" customHeight="1">
      <c r="A750" s="1"/>
      <c r="B750" s="48" t="s">
        <v>46</v>
      </c>
      <c r="C750" s="49"/>
      <c r="D750" s="91">
        <f t="array" ref="D750">iferror(vlookup(xlookup(B740,'현황'!O:O,'현황'!O:O,,-1,-1),'현황'!O:S,3,false),0)</f>
        <v>0</v>
      </c>
      <c r="E750" s="66"/>
      <c r="F750" s="52" t="s">
        <v>37</v>
      </c>
      <c r="G750" s="67"/>
      <c r="H750" s="80"/>
      <c r="I750" s="69"/>
      <c r="J750" s="72"/>
      <c r="K750" s="73"/>
      <c r="L750" s="72"/>
      <c r="M750" s="73"/>
      <c r="N750" s="72"/>
      <c r="O750" s="73"/>
      <c r="P750" s="72"/>
      <c r="Q750" s="73"/>
      <c r="R750" s="72"/>
      <c r="S750" s="73"/>
      <c r="T750" s="72"/>
      <c r="U750" s="73"/>
      <c r="V750" s="72"/>
      <c r="W750" s="73"/>
      <c r="X750" s="72"/>
      <c r="Y750" s="73"/>
      <c r="Z750" s="74" t="b">
        <v>0</v>
      </c>
      <c r="AA750" s="130">
        <f t="shared" si="295"/>
        <v>0</v>
      </c>
      <c r="AB750" s="131">
        <f t="shared" si="296"/>
        <v>0</v>
      </c>
      <c r="AC750" s="132">
        <f t="shared" si="297"/>
        <v>0</v>
      </c>
      <c r="AD750" s="133">
        <f t="shared" si="298"/>
        <v>0</v>
      </c>
      <c r="AE750" s="131">
        <f t="shared" si="299"/>
        <v>0</v>
      </c>
      <c r="AF750" s="133">
        <f t="shared" si="300"/>
        <v>0</v>
      </c>
      <c r="AG750" s="1"/>
    </row>
    <row r="751" ht="21.0" customHeight="1">
      <c r="A751" s="1"/>
      <c r="B751" s="48" t="s">
        <v>47</v>
      </c>
      <c r="C751" s="49"/>
      <c r="D751" s="91">
        <f t="array" ref="D751">iferror(vlookup(xlookup(B740,'현황'!O:O,'현황'!O:O,,-1,-1),'현황'!O:S,4,false),0)</f>
        <v>0</v>
      </c>
      <c r="E751" s="41"/>
      <c r="F751" s="92" t="s">
        <v>40</v>
      </c>
      <c r="G751" s="79"/>
      <c r="H751" s="93"/>
      <c r="I751" s="94"/>
      <c r="J751" s="95"/>
      <c r="K751" s="96"/>
      <c r="L751" s="95"/>
      <c r="M751" s="96"/>
      <c r="N751" s="95"/>
      <c r="O751" s="96"/>
      <c r="P751" s="95"/>
      <c r="Q751" s="96"/>
      <c r="R751" s="95"/>
      <c r="S751" s="96"/>
      <c r="T751" s="95"/>
      <c r="U751" s="96"/>
      <c r="V751" s="95"/>
      <c r="W751" s="96"/>
      <c r="X751" s="95"/>
      <c r="Y751" s="96"/>
      <c r="Z751" s="97" t="b">
        <v>0</v>
      </c>
      <c r="AA751" s="135">
        <f t="shared" si="295"/>
        <v>0</v>
      </c>
      <c r="AB751" s="136">
        <f t="shared" si="296"/>
        <v>0</v>
      </c>
      <c r="AC751" s="137">
        <f t="shared" si="297"/>
        <v>0</v>
      </c>
      <c r="AD751" s="138">
        <f t="shared" si="298"/>
        <v>0</v>
      </c>
      <c r="AE751" s="136">
        <f t="shared" si="299"/>
        <v>0</v>
      </c>
      <c r="AF751" s="138">
        <f t="shared" si="300"/>
        <v>0</v>
      </c>
      <c r="AG751" s="1"/>
    </row>
    <row r="752" ht="21.0" customHeight="1">
      <c r="A752" s="1"/>
      <c r="B752" s="102" t="s">
        <v>48</v>
      </c>
      <c r="C752" s="103"/>
      <c r="D752" s="104">
        <f>iferror(D751/D749,0)</f>
        <v>0</v>
      </c>
      <c r="E752" s="102" t="s">
        <v>49</v>
      </c>
      <c r="F752" s="103"/>
      <c r="G752" s="105"/>
      <c r="H752" s="106" t="s">
        <v>50</v>
      </c>
      <c r="I752" s="107"/>
      <c r="J752" s="11"/>
      <c r="K752" s="11"/>
      <c r="L752" s="11"/>
      <c r="M752" s="11"/>
      <c r="N752" s="11"/>
      <c r="O752" s="11"/>
      <c r="P752" s="108" t="s">
        <v>51</v>
      </c>
      <c r="Q752" s="12"/>
      <c r="R752" s="109"/>
      <c r="S752" s="11"/>
      <c r="T752" s="11"/>
      <c r="U752" s="11"/>
      <c r="V752" s="11"/>
      <c r="W752" s="11"/>
      <c r="X752" s="11"/>
      <c r="Y752" s="11"/>
      <c r="Z752" s="12"/>
      <c r="AA752" s="139">
        <f>SUM(AA743:AA751)</f>
        <v>0</v>
      </c>
      <c r="AB752" s="140" t="s">
        <v>197</v>
      </c>
      <c r="AG752" s="1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1"/>
      <c r="AA753" s="1"/>
      <c r="AB753" s="1"/>
      <c r="AC753" s="3"/>
      <c r="AD753" s="1"/>
      <c r="AE753" s="1"/>
      <c r="AF753" s="1"/>
      <c r="AG753" s="1"/>
    </row>
    <row r="754" ht="21.0" customHeight="1">
      <c r="A754" s="1"/>
      <c r="B754" s="4" t="s">
        <v>1</v>
      </c>
      <c r="C754" s="5"/>
      <c r="D754" s="6" t="s">
        <v>2</v>
      </c>
      <c r="E754" s="7"/>
      <c r="F754" s="7"/>
      <c r="G754" s="5"/>
      <c r="H754" s="8" t="s">
        <v>3</v>
      </c>
      <c r="I754" s="8" t="s">
        <v>4</v>
      </c>
      <c r="J754" s="9" t="s">
        <v>5</v>
      </c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5"/>
      <c r="AA754" s="117" t="s">
        <v>6</v>
      </c>
      <c r="AB754" s="11"/>
      <c r="AC754" s="11"/>
      <c r="AD754" s="11"/>
      <c r="AE754" s="11"/>
      <c r="AF754" s="12"/>
      <c r="AG754" s="1"/>
    </row>
    <row r="755" ht="21.0" customHeight="1">
      <c r="A755" s="1"/>
      <c r="B755" s="149" t="s">
        <v>138</v>
      </c>
      <c r="C755" s="14" t="str">
        <f>if(B755="0/0","",choose(weekday(B755),"(일)","(월)","(화)","(수)","(목)","(금)","(토)"))</f>
        <v/>
      </c>
      <c r="D755" s="15" t="s">
        <v>7</v>
      </c>
      <c r="E755" s="16" t="s">
        <v>8</v>
      </c>
      <c r="F755" s="17"/>
      <c r="G755" s="18" t="s">
        <v>9</v>
      </c>
      <c r="H755" s="150" t="s">
        <v>139</v>
      </c>
      <c r="I755" s="151"/>
      <c r="J755" s="21" t="s">
        <v>12</v>
      </c>
      <c r="K755" s="22"/>
      <c r="L755" s="21" t="s">
        <v>13</v>
      </c>
      <c r="M755" s="22"/>
      <c r="N755" s="21" t="s">
        <v>14</v>
      </c>
      <c r="O755" s="22"/>
      <c r="P755" s="21" t="s">
        <v>15</v>
      </c>
      <c r="Q755" s="22"/>
      <c r="R755" s="23" t="s">
        <v>16</v>
      </c>
      <c r="S755" s="22"/>
      <c r="T755" s="23" t="s">
        <v>17</v>
      </c>
      <c r="U755" s="22"/>
      <c r="V755" s="23" t="s">
        <v>18</v>
      </c>
      <c r="W755" s="22"/>
      <c r="X755" s="23" t="s">
        <v>19</v>
      </c>
      <c r="Y755" s="22"/>
      <c r="Z755" s="24" t="s">
        <v>198</v>
      </c>
      <c r="AA755" s="118" t="s">
        <v>21</v>
      </c>
      <c r="AB755" s="119" t="s">
        <v>22</v>
      </c>
      <c r="AC755" s="7"/>
      <c r="AD755" s="22"/>
      <c r="AE755" s="120" t="s">
        <v>23</v>
      </c>
      <c r="AF755" s="22"/>
      <c r="AG755" s="1"/>
    </row>
    <row r="756" ht="21.0" customHeight="1">
      <c r="A756" s="1"/>
      <c r="B756" s="27">
        <f>iferror(B755-'현황'!$C$4+1,0)</f>
        <v>0</v>
      </c>
      <c r="C756" s="28"/>
      <c r="D756" s="29">
        <v>0.0</v>
      </c>
      <c r="E756" s="30">
        <v>0.0</v>
      </c>
      <c r="F756" s="31"/>
      <c r="G756" s="32">
        <v>0.0</v>
      </c>
      <c r="H756" s="33">
        <v>0.0</v>
      </c>
      <c r="I756" s="34"/>
      <c r="J756" s="35"/>
      <c r="K756" s="36"/>
      <c r="L756" s="35"/>
      <c r="M756" s="36"/>
      <c r="N756" s="35"/>
      <c r="O756" s="36"/>
      <c r="P756" s="35"/>
      <c r="Q756" s="36"/>
      <c r="R756" s="35"/>
      <c r="S756" s="36"/>
      <c r="T756" s="35"/>
      <c r="U756" s="36"/>
      <c r="V756" s="35"/>
      <c r="W756" s="36"/>
      <c r="X756" s="35"/>
      <c r="Y756" s="36"/>
      <c r="Z756" s="37"/>
      <c r="AA756" s="37"/>
      <c r="AB756" s="35"/>
      <c r="AC756" s="38"/>
      <c r="AD756" s="36"/>
      <c r="AE756" s="35"/>
      <c r="AF756" s="36"/>
      <c r="AG756" s="1"/>
    </row>
    <row r="757" ht="21.0" customHeight="1">
      <c r="A757" s="1"/>
      <c r="B757" s="39" t="s">
        <v>24</v>
      </c>
      <c r="C757" s="40"/>
      <c r="D757" s="41"/>
      <c r="E757" s="42" t="s">
        <v>25</v>
      </c>
      <c r="F757" s="40"/>
      <c r="G757" s="41"/>
      <c r="H757" s="43" t="s">
        <v>26</v>
      </c>
      <c r="J757" s="44" t="s">
        <v>27</v>
      </c>
      <c r="K757" s="45" t="s">
        <v>28</v>
      </c>
      <c r="L757" s="44" t="s">
        <v>27</v>
      </c>
      <c r="M757" s="45" t="s">
        <v>28</v>
      </c>
      <c r="N757" s="44" t="s">
        <v>27</v>
      </c>
      <c r="O757" s="45" t="s">
        <v>28</v>
      </c>
      <c r="P757" s="44" t="s">
        <v>27</v>
      </c>
      <c r="Q757" s="45" t="s">
        <v>28</v>
      </c>
      <c r="R757" s="44" t="s">
        <v>27</v>
      </c>
      <c r="S757" s="45" t="s">
        <v>28</v>
      </c>
      <c r="T757" s="44" t="s">
        <v>27</v>
      </c>
      <c r="U757" s="45" t="s">
        <v>28</v>
      </c>
      <c r="V757" s="44" t="s">
        <v>27</v>
      </c>
      <c r="W757" s="45" t="s">
        <v>28</v>
      </c>
      <c r="X757" s="44" t="s">
        <v>27</v>
      </c>
      <c r="Y757" s="45" t="s">
        <v>28</v>
      </c>
      <c r="Z757" s="46"/>
      <c r="AA757" s="46"/>
      <c r="AB757" s="121" t="s">
        <v>29</v>
      </c>
      <c r="AC757" s="122" t="s">
        <v>30</v>
      </c>
      <c r="AD757" s="123" t="s">
        <v>31</v>
      </c>
      <c r="AE757" s="121" t="s">
        <v>27</v>
      </c>
      <c r="AF757" s="123" t="s">
        <v>28</v>
      </c>
      <c r="AG757" s="1"/>
    </row>
    <row r="758" ht="21.0" customHeight="1">
      <c r="A758" s="1"/>
      <c r="B758" s="48" t="s">
        <v>32</v>
      </c>
      <c r="C758" s="49"/>
      <c r="D758" s="50"/>
      <c r="E758" s="51" t="s">
        <v>33</v>
      </c>
      <c r="F758" s="52" t="s">
        <v>34</v>
      </c>
      <c r="G758" s="53"/>
      <c r="H758" s="148"/>
      <c r="I758" s="55"/>
      <c r="J758" s="58"/>
      <c r="K758" s="59"/>
      <c r="L758" s="58"/>
      <c r="M758" s="59"/>
      <c r="N758" s="58"/>
      <c r="O758" s="59"/>
      <c r="P758" s="58"/>
      <c r="Q758" s="59"/>
      <c r="R758" s="58"/>
      <c r="S758" s="59"/>
      <c r="T758" s="58"/>
      <c r="U758" s="59"/>
      <c r="V758" s="58"/>
      <c r="W758" s="59"/>
      <c r="X758" s="58"/>
      <c r="Y758" s="59"/>
      <c r="Z758" s="60" t="b">
        <v>0</v>
      </c>
      <c r="AA758" s="125">
        <f t="shared" ref="AA758:AA766" si="301">(J758*K758+L758*M758+N758*O758+P758*Q758+R758*S758+T758*U758+V758*W758+X758*Y758)*if(Z758=true,0.453592,1)</f>
        <v>0</v>
      </c>
      <c r="AB758" s="126">
        <f t="shared" ref="AB758:AB766" si="302">SUM(AE758*AF758*0.025,AE758)</f>
        <v>0</v>
      </c>
      <c r="AC758" s="127">
        <f t="shared" ref="AC758:AC766" si="303">AB758*87%</f>
        <v>0</v>
      </c>
      <c r="AD758" s="128">
        <f t="shared" ref="AD758:AD766" si="304">AB758*67%</f>
        <v>0</v>
      </c>
      <c r="AE758" s="126">
        <f t="shared" ref="AE758:AE766" si="305">MAX(J758,L758,N758,P758,R758,T758,V758,X758)*if(Z758=true,0.453592,1)</f>
        <v>0</v>
      </c>
      <c r="AF758" s="128">
        <f t="shared" ref="AF758:AF766" si="306">MAX(IF(J758*if(Z758=true,0.453592,1)=$AE758,K758,0),IF(L758*if(Z758=true,0.453592,1)=$AE758,M758,0),IF(N758*if(Z758=true,0.453592,1)=$AE758,O758,0),IF(P758*if(Z758=true,0.453592,1)=$AE758,Q758,0),IF(R758*if(Z758=true,0.453592,1)=$AE758,S758,0),IF(T758*if(Z758=true,0.453592,1)=$AE758,U758,0),IF(V758*if(Z758=true,0.453592,1)=$AE758,W758,0),IF(X758*if(Z758=true,0.453592,1)=$AE758,Y758,0))</f>
        <v>0</v>
      </c>
      <c r="AG758" s="1"/>
    </row>
    <row r="759" ht="21.0" customHeight="1">
      <c r="A759" s="1"/>
      <c r="B759" s="48" t="s">
        <v>36</v>
      </c>
      <c r="C759" s="49"/>
      <c r="D759" s="65"/>
      <c r="E759" s="66"/>
      <c r="F759" s="52" t="s">
        <v>37</v>
      </c>
      <c r="G759" s="67"/>
      <c r="H759" s="129"/>
      <c r="I759" s="69"/>
      <c r="J759" s="72"/>
      <c r="K759" s="73"/>
      <c r="L759" s="72"/>
      <c r="M759" s="73"/>
      <c r="N759" s="72"/>
      <c r="O759" s="73"/>
      <c r="P759" s="72"/>
      <c r="Q759" s="73"/>
      <c r="R759" s="72"/>
      <c r="S759" s="73"/>
      <c r="T759" s="72"/>
      <c r="U759" s="73"/>
      <c r="V759" s="72"/>
      <c r="W759" s="73"/>
      <c r="X759" s="72"/>
      <c r="Y759" s="73"/>
      <c r="Z759" s="74" t="b">
        <v>0</v>
      </c>
      <c r="AA759" s="130">
        <f t="shared" si="301"/>
        <v>0</v>
      </c>
      <c r="AB759" s="131">
        <f t="shared" si="302"/>
        <v>0</v>
      </c>
      <c r="AC759" s="132">
        <f t="shared" si="303"/>
        <v>0</v>
      </c>
      <c r="AD759" s="133">
        <f t="shared" si="304"/>
        <v>0</v>
      </c>
      <c r="AE759" s="131">
        <f t="shared" si="305"/>
        <v>0</v>
      </c>
      <c r="AF759" s="133">
        <f t="shared" si="306"/>
        <v>0</v>
      </c>
      <c r="AG759" s="1"/>
    </row>
    <row r="760" ht="21.0" customHeight="1">
      <c r="A760" s="1"/>
      <c r="B760" s="48" t="s">
        <v>39</v>
      </c>
      <c r="C760" s="49"/>
      <c r="D760" s="65"/>
      <c r="E760" s="41"/>
      <c r="F760" s="52" t="s">
        <v>40</v>
      </c>
      <c r="G760" s="79"/>
      <c r="H760" s="80"/>
      <c r="I760" s="69"/>
      <c r="J760" s="72"/>
      <c r="K760" s="73"/>
      <c r="L760" s="72"/>
      <c r="M760" s="73"/>
      <c r="N760" s="72"/>
      <c r="O760" s="73"/>
      <c r="P760" s="72"/>
      <c r="Q760" s="73"/>
      <c r="R760" s="72"/>
      <c r="S760" s="73"/>
      <c r="T760" s="72"/>
      <c r="U760" s="73"/>
      <c r="V760" s="72"/>
      <c r="W760" s="73"/>
      <c r="X760" s="72"/>
      <c r="Y760" s="73"/>
      <c r="Z760" s="74" t="b">
        <v>0</v>
      </c>
      <c r="AA760" s="130">
        <f t="shared" si="301"/>
        <v>0</v>
      </c>
      <c r="AB760" s="131">
        <f t="shared" si="302"/>
        <v>0</v>
      </c>
      <c r="AC760" s="132">
        <f t="shared" si="303"/>
        <v>0</v>
      </c>
      <c r="AD760" s="133">
        <f t="shared" si="304"/>
        <v>0</v>
      </c>
      <c r="AE760" s="131">
        <f t="shared" si="305"/>
        <v>0</v>
      </c>
      <c r="AF760" s="133">
        <f t="shared" si="306"/>
        <v>0</v>
      </c>
      <c r="AG760" s="1"/>
    </row>
    <row r="761" ht="21.0" customHeight="1">
      <c r="A761" s="1"/>
      <c r="B761" s="48" t="s">
        <v>41</v>
      </c>
      <c r="C761" s="81"/>
      <c r="D761" s="82" t="b">
        <v>0</v>
      </c>
      <c r="E761" s="51" t="s">
        <v>42</v>
      </c>
      <c r="F761" s="52" t="s">
        <v>34</v>
      </c>
      <c r="G761" s="83"/>
      <c r="H761" s="84"/>
      <c r="I761" s="85"/>
      <c r="J761" s="72"/>
      <c r="K761" s="73"/>
      <c r="L761" s="72"/>
      <c r="M761" s="73"/>
      <c r="N761" s="72"/>
      <c r="O761" s="73"/>
      <c r="P761" s="72"/>
      <c r="Q761" s="73"/>
      <c r="R761" s="72"/>
      <c r="S761" s="73"/>
      <c r="T761" s="72"/>
      <c r="U761" s="73"/>
      <c r="V761" s="72"/>
      <c r="W761" s="73"/>
      <c r="X761" s="72"/>
      <c r="Y761" s="73"/>
      <c r="Z761" s="74" t="b">
        <v>0</v>
      </c>
      <c r="AA761" s="130">
        <f t="shared" si="301"/>
        <v>0</v>
      </c>
      <c r="AB761" s="131">
        <f t="shared" si="302"/>
        <v>0</v>
      </c>
      <c r="AC761" s="132">
        <f t="shared" si="303"/>
        <v>0</v>
      </c>
      <c r="AD761" s="133">
        <f t="shared" si="304"/>
        <v>0</v>
      </c>
      <c r="AE761" s="131">
        <f t="shared" si="305"/>
        <v>0</v>
      </c>
      <c r="AF761" s="133">
        <f t="shared" si="306"/>
        <v>0</v>
      </c>
      <c r="AG761" s="1"/>
    </row>
    <row r="762" ht="21.0" customHeight="1">
      <c r="A762" s="1"/>
      <c r="B762" s="48" t="s">
        <v>43</v>
      </c>
      <c r="C762" s="49"/>
      <c r="D762" s="86" t="b">
        <v>0</v>
      </c>
      <c r="E762" s="66"/>
      <c r="F762" s="52" t="s">
        <v>37</v>
      </c>
      <c r="G762" s="67"/>
      <c r="H762" s="80"/>
      <c r="I762" s="69"/>
      <c r="J762" s="72"/>
      <c r="K762" s="73"/>
      <c r="L762" s="72"/>
      <c r="M762" s="73"/>
      <c r="N762" s="72"/>
      <c r="O762" s="73"/>
      <c r="P762" s="72"/>
      <c r="Q762" s="73"/>
      <c r="R762" s="72"/>
      <c r="S762" s="73"/>
      <c r="T762" s="72"/>
      <c r="U762" s="73"/>
      <c r="V762" s="72"/>
      <c r="W762" s="73"/>
      <c r="X762" s="72"/>
      <c r="Y762" s="73"/>
      <c r="Z762" s="74" t="b">
        <v>0</v>
      </c>
      <c r="AA762" s="130">
        <f t="shared" si="301"/>
        <v>0</v>
      </c>
      <c r="AB762" s="131">
        <f t="shared" si="302"/>
        <v>0</v>
      </c>
      <c r="AC762" s="132">
        <f t="shared" si="303"/>
        <v>0</v>
      </c>
      <c r="AD762" s="133">
        <f t="shared" si="304"/>
        <v>0</v>
      </c>
      <c r="AE762" s="131">
        <f t="shared" si="305"/>
        <v>0</v>
      </c>
      <c r="AF762" s="133">
        <f t="shared" si="306"/>
        <v>0</v>
      </c>
      <c r="AG762" s="1"/>
    </row>
    <row r="763" ht="21.0" customHeight="1">
      <c r="A763" s="1"/>
      <c r="B763" s="87" t="str">
        <f t="array" ref="B763">"📌최근 인바디 결과 : "&amp;text(xlookup(B755,'현황'!O:O,'현황'!O:O,,-1,-1),"m/d(ddd)")</f>
        <v>#REF!</v>
      </c>
      <c r="C763" s="88"/>
      <c r="D763" s="49"/>
      <c r="E763" s="41"/>
      <c r="F763" s="52" t="s">
        <v>40</v>
      </c>
      <c r="G763" s="79"/>
      <c r="H763" s="80"/>
      <c r="I763" s="69"/>
      <c r="J763" s="72"/>
      <c r="K763" s="73"/>
      <c r="L763" s="72"/>
      <c r="M763" s="73"/>
      <c r="N763" s="72"/>
      <c r="O763" s="73"/>
      <c r="P763" s="72"/>
      <c r="Q763" s="73"/>
      <c r="R763" s="72"/>
      <c r="S763" s="73"/>
      <c r="T763" s="72"/>
      <c r="U763" s="73"/>
      <c r="V763" s="72"/>
      <c r="W763" s="73"/>
      <c r="X763" s="72"/>
      <c r="Y763" s="73"/>
      <c r="Z763" s="74" t="b">
        <v>0</v>
      </c>
      <c r="AA763" s="130">
        <f t="shared" si="301"/>
        <v>0</v>
      </c>
      <c r="AB763" s="131">
        <f t="shared" si="302"/>
        <v>0</v>
      </c>
      <c r="AC763" s="132">
        <f t="shared" si="303"/>
        <v>0</v>
      </c>
      <c r="AD763" s="133">
        <f t="shared" si="304"/>
        <v>0</v>
      </c>
      <c r="AE763" s="131">
        <f t="shared" si="305"/>
        <v>0</v>
      </c>
      <c r="AF763" s="133">
        <f t="shared" si="306"/>
        <v>0</v>
      </c>
      <c r="AG763" s="1"/>
    </row>
    <row r="764" ht="21.0" customHeight="1">
      <c r="A764" s="1"/>
      <c r="B764" s="89" t="s">
        <v>44</v>
      </c>
      <c r="C764" s="49"/>
      <c r="D764" s="90">
        <f t="array" ref="D764">iferror(vlookup(xlookup(B755,'현황'!O:O,'현황'!O:O,,-1,-1),'현황'!O:S,2,false),0)</f>
        <v>0</v>
      </c>
      <c r="E764" s="51" t="s">
        <v>45</v>
      </c>
      <c r="F764" s="52" t="s">
        <v>34</v>
      </c>
      <c r="G764" s="83"/>
      <c r="H764" s="84"/>
      <c r="I764" s="85"/>
      <c r="J764" s="72"/>
      <c r="K764" s="73"/>
      <c r="L764" s="72"/>
      <c r="M764" s="73"/>
      <c r="N764" s="72"/>
      <c r="O764" s="73"/>
      <c r="P764" s="72"/>
      <c r="Q764" s="73"/>
      <c r="R764" s="72"/>
      <c r="S764" s="73"/>
      <c r="T764" s="72"/>
      <c r="U764" s="73"/>
      <c r="V764" s="72"/>
      <c r="W764" s="73"/>
      <c r="X764" s="72"/>
      <c r="Y764" s="73"/>
      <c r="Z764" s="74" t="b">
        <v>0</v>
      </c>
      <c r="AA764" s="130">
        <f t="shared" si="301"/>
        <v>0</v>
      </c>
      <c r="AB764" s="131">
        <f t="shared" si="302"/>
        <v>0</v>
      </c>
      <c r="AC764" s="132">
        <f t="shared" si="303"/>
        <v>0</v>
      </c>
      <c r="AD764" s="133">
        <f t="shared" si="304"/>
        <v>0</v>
      </c>
      <c r="AE764" s="131">
        <f t="shared" si="305"/>
        <v>0</v>
      </c>
      <c r="AF764" s="133">
        <f t="shared" si="306"/>
        <v>0</v>
      </c>
      <c r="AG764" s="1"/>
    </row>
    <row r="765" ht="21.0" customHeight="1">
      <c r="A765" s="1"/>
      <c r="B765" s="48" t="s">
        <v>46</v>
      </c>
      <c r="C765" s="49"/>
      <c r="D765" s="91">
        <f t="array" ref="D765">iferror(vlookup(xlookup(B755,'현황'!O:O,'현황'!O:O,,-1,-1),'현황'!O:S,3,false),0)</f>
        <v>0</v>
      </c>
      <c r="E765" s="66"/>
      <c r="F765" s="52" t="s">
        <v>37</v>
      </c>
      <c r="G765" s="67"/>
      <c r="H765" s="80"/>
      <c r="I765" s="69"/>
      <c r="J765" s="72"/>
      <c r="K765" s="73"/>
      <c r="L765" s="72"/>
      <c r="M765" s="73"/>
      <c r="N765" s="72"/>
      <c r="O765" s="73"/>
      <c r="P765" s="72"/>
      <c r="Q765" s="73"/>
      <c r="R765" s="72"/>
      <c r="S765" s="73"/>
      <c r="T765" s="72"/>
      <c r="U765" s="73"/>
      <c r="V765" s="72"/>
      <c r="W765" s="73"/>
      <c r="X765" s="72"/>
      <c r="Y765" s="73"/>
      <c r="Z765" s="74" t="b">
        <v>0</v>
      </c>
      <c r="AA765" s="130">
        <f t="shared" si="301"/>
        <v>0</v>
      </c>
      <c r="AB765" s="131">
        <f t="shared" si="302"/>
        <v>0</v>
      </c>
      <c r="AC765" s="132">
        <f t="shared" si="303"/>
        <v>0</v>
      </c>
      <c r="AD765" s="133">
        <f t="shared" si="304"/>
        <v>0</v>
      </c>
      <c r="AE765" s="131">
        <f t="shared" si="305"/>
        <v>0</v>
      </c>
      <c r="AF765" s="133">
        <f t="shared" si="306"/>
        <v>0</v>
      </c>
      <c r="AG765" s="1"/>
    </row>
    <row r="766" ht="21.0" customHeight="1">
      <c r="A766" s="1"/>
      <c r="B766" s="48" t="s">
        <v>47</v>
      </c>
      <c r="C766" s="49"/>
      <c r="D766" s="91">
        <f t="array" ref="D766">iferror(vlookup(xlookup(B755,'현황'!O:O,'현황'!O:O,,-1,-1),'현황'!O:S,4,false),0)</f>
        <v>0</v>
      </c>
      <c r="E766" s="41"/>
      <c r="F766" s="92" t="s">
        <v>40</v>
      </c>
      <c r="G766" s="79"/>
      <c r="H766" s="93"/>
      <c r="I766" s="94"/>
      <c r="J766" s="95"/>
      <c r="K766" s="96"/>
      <c r="L766" s="95"/>
      <c r="M766" s="96"/>
      <c r="N766" s="95"/>
      <c r="O766" s="96"/>
      <c r="P766" s="95"/>
      <c r="Q766" s="96"/>
      <c r="R766" s="95"/>
      <c r="S766" s="96"/>
      <c r="T766" s="95"/>
      <c r="U766" s="96"/>
      <c r="V766" s="95"/>
      <c r="W766" s="96"/>
      <c r="X766" s="95"/>
      <c r="Y766" s="96"/>
      <c r="Z766" s="97" t="b">
        <v>0</v>
      </c>
      <c r="AA766" s="135">
        <f t="shared" si="301"/>
        <v>0</v>
      </c>
      <c r="AB766" s="136">
        <f t="shared" si="302"/>
        <v>0</v>
      </c>
      <c r="AC766" s="137">
        <f t="shared" si="303"/>
        <v>0</v>
      </c>
      <c r="AD766" s="138">
        <f t="shared" si="304"/>
        <v>0</v>
      </c>
      <c r="AE766" s="136">
        <f t="shared" si="305"/>
        <v>0</v>
      </c>
      <c r="AF766" s="138">
        <f t="shared" si="306"/>
        <v>0</v>
      </c>
      <c r="AG766" s="1"/>
    </row>
    <row r="767" ht="21.0" customHeight="1">
      <c r="A767" s="1"/>
      <c r="B767" s="102" t="s">
        <v>48</v>
      </c>
      <c r="C767" s="103"/>
      <c r="D767" s="104">
        <f>iferror(D766/D764,0)</f>
        <v>0</v>
      </c>
      <c r="E767" s="102" t="s">
        <v>49</v>
      </c>
      <c r="F767" s="103"/>
      <c r="G767" s="105"/>
      <c r="H767" s="106" t="s">
        <v>50</v>
      </c>
      <c r="I767" s="107"/>
      <c r="J767" s="11"/>
      <c r="K767" s="11"/>
      <c r="L767" s="11"/>
      <c r="M767" s="11"/>
      <c r="N767" s="11"/>
      <c r="O767" s="11"/>
      <c r="P767" s="108" t="s">
        <v>51</v>
      </c>
      <c r="Q767" s="12"/>
      <c r="R767" s="109"/>
      <c r="S767" s="11"/>
      <c r="T767" s="11"/>
      <c r="U767" s="11"/>
      <c r="V767" s="11"/>
      <c r="W767" s="11"/>
      <c r="X767" s="11"/>
      <c r="Y767" s="11"/>
      <c r="Z767" s="12"/>
      <c r="AA767" s="139">
        <f>SUM(AA758:AA766)</f>
        <v>0</v>
      </c>
      <c r="AB767" s="140" t="s">
        <v>199</v>
      </c>
      <c r="AG767" s="1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1"/>
      <c r="AA768" s="1"/>
      <c r="AB768" s="1"/>
      <c r="AC768" s="3"/>
      <c r="AD768" s="1"/>
      <c r="AE768" s="1"/>
      <c r="AF768" s="1"/>
      <c r="AG768" s="1"/>
    </row>
    <row r="769" ht="21.0" customHeight="1">
      <c r="A769" s="1"/>
      <c r="B769" s="4" t="s">
        <v>1</v>
      </c>
      <c r="C769" s="5"/>
      <c r="D769" s="6" t="s">
        <v>2</v>
      </c>
      <c r="E769" s="7"/>
      <c r="F769" s="7"/>
      <c r="G769" s="5"/>
      <c r="H769" s="8" t="s">
        <v>3</v>
      </c>
      <c r="I769" s="8" t="s">
        <v>4</v>
      </c>
      <c r="J769" s="9" t="s">
        <v>5</v>
      </c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5"/>
      <c r="AA769" s="117" t="s">
        <v>6</v>
      </c>
      <c r="AB769" s="11"/>
      <c r="AC769" s="11"/>
      <c r="AD769" s="11"/>
      <c r="AE769" s="11"/>
      <c r="AF769" s="12"/>
      <c r="AG769" s="1"/>
    </row>
    <row r="770" ht="21.0" customHeight="1">
      <c r="A770" s="1"/>
      <c r="B770" s="149" t="s">
        <v>138</v>
      </c>
      <c r="C770" s="14" t="str">
        <f>if(B770="0/0","",choose(weekday(B770),"(일)","(월)","(화)","(수)","(목)","(금)","(토)"))</f>
        <v/>
      </c>
      <c r="D770" s="15" t="s">
        <v>7</v>
      </c>
      <c r="E770" s="16" t="s">
        <v>8</v>
      </c>
      <c r="F770" s="17"/>
      <c r="G770" s="18" t="s">
        <v>9</v>
      </c>
      <c r="H770" s="150" t="s">
        <v>139</v>
      </c>
      <c r="I770" s="151"/>
      <c r="J770" s="21" t="s">
        <v>12</v>
      </c>
      <c r="K770" s="22"/>
      <c r="L770" s="21" t="s">
        <v>13</v>
      </c>
      <c r="M770" s="22"/>
      <c r="N770" s="21" t="s">
        <v>14</v>
      </c>
      <c r="O770" s="22"/>
      <c r="P770" s="21" t="s">
        <v>15</v>
      </c>
      <c r="Q770" s="22"/>
      <c r="R770" s="23" t="s">
        <v>16</v>
      </c>
      <c r="S770" s="22"/>
      <c r="T770" s="23" t="s">
        <v>17</v>
      </c>
      <c r="U770" s="22"/>
      <c r="V770" s="23" t="s">
        <v>18</v>
      </c>
      <c r="W770" s="22"/>
      <c r="X770" s="23" t="s">
        <v>19</v>
      </c>
      <c r="Y770" s="22"/>
      <c r="Z770" s="24" t="s">
        <v>200</v>
      </c>
      <c r="AA770" s="118" t="s">
        <v>21</v>
      </c>
      <c r="AB770" s="119" t="s">
        <v>22</v>
      </c>
      <c r="AC770" s="7"/>
      <c r="AD770" s="22"/>
      <c r="AE770" s="120" t="s">
        <v>23</v>
      </c>
      <c r="AF770" s="22"/>
      <c r="AG770" s="1"/>
    </row>
    <row r="771" ht="21.0" customHeight="1">
      <c r="A771" s="1"/>
      <c r="B771" s="27">
        <f>iferror(B770-'현황'!$C$4+1,0)</f>
        <v>0</v>
      </c>
      <c r="C771" s="28"/>
      <c r="D771" s="29">
        <v>0.0</v>
      </c>
      <c r="E771" s="30">
        <v>0.0</v>
      </c>
      <c r="F771" s="31"/>
      <c r="G771" s="32">
        <v>0.0</v>
      </c>
      <c r="H771" s="33">
        <v>0.0</v>
      </c>
      <c r="I771" s="34"/>
      <c r="J771" s="35"/>
      <c r="K771" s="36"/>
      <c r="L771" s="35"/>
      <c r="M771" s="36"/>
      <c r="N771" s="35"/>
      <c r="O771" s="36"/>
      <c r="P771" s="35"/>
      <c r="Q771" s="36"/>
      <c r="R771" s="35"/>
      <c r="S771" s="36"/>
      <c r="T771" s="35"/>
      <c r="U771" s="36"/>
      <c r="V771" s="35"/>
      <c r="W771" s="36"/>
      <c r="X771" s="35"/>
      <c r="Y771" s="36"/>
      <c r="Z771" s="37"/>
      <c r="AA771" s="37"/>
      <c r="AB771" s="35"/>
      <c r="AC771" s="38"/>
      <c r="AD771" s="36"/>
      <c r="AE771" s="35"/>
      <c r="AF771" s="36"/>
      <c r="AG771" s="1"/>
    </row>
    <row r="772" ht="21.0" customHeight="1">
      <c r="A772" s="1"/>
      <c r="B772" s="39" t="s">
        <v>24</v>
      </c>
      <c r="C772" s="40"/>
      <c r="D772" s="41"/>
      <c r="E772" s="42" t="s">
        <v>25</v>
      </c>
      <c r="F772" s="40"/>
      <c r="G772" s="41"/>
      <c r="H772" s="43" t="s">
        <v>26</v>
      </c>
      <c r="J772" s="44" t="s">
        <v>27</v>
      </c>
      <c r="K772" s="45" t="s">
        <v>28</v>
      </c>
      <c r="L772" s="44" t="s">
        <v>27</v>
      </c>
      <c r="M772" s="45" t="s">
        <v>28</v>
      </c>
      <c r="N772" s="44" t="s">
        <v>27</v>
      </c>
      <c r="O772" s="45" t="s">
        <v>28</v>
      </c>
      <c r="P772" s="44" t="s">
        <v>27</v>
      </c>
      <c r="Q772" s="45" t="s">
        <v>28</v>
      </c>
      <c r="R772" s="44" t="s">
        <v>27</v>
      </c>
      <c r="S772" s="45" t="s">
        <v>28</v>
      </c>
      <c r="T772" s="44" t="s">
        <v>27</v>
      </c>
      <c r="U772" s="45" t="s">
        <v>28</v>
      </c>
      <c r="V772" s="44" t="s">
        <v>27</v>
      </c>
      <c r="W772" s="45" t="s">
        <v>28</v>
      </c>
      <c r="X772" s="44" t="s">
        <v>27</v>
      </c>
      <c r="Y772" s="45" t="s">
        <v>28</v>
      </c>
      <c r="Z772" s="46"/>
      <c r="AA772" s="46"/>
      <c r="AB772" s="121" t="s">
        <v>29</v>
      </c>
      <c r="AC772" s="122" t="s">
        <v>30</v>
      </c>
      <c r="AD772" s="123" t="s">
        <v>31</v>
      </c>
      <c r="AE772" s="121" t="s">
        <v>27</v>
      </c>
      <c r="AF772" s="123" t="s">
        <v>28</v>
      </c>
      <c r="AG772" s="1"/>
    </row>
    <row r="773" ht="21.0" customHeight="1">
      <c r="A773" s="1"/>
      <c r="B773" s="48" t="s">
        <v>32</v>
      </c>
      <c r="C773" s="49"/>
      <c r="D773" s="50"/>
      <c r="E773" s="51" t="s">
        <v>33</v>
      </c>
      <c r="F773" s="52" t="s">
        <v>34</v>
      </c>
      <c r="G773" s="53"/>
      <c r="H773" s="148"/>
      <c r="I773" s="55"/>
      <c r="J773" s="58"/>
      <c r="K773" s="59"/>
      <c r="L773" s="58"/>
      <c r="M773" s="59"/>
      <c r="N773" s="58"/>
      <c r="O773" s="59"/>
      <c r="P773" s="58"/>
      <c r="Q773" s="59"/>
      <c r="R773" s="58"/>
      <c r="S773" s="59"/>
      <c r="T773" s="58"/>
      <c r="U773" s="59"/>
      <c r="V773" s="58"/>
      <c r="W773" s="59"/>
      <c r="X773" s="58"/>
      <c r="Y773" s="59"/>
      <c r="Z773" s="60" t="b">
        <v>0</v>
      </c>
      <c r="AA773" s="125">
        <f t="shared" ref="AA773:AA781" si="307">(J773*K773+L773*M773+N773*O773+P773*Q773+R773*S773+T773*U773+V773*W773+X773*Y773)*if(Z773=true,0.453592,1)</f>
        <v>0</v>
      </c>
      <c r="AB773" s="126">
        <f t="shared" ref="AB773:AB781" si="308">SUM(AE773*AF773*0.025,AE773)</f>
        <v>0</v>
      </c>
      <c r="AC773" s="127">
        <f t="shared" ref="AC773:AC781" si="309">AB773*87%</f>
        <v>0</v>
      </c>
      <c r="AD773" s="128">
        <f t="shared" ref="AD773:AD781" si="310">AB773*67%</f>
        <v>0</v>
      </c>
      <c r="AE773" s="126">
        <f t="shared" ref="AE773:AE781" si="311">MAX(J773,L773,N773,P773,R773,T773,V773,X773)*if(Z773=true,0.453592,1)</f>
        <v>0</v>
      </c>
      <c r="AF773" s="128">
        <f t="shared" ref="AF773:AF781" si="312">MAX(IF(J773*if(Z773=true,0.453592,1)=$AE773,K773,0),IF(L773*if(Z773=true,0.453592,1)=$AE773,M773,0),IF(N773*if(Z773=true,0.453592,1)=$AE773,O773,0),IF(P773*if(Z773=true,0.453592,1)=$AE773,Q773,0),IF(R773*if(Z773=true,0.453592,1)=$AE773,S773,0),IF(T773*if(Z773=true,0.453592,1)=$AE773,U773,0),IF(V773*if(Z773=true,0.453592,1)=$AE773,W773,0),IF(X773*if(Z773=true,0.453592,1)=$AE773,Y773,0))</f>
        <v>0</v>
      </c>
      <c r="AG773" s="1"/>
    </row>
    <row r="774" ht="21.0" customHeight="1">
      <c r="A774" s="1"/>
      <c r="B774" s="48" t="s">
        <v>36</v>
      </c>
      <c r="C774" s="49"/>
      <c r="D774" s="65"/>
      <c r="E774" s="66"/>
      <c r="F774" s="52" t="s">
        <v>37</v>
      </c>
      <c r="G774" s="67"/>
      <c r="H774" s="129"/>
      <c r="I774" s="69"/>
      <c r="J774" s="72"/>
      <c r="K774" s="73"/>
      <c r="L774" s="72"/>
      <c r="M774" s="73"/>
      <c r="N774" s="72"/>
      <c r="O774" s="73"/>
      <c r="P774" s="72"/>
      <c r="Q774" s="73"/>
      <c r="R774" s="72"/>
      <c r="S774" s="73"/>
      <c r="T774" s="72"/>
      <c r="U774" s="73"/>
      <c r="V774" s="72"/>
      <c r="W774" s="73"/>
      <c r="X774" s="72"/>
      <c r="Y774" s="73"/>
      <c r="Z774" s="74" t="b">
        <v>0</v>
      </c>
      <c r="AA774" s="130">
        <f t="shared" si="307"/>
        <v>0</v>
      </c>
      <c r="AB774" s="131">
        <f t="shared" si="308"/>
        <v>0</v>
      </c>
      <c r="AC774" s="132">
        <f t="shared" si="309"/>
        <v>0</v>
      </c>
      <c r="AD774" s="133">
        <f t="shared" si="310"/>
        <v>0</v>
      </c>
      <c r="AE774" s="131">
        <f t="shared" si="311"/>
        <v>0</v>
      </c>
      <c r="AF774" s="133">
        <f t="shared" si="312"/>
        <v>0</v>
      </c>
      <c r="AG774" s="1"/>
    </row>
    <row r="775" ht="21.0" customHeight="1">
      <c r="A775" s="1"/>
      <c r="B775" s="48" t="s">
        <v>39</v>
      </c>
      <c r="C775" s="49"/>
      <c r="D775" s="65"/>
      <c r="E775" s="41"/>
      <c r="F775" s="52" t="s">
        <v>40</v>
      </c>
      <c r="G775" s="79"/>
      <c r="H775" s="80"/>
      <c r="I775" s="69"/>
      <c r="J775" s="72"/>
      <c r="K775" s="73"/>
      <c r="L775" s="72"/>
      <c r="M775" s="73"/>
      <c r="N775" s="72"/>
      <c r="O775" s="73"/>
      <c r="P775" s="72"/>
      <c r="Q775" s="73"/>
      <c r="R775" s="72"/>
      <c r="S775" s="73"/>
      <c r="T775" s="72"/>
      <c r="U775" s="73"/>
      <c r="V775" s="72"/>
      <c r="W775" s="73"/>
      <c r="X775" s="72"/>
      <c r="Y775" s="73"/>
      <c r="Z775" s="74" t="b">
        <v>0</v>
      </c>
      <c r="AA775" s="130">
        <f t="shared" si="307"/>
        <v>0</v>
      </c>
      <c r="AB775" s="131">
        <f t="shared" si="308"/>
        <v>0</v>
      </c>
      <c r="AC775" s="132">
        <f t="shared" si="309"/>
        <v>0</v>
      </c>
      <c r="AD775" s="133">
        <f t="shared" si="310"/>
        <v>0</v>
      </c>
      <c r="AE775" s="131">
        <f t="shared" si="311"/>
        <v>0</v>
      </c>
      <c r="AF775" s="133">
        <f t="shared" si="312"/>
        <v>0</v>
      </c>
      <c r="AG775" s="1"/>
    </row>
    <row r="776" ht="21.0" customHeight="1">
      <c r="A776" s="1"/>
      <c r="B776" s="48" t="s">
        <v>41</v>
      </c>
      <c r="C776" s="81"/>
      <c r="D776" s="82" t="b">
        <v>0</v>
      </c>
      <c r="E776" s="51" t="s">
        <v>42</v>
      </c>
      <c r="F776" s="52" t="s">
        <v>34</v>
      </c>
      <c r="G776" s="83"/>
      <c r="H776" s="84"/>
      <c r="I776" s="85"/>
      <c r="J776" s="72"/>
      <c r="K776" s="73"/>
      <c r="L776" s="72"/>
      <c r="M776" s="73"/>
      <c r="N776" s="72"/>
      <c r="O776" s="73"/>
      <c r="P776" s="72"/>
      <c r="Q776" s="73"/>
      <c r="R776" s="72"/>
      <c r="S776" s="73"/>
      <c r="T776" s="72"/>
      <c r="U776" s="73"/>
      <c r="V776" s="72"/>
      <c r="W776" s="73"/>
      <c r="X776" s="72"/>
      <c r="Y776" s="73"/>
      <c r="Z776" s="74" t="b">
        <v>0</v>
      </c>
      <c r="AA776" s="130">
        <f t="shared" si="307"/>
        <v>0</v>
      </c>
      <c r="AB776" s="131">
        <f t="shared" si="308"/>
        <v>0</v>
      </c>
      <c r="AC776" s="132">
        <f t="shared" si="309"/>
        <v>0</v>
      </c>
      <c r="AD776" s="133">
        <f t="shared" si="310"/>
        <v>0</v>
      </c>
      <c r="AE776" s="131">
        <f t="shared" si="311"/>
        <v>0</v>
      </c>
      <c r="AF776" s="133">
        <f t="shared" si="312"/>
        <v>0</v>
      </c>
      <c r="AG776" s="1"/>
    </row>
    <row r="777" ht="21.0" customHeight="1">
      <c r="A777" s="1"/>
      <c r="B777" s="48" t="s">
        <v>43</v>
      </c>
      <c r="C777" s="49"/>
      <c r="D777" s="86" t="b">
        <v>0</v>
      </c>
      <c r="E777" s="66"/>
      <c r="F777" s="52" t="s">
        <v>37</v>
      </c>
      <c r="G777" s="67"/>
      <c r="H777" s="80"/>
      <c r="I777" s="69"/>
      <c r="J777" s="72"/>
      <c r="K777" s="73"/>
      <c r="L777" s="72"/>
      <c r="M777" s="73"/>
      <c r="N777" s="72"/>
      <c r="O777" s="73"/>
      <c r="P777" s="72"/>
      <c r="Q777" s="73"/>
      <c r="R777" s="72"/>
      <c r="S777" s="73"/>
      <c r="T777" s="72"/>
      <c r="U777" s="73"/>
      <c r="V777" s="72"/>
      <c r="W777" s="73"/>
      <c r="X777" s="72"/>
      <c r="Y777" s="73"/>
      <c r="Z777" s="74" t="b">
        <v>0</v>
      </c>
      <c r="AA777" s="130">
        <f t="shared" si="307"/>
        <v>0</v>
      </c>
      <c r="AB777" s="131">
        <f t="shared" si="308"/>
        <v>0</v>
      </c>
      <c r="AC777" s="132">
        <f t="shared" si="309"/>
        <v>0</v>
      </c>
      <c r="AD777" s="133">
        <f t="shared" si="310"/>
        <v>0</v>
      </c>
      <c r="AE777" s="131">
        <f t="shared" si="311"/>
        <v>0</v>
      </c>
      <c r="AF777" s="133">
        <f t="shared" si="312"/>
        <v>0</v>
      </c>
      <c r="AG777" s="1"/>
    </row>
    <row r="778" ht="21.0" customHeight="1">
      <c r="A778" s="1"/>
      <c r="B778" s="87" t="str">
        <f t="array" ref="B778">"📌최근 인바디 결과 : "&amp;text(xlookup(B770,'현황'!O:O,'현황'!O:O,,-1,-1),"m/d(ddd)")</f>
        <v>#REF!</v>
      </c>
      <c r="C778" s="88"/>
      <c r="D778" s="49"/>
      <c r="E778" s="41"/>
      <c r="F778" s="52" t="s">
        <v>40</v>
      </c>
      <c r="G778" s="79"/>
      <c r="H778" s="80"/>
      <c r="I778" s="69"/>
      <c r="J778" s="72"/>
      <c r="K778" s="73"/>
      <c r="L778" s="72"/>
      <c r="M778" s="73"/>
      <c r="N778" s="72"/>
      <c r="O778" s="73"/>
      <c r="P778" s="72"/>
      <c r="Q778" s="73"/>
      <c r="R778" s="72"/>
      <c r="S778" s="73"/>
      <c r="T778" s="72"/>
      <c r="U778" s="73"/>
      <c r="V778" s="72"/>
      <c r="W778" s="73"/>
      <c r="X778" s="72"/>
      <c r="Y778" s="73"/>
      <c r="Z778" s="74" t="b">
        <v>0</v>
      </c>
      <c r="AA778" s="130">
        <f t="shared" si="307"/>
        <v>0</v>
      </c>
      <c r="AB778" s="131">
        <f t="shared" si="308"/>
        <v>0</v>
      </c>
      <c r="AC778" s="132">
        <f t="shared" si="309"/>
        <v>0</v>
      </c>
      <c r="AD778" s="133">
        <f t="shared" si="310"/>
        <v>0</v>
      </c>
      <c r="AE778" s="131">
        <f t="shared" si="311"/>
        <v>0</v>
      </c>
      <c r="AF778" s="133">
        <f t="shared" si="312"/>
        <v>0</v>
      </c>
      <c r="AG778" s="1"/>
    </row>
    <row r="779" ht="21.0" customHeight="1">
      <c r="A779" s="1"/>
      <c r="B779" s="89" t="s">
        <v>44</v>
      </c>
      <c r="C779" s="49"/>
      <c r="D779" s="90">
        <f t="array" ref="D779">iferror(vlookup(xlookup(B770,'현황'!O:O,'현황'!O:O,,-1,-1),'현황'!O:S,2,false),0)</f>
        <v>0</v>
      </c>
      <c r="E779" s="51" t="s">
        <v>45</v>
      </c>
      <c r="F779" s="52" t="s">
        <v>34</v>
      </c>
      <c r="G779" s="83"/>
      <c r="H779" s="84"/>
      <c r="I779" s="85"/>
      <c r="J779" s="72"/>
      <c r="K779" s="73"/>
      <c r="L779" s="72"/>
      <c r="M779" s="73"/>
      <c r="N779" s="72"/>
      <c r="O779" s="73"/>
      <c r="P779" s="72"/>
      <c r="Q779" s="73"/>
      <c r="R779" s="72"/>
      <c r="S779" s="73"/>
      <c r="T779" s="72"/>
      <c r="U779" s="73"/>
      <c r="V779" s="72"/>
      <c r="W779" s="73"/>
      <c r="X779" s="72"/>
      <c r="Y779" s="73"/>
      <c r="Z779" s="74" t="b">
        <v>0</v>
      </c>
      <c r="AA779" s="130">
        <f t="shared" si="307"/>
        <v>0</v>
      </c>
      <c r="AB779" s="131">
        <f t="shared" si="308"/>
        <v>0</v>
      </c>
      <c r="AC779" s="132">
        <f t="shared" si="309"/>
        <v>0</v>
      </c>
      <c r="AD779" s="133">
        <f t="shared" si="310"/>
        <v>0</v>
      </c>
      <c r="AE779" s="131">
        <f t="shared" si="311"/>
        <v>0</v>
      </c>
      <c r="AF779" s="133">
        <f t="shared" si="312"/>
        <v>0</v>
      </c>
      <c r="AG779" s="1"/>
    </row>
    <row r="780" ht="21.0" customHeight="1">
      <c r="A780" s="1"/>
      <c r="B780" s="48" t="s">
        <v>46</v>
      </c>
      <c r="C780" s="49"/>
      <c r="D780" s="91">
        <f t="array" ref="D780">iferror(vlookup(xlookup(B770,'현황'!O:O,'현황'!O:O,,-1,-1),'현황'!O:S,3,false),0)</f>
        <v>0</v>
      </c>
      <c r="E780" s="66"/>
      <c r="F780" s="52" t="s">
        <v>37</v>
      </c>
      <c r="G780" s="67"/>
      <c r="H780" s="80"/>
      <c r="I780" s="69"/>
      <c r="J780" s="72"/>
      <c r="K780" s="73"/>
      <c r="L780" s="72"/>
      <c r="M780" s="73"/>
      <c r="N780" s="72"/>
      <c r="O780" s="73"/>
      <c r="P780" s="72"/>
      <c r="Q780" s="73"/>
      <c r="R780" s="72"/>
      <c r="S780" s="73"/>
      <c r="T780" s="72"/>
      <c r="U780" s="73"/>
      <c r="V780" s="72"/>
      <c r="W780" s="73"/>
      <c r="X780" s="72"/>
      <c r="Y780" s="73"/>
      <c r="Z780" s="74" t="b">
        <v>0</v>
      </c>
      <c r="AA780" s="130">
        <f t="shared" si="307"/>
        <v>0</v>
      </c>
      <c r="AB780" s="131">
        <f t="shared" si="308"/>
        <v>0</v>
      </c>
      <c r="AC780" s="132">
        <f t="shared" si="309"/>
        <v>0</v>
      </c>
      <c r="AD780" s="133">
        <f t="shared" si="310"/>
        <v>0</v>
      </c>
      <c r="AE780" s="131">
        <f t="shared" si="311"/>
        <v>0</v>
      </c>
      <c r="AF780" s="133">
        <f t="shared" si="312"/>
        <v>0</v>
      </c>
      <c r="AG780" s="1"/>
    </row>
    <row r="781" ht="21.0" customHeight="1">
      <c r="A781" s="1"/>
      <c r="B781" s="48" t="s">
        <v>47</v>
      </c>
      <c r="C781" s="49"/>
      <c r="D781" s="91">
        <f t="array" ref="D781">iferror(vlookup(xlookup(B770,'현황'!O:O,'현황'!O:O,,-1,-1),'현황'!O:S,4,false),0)</f>
        <v>0</v>
      </c>
      <c r="E781" s="41"/>
      <c r="F781" s="92" t="s">
        <v>40</v>
      </c>
      <c r="G781" s="79"/>
      <c r="H781" s="93"/>
      <c r="I781" s="94"/>
      <c r="J781" s="95"/>
      <c r="K781" s="96"/>
      <c r="L781" s="95"/>
      <c r="M781" s="96"/>
      <c r="N781" s="95"/>
      <c r="O781" s="96"/>
      <c r="P781" s="95"/>
      <c r="Q781" s="96"/>
      <c r="R781" s="95"/>
      <c r="S781" s="96"/>
      <c r="T781" s="95"/>
      <c r="U781" s="96"/>
      <c r="V781" s="95"/>
      <c r="W781" s="96"/>
      <c r="X781" s="95"/>
      <c r="Y781" s="96"/>
      <c r="Z781" s="97" t="b">
        <v>0</v>
      </c>
      <c r="AA781" s="135">
        <f t="shared" si="307"/>
        <v>0</v>
      </c>
      <c r="AB781" s="136">
        <f t="shared" si="308"/>
        <v>0</v>
      </c>
      <c r="AC781" s="137">
        <f t="shared" si="309"/>
        <v>0</v>
      </c>
      <c r="AD781" s="138">
        <f t="shared" si="310"/>
        <v>0</v>
      </c>
      <c r="AE781" s="136">
        <f t="shared" si="311"/>
        <v>0</v>
      </c>
      <c r="AF781" s="138">
        <f t="shared" si="312"/>
        <v>0</v>
      </c>
      <c r="AG781" s="1"/>
    </row>
    <row r="782" ht="21.0" customHeight="1">
      <c r="A782" s="1"/>
      <c r="B782" s="102" t="s">
        <v>48</v>
      </c>
      <c r="C782" s="103"/>
      <c r="D782" s="104">
        <f>iferror(D781/D779,0)</f>
        <v>0</v>
      </c>
      <c r="E782" s="102" t="s">
        <v>49</v>
      </c>
      <c r="F782" s="103"/>
      <c r="G782" s="105"/>
      <c r="H782" s="143" t="s">
        <v>50</v>
      </c>
      <c r="I782" s="144"/>
      <c r="J782" s="11"/>
      <c r="K782" s="11"/>
      <c r="L782" s="11"/>
      <c r="M782" s="11"/>
      <c r="N782" s="11"/>
      <c r="O782" s="11"/>
      <c r="P782" s="145" t="s">
        <v>51</v>
      </c>
      <c r="Q782" s="12"/>
      <c r="R782" s="146"/>
      <c r="S782" s="11"/>
      <c r="T782" s="11"/>
      <c r="U782" s="11"/>
      <c r="V782" s="11"/>
      <c r="W782" s="11"/>
      <c r="X782" s="11"/>
      <c r="Y782" s="11"/>
      <c r="Z782" s="12"/>
      <c r="AA782" s="139">
        <f>SUM(AA773:AA781)</f>
        <v>0</v>
      </c>
      <c r="AB782" s="140" t="s">
        <v>201</v>
      </c>
      <c r="AG782" s="1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1"/>
      <c r="AA783" s="1"/>
      <c r="AB783" s="1"/>
      <c r="AC783" s="3"/>
      <c r="AD783" s="1"/>
      <c r="AE783" s="1"/>
      <c r="AF783" s="1"/>
      <c r="AG783" s="1"/>
    </row>
    <row r="784" ht="21.0" customHeight="1">
      <c r="A784" s="1"/>
      <c r="B784" s="4" t="s">
        <v>1</v>
      </c>
      <c r="C784" s="5"/>
      <c r="D784" s="6" t="s">
        <v>2</v>
      </c>
      <c r="E784" s="7"/>
      <c r="F784" s="7"/>
      <c r="G784" s="5"/>
      <c r="H784" s="8" t="s">
        <v>3</v>
      </c>
      <c r="I784" s="8" t="s">
        <v>4</v>
      </c>
      <c r="J784" s="9" t="s">
        <v>5</v>
      </c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5"/>
      <c r="AA784" s="117" t="s">
        <v>6</v>
      </c>
      <c r="AB784" s="11"/>
      <c r="AC784" s="11"/>
      <c r="AD784" s="11"/>
      <c r="AE784" s="11"/>
      <c r="AF784" s="12"/>
      <c r="AG784" s="1"/>
    </row>
    <row r="785" ht="21.0" customHeight="1">
      <c r="A785" s="1"/>
      <c r="B785" s="149" t="s">
        <v>138</v>
      </c>
      <c r="C785" s="14" t="str">
        <f>if(B785="0/0","",choose(weekday(B785),"(일)","(월)","(화)","(수)","(목)","(금)","(토)"))</f>
        <v/>
      </c>
      <c r="D785" s="15" t="s">
        <v>7</v>
      </c>
      <c r="E785" s="16" t="s">
        <v>8</v>
      </c>
      <c r="F785" s="17"/>
      <c r="G785" s="18" t="s">
        <v>9</v>
      </c>
      <c r="H785" s="150" t="s">
        <v>139</v>
      </c>
      <c r="I785" s="151"/>
      <c r="J785" s="21" t="s">
        <v>12</v>
      </c>
      <c r="K785" s="22"/>
      <c r="L785" s="21" t="s">
        <v>13</v>
      </c>
      <c r="M785" s="22"/>
      <c r="N785" s="21" t="s">
        <v>14</v>
      </c>
      <c r="O785" s="22"/>
      <c r="P785" s="21" t="s">
        <v>15</v>
      </c>
      <c r="Q785" s="22"/>
      <c r="R785" s="23" t="s">
        <v>16</v>
      </c>
      <c r="S785" s="22"/>
      <c r="T785" s="23" t="s">
        <v>17</v>
      </c>
      <c r="U785" s="22"/>
      <c r="V785" s="23" t="s">
        <v>18</v>
      </c>
      <c r="W785" s="22"/>
      <c r="X785" s="23" t="s">
        <v>19</v>
      </c>
      <c r="Y785" s="22"/>
      <c r="Z785" s="24" t="s">
        <v>202</v>
      </c>
      <c r="AA785" s="118" t="s">
        <v>21</v>
      </c>
      <c r="AB785" s="119" t="s">
        <v>22</v>
      </c>
      <c r="AC785" s="7"/>
      <c r="AD785" s="22"/>
      <c r="AE785" s="120" t="s">
        <v>23</v>
      </c>
      <c r="AF785" s="22"/>
      <c r="AG785" s="1"/>
    </row>
    <row r="786" ht="21.0" customHeight="1">
      <c r="A786" s="1"/>
      <c r="B786" s="27">
        <f>iferror(B785-'현황'!$C$4+1,0)</f>
        <v>0</v>
      </c>
      <c r="C786" s="28"/>
      <c r="D786" s="29">
        <v>0.0</v>
      </c>
      <c r="E786" s="30">
        <v>0.0</v>
      </c>
      <c r="F786" s="31"/>
      <c r="G786" s="32">
        <v>0.0</v>
      </c>
      <c r="H786" s="33">
        <v>0.0</v>
      </c>
      <c r="I786" s="34"/>
      <c r="J786" s="35"/>
      <c r="K786" s="36"/>
      <c r="L786" s="35"/>
      <c r="M786" s="36"/>
      <c r="N786" s="35"/>
      <c r="O786" s="36"/>
      <c r="P786" s="35"/>
      <c r="Q786" s="36"/>
      <c r="R786" s="35"/>
      <c r="S786" s="36"/>
      <c r="T786" s="35"/>
      <c r="U786" s="36"/>
      <c r="V786" s="35"/>
      <c r="W786" s="36"/>
      <c r="X786" s="35"/>
      <c r="Y786" s="36"/>
      <c r="Z786" s="37"/>
      <c r="AA786" s="37"/>
      <c r="AB786" s="35"/>
      <c r="AC786" s="38"/>
      <c r="AD786" s="36"/>
      <c r="AE786" s="35"/>
      <c r="AF786" s="36"/>
      <c r="AG786" s="1"/>
    </row>
    <row r="787" ht="21.0" customHeight="1">
      <c r="A787" s="1"/>
      <c r="B787" s="39" t="s">
        <v>24</v>
      </c>
      <c r="C787" s="40"/>
      <c r="D787" s="41"/>
      <c r="E787" s="42" t="s">
        <v>25</v>
      </c>
      <c r="F787" s="40"/>
      <c r="G787" s="41"/>
      <c r="H787" s="43" t="s">
        <v>26</v>
      </c>
      <c r="J787" s="44" t="s">
        <v>27</v>
      </c>
      <c r="K787" s="45" t="s">
        <v>28</v>
      </c>
      <c r="L787" s="44" t="s">
        <v>27</v>
      </c>
      <c r="M787" s="45" t="s">
        <v>28</v>
      </c>
      <c r="N787" s="44" t="s">
        <v>27</v>
      </c>
      <c r="O787" s="45" t="s">
        <v>28</v>
      </c>
      <c r="P787" s="44" t="s">
        <v>27</v>
      </c>
      <c r="Q787" s="45" t="s">
        <v>28</v>
      </c>
      <c r="R787" s="44" t="s">
        <v>27</v>
      </c>
      <c r="S787" s="45" t="s">
        <v>28</v>
      </c>
      <c r="T787" s="44" t="s">
        <v>27</v>
      </c>
      <c r="U787" s="45" t="s">
        <v>28</v>
      </c>
      <c r="V787" s="44" t="s">
        <v>27</v>
      </c>
      <c r="W787" s="45" t="s">
        <v>28</v>
      </c>
      <c r="X787" s="44" t="s">
        <v>27</v>
      </c>
      <c r="Y787" s="45" t="s">
        <v>28</v>
      </c>
      <c r="Z787" s="46"/>
      <c r="AA787" s="46"/>
      <c r="AB787" s="121" t="s">
        <v>29</v>
      </c>
      <c r="AC787" s="122" t="s">
        <v>30</v>
      </c>
      <c r="AD787" s="123" t="s">
        <v>31</v>
      </c>
      <c r="AE787" s="121" t="s">
        <v>27</v>
      </c>
      <c r="AF787" s="123" t="s">
        <v>28</v>
      </c>
      <c r="AG787" s="1"/>
    </row>
    <row r="788" ht="21.0" customHeight="1">
      <c r="A788" s="1"/>
      <c r="B788" s="48" t="s">
        <v>32</v>
      </c>
      <c r="C788" s="49"/>
      <c r="D788" s="50"/>
      <c r="E788" s="51" t="s">
        <v>33</v>
      </c>
      <c r="F788" s="52" t="s">
        <v>34</v>
      </c>
      <c r="G788" s="53"/>
      <c r="H788" s="148"/>
      <c r="I788" s="55"/>
      <c r="J788" s="58"/>
      <c r="K788" s="59"/>
      <c r="L788" s="58"/>
      <c r="M788" s="59"/>
      <c r="N788" s="58"/>
      <c r="O788" s="59"/>
      <c r="P788" s="58"/>
      <c r="Q788" s="59"/>
      <c r="R788" s="58"/>
      <c r="S788" s="59"/>
      <c r="T788" s="58"/>
      <c r="U788" s="59"/>
      <c r="V788" s="58"/>
      <c r="W788" s="59"/>
      <c r="X788" s="58"/>
      <c r="Y788" s="59"/>
      <c r="Z788" s="60" t="b">
        <v>0</v>
      </c>
      <c r="AA788" s="125">
        <f t="shared" ref="AA788:AA796" si="313">(J788*K788+L788*M788+N788*O788+P788*Q788+R788*S788+T788*U788+V788*W788+X788*Y788)*if(Z788=true,0.453592,1)</f>
        <v>0</v>
      </c>
      <c r="AB788" s="126">
        <f t="shared" ref="AB788:AB796" si="314">SUM(AE788*AF788*0.025,AE788)</f>
        <v>0</v>
      </c>
      <c r="AC788" s="127">
        <f t="shared" ref="AC788:AC796" si="315">AB788*87%</f>
        <v>0</v>
      </c>
      <c r="AD788" s="128">
        <f t="shared" ref="AD788:AD796" si="316">AB788*67%</f>
        <v>0</v>
      </c>
      <c r="AE788" s="126">
        <f t="shared" ref="AE788:AE796" si="317">MAX(J788,L788,N788,P788,R788,T788,V788,X788)*if(Z788=true,0.453592,1)</f>
        <v>0</v>
      </c>
      <c r="AF788" s="128">
        <f t="shared" ref="AF788:AF796" si="318">MAX(IF(J788*if(Z788=true,0.453592,1)=$AE788,K788,0),IF(L788*if(Z788=true,0.453592,1)=$AE788,M788,0),IF(N788*if(Z788=true,0.453592,1)=$AE788,O788,0),IF(P788*if(Z788=true,0.453592,1)=$AE788,Q788,0),IF(R788*if(Z788=true,0.453592,1)=$AE788,S788,0),IF(T788*if(Z788=true,0.453592,1)=$AE788,U788,0),IF(V788*if(Z788=true,0.453592,1)=$AE788,W788,0),IF(X788*if(Z788=true,0.453592,1)=$AE788,Y788,0))</f>
        <v>0</v>
      </c>
      <c r="AG788" s="1"/>
    </row>
    <row r="789" ht="21.0" customHeight="1">
      <c r="A789" s="1"/>
      <c r="B789" s="48" t="s">
        <v>36</v>
      </c>
      <c r="C789" s="49"/>
      <c r="D789" s="65"/>
      <c r="E789" s="66"/>
      <c r="F789" s="52" t="s">
        <v>37</v>
      </c>
      <c r="G789" s="67"/>
      <c r="H789" s="129"/>
      <c r="I789" s="69"/>
      <c r="J789" s="72"/>
      <c r="K789" s="73"/>
      <c r="L789" s="72"/>
      <c r="M789" s="73"/>
      <c r="N789" s="72"/>
      <c r="O789" s="73"/>
      <c r="P789" s="72"/>
      <c r="Q789" s="73"/>
      <c r="R789" s="72"/>
      <c r="S789" s="73"/>
      <c r="T789" s="72"/>
      <c r="U789" s="73"/>
      <c r="V789" s="72"/>
      <c r="W789" s="73"/>
      <c r="X789" s="72"/>
      <c r="Y789" s="73"/>
      <c r="Z789" s="74" t="b">
        <v>0</v>
      </c>
      <c r="AA789" s="130">
        <f t="shared" si="313"/>
        <v>0</v>
      </c>
      <c r="AB789" s="131">
        <f t="shared" si="314"/>
        <v>0</v>
      </c>
      <c r="AC789" s="132">
        <f t="shared" si="315"/>
        <v>0</v>
      </c>
      <c r="AD789" s="133">
        <f t="shared" si="316"/>
        <v>0</v>
      </c>
      <c r="AE789" s="131">
        <f t="shared" si="317"/>
        <v>0</v>
      </c>
      <c r="AF789" s="133">
        <f t="shared" si="318"/>
        <v>0</v>
      </c>
      <c r="AG789" s="1"/>
    </row>
    <row r="790" ht="21.0" customHeight="1">
      <c r="A790" s="1"/>
      <c r="B790" s="48" t="s">
        <v>39</v>
      </c>
      <c r="C790" s="49"/>
      <c r="D790" s="65"/>
      <c r="E790" s="41"/>
      <c r="F790" s="52" t="s">
        <v>40</v>
      </c>
      <c r="G790" s="79"/>
      <c r="H790" s="80"/>
      <c r="I790" s="69"/>
      <c r="J790" s="72"/>
      <c r="K790" s="73"/>
      <c r="L790" s="72"/>
      <c r="M790" s="73"/>
      <c r="N790" s="72"/>
      <c r="O790" s="73"/>
      <c r="P790" s="72"/>
      <c r="Q790" s="73"/>
      <c r="R790" s="72"/>
      <c r="S790" s="73"/>
      <c r="T790" s="72"/>
      <c r="U790" s="73"/>
      <c r="V790" s="72"/>
      <c r="W790" s="73"/>
      <c r="X790" s="72"/>
      <c r="Y790" s="73"/>
      <c r="Z790" s="74" t="b">
        <v>0</v>
      </c>
      <c r="AA790" s="130">
        <f t="shared" si="313"/>
        <v>0</v>
      </c>
      <c r="AB790" s="131">
        <f t="shared" si="314"/>
        <v>0</v>
      </c>
      <c r="AC790" s="132">
        <f t="shared" si="315"/>
        <v>0</v>
      </c>
      <c r="AD790" s="133">
        <f t="shared" si="316"/>
        <v>0</v>
      </c>
      <c r="AE790" s="131">
        <f t="shared" si="317"/>
        <v>0</v>
      </c>
      <c r="AF790" s="133">
        <f t="shared" si="318"/>
        <v>0</v>
      </c>
      <c r="AG790" s="1"/>
    </row>
    <row r="791" ht="21.0" customHeight="1">
      <c r="A791" s="1"/>
      <c r="B791" s="48" t="s">
        <v>41</v>
      </c>
      <c r="C791" s="81"/>
      <c r="D791" s="82" t="b">
        <v>0</v>
      </c>
      <c r="E791" s="51" t="s">
        <v>42</v>
      </c>
      <c r="F791" s="52" t="s">
        <v>34</v>
      </c>
      <c r="G791" s="83"/>
      <c r="H791" s="84"/>
      <c r="I791" s="85"/>
      <c r="J791" s="72"/>
      <c r="K791" s="73"/>
      <c r="L791" s="72"/>
      <c r="M791" s="73"/>
      <c r="N791" s="72"/>
      <c r="O791" s="73"/>
      <c r="P791" s="72"/>
      <c r="Q791" s="73"/>
      <c r="R791" s="72"/>
      <c r="S791" s="73"/>
      <c r="T791" s="72"/>
      <c r="U791" s="73"/>
      <c r="V791" s="72"/>
      <c r="W791" s="73"/>
      <c r="X791" s="72"/>
      <c r="Y791" s="73"/>
      <c r="Z791" s="74" t="b">
        <v>0</v>
      </c>
      <c r="AA791" s="130">
        <f t="shared" si="313"/>
        <v>0</v>
      </c>
      <c r="AB791" s="131">
        <f t="shared" si="314"/>
        <v>0</v>
      </c>
      <c r="AC791" s="132">
        <f t="shared" si="315"/>
        <v>0</v>
      </c>
      <c r="AD791" s="133">
        <f t="shared" si="316"/>
        <v>0</v>
      </c>
      <c r="AE791" s="131">
        <f t="shared" si="317"/>
        <v>0</v>
      </c>
      <c r="AF791" s="133">
        <f t="shared" si="318"/>
        <v>0</v>
      </c>
      <c r="AG791" s="1"/>
    </row>
    <row r="792" ht="21.0" customHeight="1">
      <c r="A792" s="1"/>
      <c r="B792" s="48" t="s">
        <v>43</v>
      </c>
      <c r="C792" s="49"/>
      <c r="D792" s="86" t="b">
        <v>0</v>
      </c>
      <c r="E792" s="66"/>
      <c r="F792" s="52" t="s">
        <v>37</v>
      </c>
      <c r="G792" s="67"/>
      <c r="H792" s="80"/>
      <c r="I792" s="69"/>
      <c r="J792" s="72"/>
      <c r="K792" s="73"/>
      <c r="L792" s="72"/>
      <c r="M792" s="73"/>
      <c r="N792" s="72"/>
      <c r="O792" s="73"/>
      <c r="P792" s="72"/>
      <c r="Q792" s="73"/>
      <c r="R792" s="72"/>
      <c r="S792" s="73"/>
      <c r="T792" s="72"/>
      <c r="U792" s="73"/>
      <c r="V792" s="72"/>
      <c r="W792" s="73"/>
      <c r="X792" s="72"/>
      <c r="Y792" s="73"/>
      <c r="Z792" s="74" t="b">
        <v>0</v>
      </c>
      <c r="AA792" s="130">
        <f t="shared" si="313"/>
        <v>0</v>
      </c>
      <c r="AB792" s="131">
        <f t="shared" si="314"/>
        <v>0</v>
      </c>
      <c r="AC792" s="132">
        <f t="shared" si="315"/>
        <v>0</v>
      </c>
      <c r="AD792" s="133">
        <f t="shared" si="316"/>
        <v>0</v>
      </c>
      <c r="AE792" s="131">
        <f t="shared" si="317"/>
        <v>0</v>
      </c>
      <c r="AF792" s="133">
        <f t="shared" si="318"/>
        <v>0</v>
      </c>
      <c r="AG792" s="1"/>
    </row>
    <row r="793" ht="21.0" customHeight="1">
      <c r="A793" s="1"/>
      <c r="B793" s="87" t="str">
        <f t="array" ref="B793">"📌최근 인바디 결과 : "&amp;text(xlookup(B785,'현황'!O:O,'현황'!O:O,,-1,-1),"m/d(ddd)")</f>
        <v>#REF!</v>
      </c>
      <c r="C793" s="88"/>
      <c r="D793" s="49"/>
      <c r="E793" s="41"/>
      <c r="F793" s="52" t="s">
        <v>40</v>
      </c>
      <c r="G793" s="79"/>
      <c r="H793" s="80"/>
      <c r="I793" s="69"/>
      <c r="J793" s="72"/>
      <c r="K793" s="73"/>
      <c r="L793" s="72"/>
      <c r="M793" s="73"/>
      <c r="N793" s="72"/>
      <c r="O793" s="73"/>
      <c r="P793" s="72"/>
      <c r="Q793" s="73"/>
      <c r="R793" s="72"/>
      <c r="S793" s="73"/>
      <c r="T793" s="72"/>
      <c r="U793" s="73"/>
      <c r="V793" s="72"/>
      <c r="W793" s="73"/>
      <c r="X793" s="72"/>
      <c r="Y793" s="73"/>
      <c r="Z793" s="74" t="b">
        <v>0</v>
      </c>
      <c r="AA793" s="130">
        <f t="shared" si="313"/>
        <v>0</v>
      </c>
      <c r="AB793" s="131">
        <f t="shared" si="314"/>
        <v>0</v>
      </c>
      <c r="AC793" s="132">
        <f t="shared" si="315"/>
        <v>0</v>
      </c>
      <c r="AD793" s="133">
        <f t="shared" si="316"/>
        <v>0</v>
      </c>
      <c r="AE793" s="131">
        <f t="shared" si="317"/>
        <v>0</v>
      </c>
      <c r="AF793" s="133">
        <f t="shared" si="318"/>
        <v>0</v>
      </c>
      <c r="AG793" s="1"/>
    </row>
    <row r="794" ht="21.0" customHeight="1">
      <c r="A794" s="1"/>
      <c r="B794" s="89" t="s">
        <v>44</v>
      </c>
      <c r="C794" s="49"/>
      <c r="D794" s="90">
        <f t="array" ref="D794">iferror(vlookup(xlookup(B785,'현황'!O:O,'현황'!O:O,,-1,-1),'현황'!O:S,2,false),0)</f>
        <v>0</v>
      </c>
      <c r="E794" s="51" t="s">
        <v>45</v>
      </c>
      <c r="F794" s="52" t="s">
        <v>34</v>
      </c>
      <c r="G794" s="83"/>
      <c r="H794" s="84"/>
      <c r="I794" s="85"/>
      <c r="J794" s="72"/>
      <c r="K794" s="73"/>
      <c r="L794" s="72"/>
      <c r="M794" s="73"/>
      <c r="N794" s="72"/>
      <c r="O794" s="73"/>
      <c r="P794" s="72"/>
      <c r="Q794" s="73"/>
      <c r="R794" s="72"/>
      <c r="S794" s="73"/>
      <c r="T794" s="72"/>
      <c r="U794" s="73"/>
      <c r="V794" s="72"/>
      <c r="W794" s="73"/>
      <c r="X794" s="72"/>
      <c r="Y794" s="73"/>
      <c r="Z794" s="74" t="b">
        <v>0</v>
      </c>
      <c r="AA794" s="130">
        <f t="shared" si="313"/>
        <v>0</v>
      </c>
      <c r="AB794" s="131">
        <f t="shared" si="314"/>
        <v>0</v>
      </c>
      <c r="AC794" s="132">
        <f t="shared" si="315"/>
        <v>0</v>
      </c>
      <c r="AD794" s="133">
        <f t="shared" si="316"/>
        <v>0</v>
      </c>
      <c r="AE794" s="131">
        <f t="shared" si="317"/>
        <v>0</v>
      </c>
      <c r="AF794" s="133">
        <f t="shared" si="318"/>
        <v>0</v>
      </c>
      <c r="AG794" s="1"/>
    </row>
    <row r="795" ht="21.0" customHeight="1">
      <c r="A795" s="1"/>
      <c r="B795" s="48" t="s">
        <v>46</v>
      </c>
      <c r="C795" s="49"/>
      <c r="D795" s="91">
        <f t="array" ref="D795">iferror(vlookup(xlookup(B785,'현황'!O:O,'현황'!O:O,,-1,-1),'현황'!O:S,3,false),0)</f>
        <v>0</v>
      </c>
      <c r="E795" s="66"/>
      <c r="F795" s="52" t="s">
        <v>37</v>
      </c>
      <c r="G795" s="67"/>
      <c r="H795" s="80"/>
      <c r="I795" s="69"/>
      <c r="J795" s="72"/>
      <c r="K795" s="73"/>
      <c r="L795" s="72"/>
      <c r="M795" s="73"/>
      <c r="N795" s="72"/>
      <c r="O795" s="73"/>
      <c r="P795" s="72"/>
      <c r="Q795" s="73"/>
      <c r="R795" s="72"/>
      <c r="S795" s="73"/>
      <c r="T795" s="72"/>
      <c r="U795" s="73"/>
      <c r="V795" s="72"/>
      <c r="W795" s="73"/>
      <c r="X795" s="72"/>
      <c r="Y795" s="73"/>
      <c r="Z795" s="74" t="b">
        <v>0</v>
      </c>
      <c r="AA795" s="130">
        <f t="shared" si="313"/>
        <v>0</v>
      </c>
      <c r="AB795" s="131">
        <f t="shared" si="314"/>
        <v>0</v>
      </c>
      <c r="AC795" s="132">
        <f t="shared" si="315"/>
        <v>0</v>
      </c>
      <c r="AD795" s="133">
        <f t="shared" si="316"/>
        <v>0</v>
      </c>
      <c r="AE795" s="131">
        <f t="shared" si="317"/>
        <v>0</v>
      </c>
      <c r="AF795" s="133">
        <f t="shared" si="318"/>
        <v>0</v>
      </c>
      <c r="AG795" s="1"/>
    </row>
    <row r="796" ht="21.0" customHeight="1">
      <c r="A796" s="1"/>
      <c r="B796" s="48" t="s">
        <v>47</v>
      </c>
      <c r="C796" s="49"/>
      <c r="D796" s="91">
        <f t="array" ref="D796">iferror(vlookup(xlookup(B785,'현황'!O:O,'현황'!O:O,,-1,-1),'현황'!O:S,4,false),0)</f>
        <v>0</v>
      </c>
      <c r="E796" s="41"/>
      <c r="F796" s="92" t="s">
        <v>40</v>
      </c>
      <c r="G796" s="79"/>
      <c r="H796" s="93"/>
      <c r="I796" s="94"/>
      <c r="J796" s="95"/>
      <c r="K796" s="96"/>
      <c r="L796" s="95"/>
      <c r="M796" s="96"/>
      <c r="N796" s="95"/>
      <c r="O796" s="96"/>
      <c r="P796" s="95"/>
      <c r="Q796" s="96"/>
      <c r="R796" s="95"/>
      <c r="S796" s="96"/>
      <c r="T796" s="95"/>
      <c r="U796" s="96"/>
      <c r="V796" s="95"/>
      <c r="W796" s="96"/>
      <c r="X796" s="95"/>
      <c r="Y796" s="96"/>
      <c r="Z796" s="97" t="b">
        <v>0</v>
      </c>
      <c r="AA796" s="135">
        <f t="shared" si="313"/>
        <v>0</v>
      </c>
      <c r="AB796" s="136">
        <f t="shared" si="314"/>
        <v>0</v>
      </c>
      <c r="AC796" s="137">
        <f t="shared" si="315"/>
        <v>0</v>
      </c>
      <c r="AD796" s="138">
        <f t="shared" si="316"/>
        <v>0</v>
      </c>
      <c r="AE796" s="136">
        <f t="shared" si="317"/>
        <v>0</v>
      </c>
      <c r="AF796" s="138">
        <f t="shared" si="318"/>
        <v>0</v>
      </c>
      <c r="AG796" s="1"/>
    </row>
    <row r="797" ht="21.0" customHeight="1">
      <c r="A797" s="1"/>
      <c r="B797" s="102" t="s">
        <v>48</v>
      </c>
      <c r="C797" s="103"/>
      <c r="D797" s="104">
        <f>iferror(D796/D794,0)</f>
        <v>0</v>
      </c>
      <c r="E797" s="102" t="s">
        <v>49</v>
      </c>
      <c r="F797" s="103"/>
      <c r="G797" s="105"/>
      <c r="H797" s="106" t="s">
        <v>50</v>
      </c>
      <c r="I797" s="107"/>
      <c r="J797" s="11"/>
      <c r="K797" s="11"/>
      <c r="L797" s="11"/>
      <c r="M797" s="11"/>
      <c r="N797" s="11"/>
      <c r="O797" s="11"/>
      <c r="P797" s="108" t="s">
        <v>51</v>
      </c>
      <c r="Q797" s="12"/>
      <c r="R797" s="109"/>
      <c r="S797" s="11"/>
      <c r="T797" s="11"/>
      <c r="U797" s="11"/>
      <c r="V797" s="11"/>
      <c r="W797" s="11"/>
      <c r="X797" s="11"/>
      <c r="Y797" s="11"/>
      <c r="Z797" s="12"/>
      <c r="AA797" s="139">
        <f>SUM(AA788:AA796)</f>
        <v>0</v>
      </c>
      <c r="AB797" s="140" t="s">
        <v>203</v>
      </c>
      <c r="AG797" s="1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1"/>
      <c r="AA798" s="1"/>
      <c r="AB798" s="1"/>
      <c r="AC798" s="3"/>
      <c r="AD798" s="1"/>
      <c r="AE798" s="1"/>
      <c r="AF798" s="1"/>
      <c r="AG798" s="1"/>
    </row>
    <row r="799" ht="21.0" customHeight="1">
      <c r="A799" s="1"/>
      <c r="B799" s="4" t="s">
        <v>1</v>
      </c>
      <c r="C799" s="5"/>
      <c r="D799" s="6" t="s">
        <v>2</v>
      </c>
      <c r="E799" s="7"/>
      <c r="F799" s="7"/>
      <c r="G799" s="5"/>
      <c r="H799" s="8" t="s">
        <v>3</v>
      </c>
      <c r="I799" s="8" t="s">
        <v>4</v>
      </c>
      <c r="J799" s="9" t="s">
        <v>5</v>
      </c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5"/>
      <c r="AA799" s="117" t="s">
        <v>6</v>
      </c>
      <c r="AB799" s="11"/>
      <c r="AC799" s="11"/>
      <c r="AD799" s="11"/>
      <c r="AE799" s="11"/>
      <c r="AF799" s="12"/>
      <c r="AG799" s="1"/>
    </row>
    <row r="800" ht="21.0" customHeight="1">
      <c r="A800" s="1"/>
      <c r="B800" s="149" t="s">
        <v>138</v>
      </c>
      <c r="C800" s="14" t="str">
        <f>if(B800="0/0","",choose(weekday(B800),"(일)","(월)","(화)","(수)","(목)","(금)","(토)"))</f>
        <v/>
      </c>
      <c r="D800" s="15" t="s">
        <v>7</v>
      </c>
      <c r="E800" s="16" t="s">
        <v>8</v>
      </c>
      <c r="F800" s="17"/>
      <c r="G800" s="18" t="s">
        <v>9</v>
      </c>
      <c r="H800" s="150" t="s">
        <v>139</v>
      </c>
      <c r="I800" s="151"/>
      <c r="J800" s="21" t="s">
        <v>12</v>
      </c>
      <c r="K800" s="22"/>
      <c r="L800" s="21" t="s">
        <v>13</v>
      </c>
      <c r="M800" s="22"/>
      <c r="N800" s="21" t="s">
        <v>14</v>
      </c>
      <c r="O800" s="22"/>
      <c r="P800" s="21" t="s">
        <v>15</v>
      </c>
      <c r="Q800" s="22"/>
      <c r="R800" s="23" t="s">
        <v>16</v>
      </c>
      <c r="S800" s="22"/>
      <c r="T800" s="23" t="s">
        <v>17</v>
      </c>
      <c r="U800" s="22"/>
      <c r="V800" s="23" t="s">
        <v>18</v>
      </c>
      <c r="W800" s="22"/>
      <c r="X800" s="23" t="s">
        <v>19</v>
      </c>
      <c r="Y800" s="22"/>
      <c r="Z800" s="24" t="s">
        <v>204</v>
      </c>
      <c r="AA800" s="118" t="s">
        <v>21</v>
      </c>
      <c r="AB800" s="119" t="s">
        <v>22</v>
      </c>
      <c r="AC800" s="7"/>
      <c r="AD800" s="22"/>
      <c r="AE800" s="120" t="s">
        <v>23</v>
      </c>
      <c r="AF800" s="22"/>
      <c r="AG800" s="1"/>
    </row>
    <row r="801" ht="21.0" customHeight="1">
      <c r="A801" s="1"/>
      <c r="B801" s="27">
        <f>iferror(B800-'현황'!$C$4+1,0)</f>
        <v>0</v>
      </c>
      <c r="C801" s="28"/>
      <c r="D801" s="29">
        <v>0.0</v>
      </c>
      <c r="E801" s="30">
        <v>0.0</v>
      </c>
      <c r="F801" s="31"/>
      <c r="G801" s="32">
        <v>0.0</v>
      </c>
      <c r="H801" s="33">
        <v>0.0</v>
      </c>
      <c r="I801" s="34"/>
      <c r="J801" s="35"/>
      <c r="K801" s="36"/>
      <c r="L801" s="35"/>
      <c r="M801" s="36"/>
      <c r="N801" s="35"/>
      <c r="O801" s="36"/>
      <c r="P801" s="35"/>
      <c r="Q801" s="36"/>
      <c r="R801" s="35"/>
      <c r="S801" s="36"/>
      <c r="T801" s="35"/>
      <c r="U801" s="36"/>
      <c r="V801" s="35"/>
      <c r="W801" s="36"/>
      <c r="X801" s="35"/>
      <c r="Y801" s="36"/>
      <c r="Z801" s="37"/>
      <c r="AA801" s="37"/>
      <c r="AB801" s="35"/>
      <c r="AC801" s="38"/>
      <c r="AD801" s="36"/>
      <c r="AE801" s="35"/>
      <c r="AF801" s="36"/>
      <c r="AG801" s="1"/>
    </row>
    <row r="802" ht="21.0" customHeight="1">
      <c r="A802" s="1"/>
      <c r="B802" s="39" t="s">
        <v>24</v>
      </c>
      <c r="C802" s="40"/>
      <c r="D802" s="41"/>
      <c r="E802" s="42" t="s">
        <v>25</v>
      </c>
      <c r="F802" s="40"/>
      <c r="G802" s="41"/>
      <c r="H802" s="43" t="s">
        <v>26</v>
      </c>
      <c r="J802" s="44" t="s">
        <v>27</v>
      </c>
      <c r="K802" s="45" t="s">
        <v>28</v>
      </c>
      <c r="L802" s="44" t="s">
        <v>27</v>
      </c>
      <c r="M802" s="45" t="s">
        <v>28</v>
      </c>
      <c r="N802" s="44" t="s">
        <v>27</v>
      </c>
      <c r="O802" s="45" t="s">
        <v>28</v>
      </c>
      <c r="P802" s="44" t="s">
        <v>27</v>
      </c>
      <c r="Q802" s="45" t="s">
        <v>28</v>
      </c>
      <c r="R802" s="44" t="s">
        <v>27</v>
      </c>
      <c r="S802" s="45" t="s">
        <v>28</v>
      </c>
      <c r="T802" s="44" t="s">
        <v>27</v>
      </c>
      <c r="U802" s="45" t="s">
        <v>28</v>
      </c>
      <c r="V802" s="44" t="s">
        <v>27</v>
      </c>
      <c r="W802" s="45" t="s">
        <v>28</v>
      </c>
      <c r="X802" s="44" t="s">
        <v>27</v>
      </c>
      <c r="Y802" s="45" t="s">
        <v>28</v>
      </c>
      <c r="Z802" s="46"/>
      <c r="AA802" s="46"/>
      <c r="AB802" s="121" t="s">
        <v>29</v>
      </c>
      <c r="AC802" s="122" t="s">
        <v>30</v>
      </c>
      <c r="AD802" s="123" t="s">
        <v>31</v>
      </c>
      <c r="AE802" s="121" t="s">
        <v>27</v>
      </c>
      <c r="AF802" s="123" t="s">
        <v>28</v>
      </c>
      <c r="AG802" s="1"/>
    </row>
    <row r="803" ht="21.0" customHeight="1">
      <c r="A803" s="1"/>
      <c r="B803" s="48" t="s">
        <v>32</v>
      </c>
      <c r="C803" s="49"/>
      <c r="D803" s="50"/>
      <c r="E803" s="51" t="s">
        <v>33</v>
      </c>
      <c r="F803" s="52" t="s">
        <v>34</v>
      </c>
      <c r="G803" s="53"/>
      <c r="H803" s="148"/>
      <c r="I803" s="55"/>
      <c r="J803" s="58"/>
      <c r="K803" s="59"/>
      <c r="L803" s="58"/>
      <c r="M803" s="59"/>
      <c r="N803" s="58"/>
      <c r="O803" s="59"/>
      <c r="P803" s="58"/>
      <c r="Q803" s="59"/>
      <c r="R803" s="58"/>
      <c r="S803" s="59"/>
      <c r="T803" s="58"/>
      <c r="U803" s="59"/>
      <c r="V803" s="58"/>
      <c r="W803" s="59"/>
      <c r="X803" s="58"/>
      <c r="Y803" s="59"/>
      <c r="Z803" s="60" t="b">
        <v>0</v>
      </c>
      <c r="AA803" s="125">
        <f t="shared" ref="AA803:AA811" si="319">(J803*K803+L803*M803+N803*O803+P803*Q803+R803*S803+T803*U803+V803*W803+X803*Y803)*if(Z803=true,0.453592,1)</f>
        <v>0</v>
      </c>
      <c r="AB803" s="126">
        <f t="shared" ref="AB803:AB811" si="320">SUM(AE803*AF803*0.025,AE803)</f>
        <v>0</v>
      </c>
      <c r="AC803" s="127">
        <f t="shared" ref="AC803:AC811" si="321">AB803*87%</f>
        <v>0</v>
      </c>
      <c r="AD803" s="128">
        <f t="shared" ref="AD803:AD811" si="322">AB803*67%</f>
        <v>0</v>
      </c>
      <c r="AE803" s="126">
        <f t="shared" ref="AE803:AE811" si="323">MAX(J803,L803,N803,P803,R803,T803,V803,X803)*if(Z803=true,0.453592,1)</f>
        <v>0</v>
      </c>
      <c r="AF803" s="128">
        <f t="shared" ref="AF803:AF811" si="324">MAX(IF(J803*if(Z803=true,0.453592,1)=$AE803,K803,0),IF(L803*if(Z803=true,0.453592,1)=$AE803,M803,0),IF(N803*if(Z803=true,0.453592,1)=$AE803,O803,0),IF(P803*if(Z803=true,0.453592,1)=$AE803,Q803,0),IF(R803*if(Z803=true,0.453592,1)=$AE803,S803,0),IF(T803*if(Z803=true,0.453592,1)=$AE803,U803,0),IF(V803*if(Z803=true,0.453592,1)=$AE803,W803,0),IF(X803*if(Z803=true,0.453592,1)=$AE803,Y803,0))</f>
        <v>0</v>
      </c>
      <c r="AG803" s="1"/>
    </row>
    <row r="804" ht="21.0" customHeight="1">
      <c r="A804" s="1"/>
      <c r="B804" s="48" t="s">
        <v>36</v>
      </c>
      <c r="C804" s="49"/>
      <c r="D804" s="65"/>
      <c r="E804" s="66"/>
      <c r="F804" s="52" t="s">
        <v>37</v>
      </c>
      <c r="G804" s="67"/>
      <c r="H804" s="129"/>
      <c r="I804" s="69"/>
      <c r="J804" s="72"/>
      <c r="K804" s="73"/>
      <c r="L804" s="72"/>
      <c r="M804" s="73"/>
      <c r="N804" s="72"/>
      <c r="O804" s="73"/>
      <c r="P804" s="72"/>
      <c r="Q804" s="73"/>
      <c r="R804" s="72"/>
      <c r="S804" s="73"/>
      <c r="T804" s="72"/>
      <c r="U804" s="73"/>
      <c r="V804" s="72"/>
      <c r="W804" s="73"/>
      <c r="X804" s="72"/>
      <c r="Y804" s="73"/>
      <c r="Z804" s="74" t="b">
        <v>0</v>
      </c>
      <c r="AA804" s="130">
        <f t="shared" si="319"/>
        <v>0</v>
      </c>
      <c r="AB804" s="131">
        <f t="shared" si="320"/>
        <v>0</v>
      </c>
      <c r="AC804" s="132">
        <f t="shared" si="321"/>
        <v>0</v>
      </c>
      <c r="AD804" s="133">
        <f t="shared" si="322"/>
        <v>0</v>
      </c>
      <c r="AE804" s="131">
        <f t="shared" si="323"/>
        <v>0</v>
      </c>
      <c r="AF804" s="133">
        <f t="shared" si="324"/>
        <v>0</v>
      </c>
      <c r="AG804" s="1"/>
    </row>
    <row r="805" ht="21.0" customHeight="1">
      <c r="A805" s="1"/>
      <c r="B805" s="48" t="s">
        <v>39</v>
      </c>
      <c r="C805" s="49"/>
      <c r="D805" s="65"/>
      <c r="E805" s="41"/>
      <c r="F805" s="52" t="s">
        <v>40</v>
      </c>
      <c r="G805" s="79"/>
      <c r="H805" s="80"/>
      <c r="I805" s="69"/>
      <c r="J805" s="72"/>
      <c r="K805" s="73"/>
      <c r="L805" s="72"/>
      <c r="M805" s="73"/>
      <c r="N805" s="72"/>
      <c r="O805" s="73"/>
      <c r="P805" s="72"/>
      <c r="Q805" s="73"/>
      <c r="R805" s="72"/>
      <c r="S805" s="73"/>
      <c r="T805" s="72"/>
      <c r="U805" s="73"/>
      <c r="V805" s="72"/>
      <c r="W805" s="73"/>
      <c r="X805" s="72"/>
      <c r="Y805" s="73"/>
      <c r="Z805" s="74" t="b">
        <v>0</v>
      </c>
      <c r="AA805" s="130">
        <f t="shared" si="319"/>
        <v>0</v>
      </c>
      <c r="AB805" s="131">
        <f t="shared" si="320"/>
        <v>0</v>
      </c>
      <c r="AC805" s="132">
        <f t="shared" si="321"/>
        <v>0</v>
      </c>
      <c r="AD805" s="133">
        <f t="shared" si="322"/>
        <v>0</v>
      </c>
      <c r="AE805" s="131">
        <f t="shared" si="323"/>
        <v>0</v>
      </c>
      <c r="AF805" s="133">
        <f t="shared" si="324"/>
        <v>0</v>
      </c>
      <c r="AG805" s="1"/>
    </row>
    <row r="806" ht="21.0" customHeight="1">
      <c r="A806" s="1"/>
      <c r="B806" s="48" t="s">
        <v>41</v>
      </c>
      <c r="C806" s="81"/>
      <c r="D806" s="82" t="b">
        <v>0</v>
      </c>
      <c r="E806" s="51" t="s">
        <v>42</v>
      </c>
      <c r="F806" s="52" t="s">
        <v>34</v>
      </c>
      <c r="G806" s="83"/>
      <c r="H806" s="84"/>
      <c r="I806" s="85"/>
      <c r="J806" s="72"/>
      <c r="K806" s="73"/>
      <c r="L806" s="72"/>
      <c r="M806" s="73"/>
      <c r="N806" s="72"/>
      <c r="O806" s="73"/>
      <c r="P806" s="72"/>
      <c r="Q806" s="73"/>
      <c r="R806" s="72"/>
      <c r="S806" s="73"/>
      <c r="T806" s="72"/>
      <c r="U806" s="73"/>
      <c r="V806" s="72"/>
      <c r="W806" s="73"/>
      <c r="X806" s="72"/>
      <c r="Y806" s="73"/>
      <c r="Z806" s="74" t="b">
        <v>0</v>
      </c>
      <c r="AA806" s="130">
        <f t="shared" si="319"/>
        <v>0</v>
      </c>
      <c r="AB806" s="131">
        <f t="shared" si="320"/>
        <v>0</v>
      </c>
      <c r="AC806" s="132">
        <f t="shared" si="321"/>
        <v>0</v>
      </c>
      <c r="AD806" s="133">
        <f t="shared" si="322"/>
        <v>0</v>
      </c>
      <c r="AE806" s="131">
        <f t="shared" si="323"/>
        <v>0</v>
      </c>
      <c r="AF806" s="133">
        <f t="shared" si="324"/>
        <v>0</v>
      </c>
      <c r="AG806" s="1"/>
    </row>
    <row r="807" ht="21.0" customHeight="1">
      <c r="A807" s="1"/>
      <c r="B807" s="48" t="s">
        <v>43</v>
      </c>
      <c r="C807" s="49"/>
      <c r="D807" s="86" t="b">
        <v>0</v>
      </c>
      <c r="E807" s="66"/>
      <c r="F807" s="52" t="s">
        <v>37</v>
      </c>
      <c r="G807" s="67"/>
      <c r="H807" s="80"/>
      <c r="I807" s="69"/>
      <c r="J807" s="72"/>
      <c r="K807" s="73"/>
      <c r="L807" s="72"/>
      <c r="M807" s="73"/>
      <c r="N807" s="72"/>
      <c r="O807" s="73"/>
      <c r="P807" s="72"/>
      <c r="Q807" s="73"/>
      <c r="R807" s="72"/>
      <c r="S807" s="73"/>
      <c r="T807" s="72"/>
      <c r="U807" s="73"/>
      <c r="V807" s="72"/>
      <c r="W807" s="73"/>
      <c r="X807" s="72"/>
      <c r="Y807" s="73"/>
      <c r="Z807" s="74" t="b">
        <v>0</v>
      </c>
      <c r="AA807" s="130">
        <f t="shared" si="319"/>
        <v>0</v>
      </c>
      <c r="AB807" s="131">
        <f t="shared" si="320"/>
        <v>0</v>
      </c>
      <c r="AC807" s="132">
        <f t="shared" si="321"/>
        <v>0</v>
      </c>
      <c r="AD807" s="133">
        <f t="shared" si="322"/>
        <v>0</v>
      </c>
      <c r="AE807" s="131">
        <f t="shared" si="323"/>
        <v>0</v>
      </c>
      <c r="AF807" s="133">
        <f t="shared" si="324"/>
        <v>0</v>
      </c>
      <c r="AG807" s="1"/>
    </row>
    <row r="808" ht="21.0" customHeight="1">
      <c r="A808" s="1"/>
      <c r="B808" s="87" t="str">
        <f t="array" ref="B808">"📌최근 인바디 결과 : "&amp;text(xlookup(B800,'현황'!O:O,'현황'!O:O,,-1,-1),"m/d(ddd)")</f>
        <v>#REF!</v>
      </c>
      <c r="C808" s="88"/>
      <c r="D808" s="49"/>
      <c r="E808" s="41"/>
      <c r="F808" s="52" t="s">
        <v>40</v>
      </c>
      <c r="G808" s="79"/>
      <c r="H808" s="80"/>
      <c r="I808" s="69"/>
      <c r="J808" s="72"/>
      <c r="K808" s="73"/>
      <c r="L808" s="72"/>
      <c r="M808" s="73"/>
      <c r="N808" s="72"/>
      <c r="O808" s="73"/>
      <c r="P808" s="72"/>
      <c r="Q808" s="73"/>
      <c r="R808" s="72"/>
      <c r="S808" s="73"/>
      <c r="T808" s="72"/>
      <c r="U808" s="73"/>
      <c r="V808" s="72"/>
      <c r="W808" s="73"/>
      <c r="X808" s="72"/>
      <c r="Y808" s="73"/>
      <c r="Z808" s="74" t="b">
        <v>0</v>
      </c>
      <c r="AA808" s="130">
        <f t="shared" si="319"/>
        <v>0</v>
      </c>
      <c r="AB808" s="131">
        <f t="shared" si="320"/>
        <v>0</v>
      </c>
      <c r="AC808" s="132">
        <f t="shared" si="321"/>
        <v>0</v>
      </c>
      <c r="AD808" s="133">
        <f t="shared" si="322"/>
        <v>0</v>
      </c>
      <c r="AE808" s="131">
        <f t="shared" si="323"/>
        <v>0</v>
      </c>
      <c r="AF808" s="133">
        <f t="shared" si="324"/>
        <v>0</v>
      </c>
      <c r="AG808" s="1"/>
    </row>
    <row r="809" ht="21.0" customHeight="1">
      <c r="A809" s="1"/>
      <c r="B809" s="89" t="s">
        <v>44</v>
      </c>
      <c r="C809" s="49"/>
      <c r="D809" s="90">
        <f t="array" ref="D809">iferror(vlookup(xlookup(B800,'현황'!O:O,'현황'!O:O,,-1,-1),'현황'!O:S,2,false),0)</f>
        <v>0</v>
      </c>
      <c r="E809" s="51" t="s">
        <v>45</v>
      </c>
      <c r="F809" s="52" t="s">
        <v>34</v>
      </c>
      <c r="G809" s="83"/>
      <c r="H809" s="84"/>
      <c r="I809" s="85"/>
      <c r="J809" s="72"/>
      <c r="K809" s="73"/>
      <c r="L809" s="72"/>
      <c r="M809" s="73"/>
      <c r="N809" s="72"/>
      <c r="O809" s="73"/>
      <c r="P809" s="72"/>
      <c r="Q809" s="73"/>
      <c r="R809" s="72"/>
      <c r="S809" s="73"/>
      <c r="T809" s="72"/>
      <c r="U809" s="73"/>
      <c r="V809" s="72"/>
      <c r="W809" s="73"/>
      <c r="X809" s="72"/>
      <c r="Y809" s="73"/>
      <c r="Z809" s="74" t="b">
        <v>0</v>
      </c>
      <c r="AA809" s="130">
        <f t="shared" si="319"/>
        <v>0</v>
      </c>
      <c r="AB809" s="131">
        <f t="shared" si="320"/>
        <v>0</v>
      </c>
      <c r="AC809" s="132">
        <f t="shared" si="321"/>
        <v>0</v>
      </c>
      <c r="AD809" s="133">
        <f t="shared" si="322"/>
        <v>0</v>
      </c>
      <c r="AE809" s="131">
        <f t="shared" si="323"/>
        <v>0</v>
      </c>
      <c r="AF809" s="133">
        <f t="shared" si="324"/>
        <v>0</v>
      </c>
      <c r="AG809" s="1"/>
    </row>
    <row r="810" ht="21.0" customHeight="1">
      <c r="A810" s="1"/>
      <c r="B810" s="48" t="s">
        <v>46</v>
      </c>
      <c r="C810" s="49"/>
      <c r="D810" s="91">
        <f t="array" ref="D810">iferror(vlookup(xlookup(B800,'현황'!O:O,'현황'!O:O,,-1,-1),'현황'!O:S,3,false),0)</f>
        <v>0</v>
      </c>
      <c r="E810" s="66"/>
      <c r="F810" s="52" t="s">
        <v>37</v>
      </c>
      <c r="G810" s="67"/>
      <c r="H810" s="80"/>
      <c r="I810" s="69"/>
      <c r="J810" s="72"/>
      <c r="K810" s="73"/>
      <c r="L810" s="72"/>
      <c r="M810" s="73"/>
      <c r="N810" s="72"/>
      <c r="O810" s="73"/>
      <c r="P810" s="72"/>
      <c r="Q810" s="73"/>
      <c r="R810" s="72"/>
      <c r="S810" s="73"/>
      <c r="T810" s="72"/>
      <c r="U810" s="73"/>
      <c r="V810" s="72"/>
      <c r="W810" s="73"/>
      <c r="X810" s="72"/>
      <c r="Y810" s="73"/>
      <c r="Z810" s="74" t="b">
        <v>0</v>
      </c>
      <c r="AA810" s="130">
        <f t="shared" si="319"/>
        <v>0</v>
      </c>
      <c r="AB810" s="131">
        <f t="shared" si="320"/>
        <v>0</v>
      </c>
      <c r="AC810" s="132">
        <f t="shared" si="321"/>
        <v>0</v>
      </c>
      <c r="AD810" s="133">
        <f t="shared" si="322"/>
        <v>0</v>
      </c>
      <c r="AE810" s="131">
        <f t="shared" si="323"/>
        <v>0</v>
      </c>
      <c r="AF810" s="133">
        <f t="shared" si="324"/>
        <v>0</v>
      </c>
      <c r="AG810" s="1"/>
    </row>
    <row r="811" ht="21.0" customHeight="1">
      <c r="A811" s="1"/>
      <c r="B811" s="48" t="s">
        <v>47</v>
      </c>
      <c r="C811" s="49"/>
      <c r="D811" s="91">
        <f t="array" ref="D811">iferror(vlookup(xlookup(B800,'현황'!O:O,'현황'!O:O,,-1,-1),'현황'!O:S,4,false),0)</f>
        <v>0</v>
      </c>
      <c r="E811" s="41"/>
      <c r="F811" s="92" t="s">
        <v>40</v>
      </c>
      <c r="G811" s="79"/>
      <c r="H811" s="93"/>
      <c r="I811" s="94"/>
      <c r="J811" s="95"/>
      <c r="K811" s="96"/>
      <c r="L811" s="95"/>
      <c r="M811" s="96"/>
      <c r="N811" s="95"/>
      <c r="O811" s="96"/>
      <c r="P811" s="95"/>
      <c r="Q811" s="96"/>
      <c r="R811" s="95"/>
      <c r="S811" s="96"/>
      <c r="T811" s="95"/>
      <c r="U811" s="96"/>
      <c r="V811" s="95"/>
      <c r="W811" s="96"/>
      <c r="X811" s="95"/>
      <c r="Y811" s="96"/>
      <c r="Z811" s="97" t="b">
        <v>0</v>
      </c>
      <c r="AA811" s="135">
        <f t="shared" si="319"/>
        <v>0</v>
      </c>
      <c r="AB811" s="136">
        <f t="shared" si="320"/>
        <v>0</v>
      </c>
      <c r="AC811" s="137">
        <f t="shared" si="321"/>
        <v>0</v>
      </c>
      <c r="AD811" s="138">
        <f t="shared" si="322"/>
        <v>0</v>
      </c>
      <c r="AE811" s="136">
        <f t="shared" si="323"/>
        <v>0</v>
      </c>
      <c r="AF811" s="138">
        <f t="shared" si="324"/>
        <v>0</v>
      </c>
      <c r="AG811" s="1"/>
    </row>
    <row r="812" ht="21.0" customHeight="1">
      <c r="A812" s="1"/>
      <c r="B812" s="102" t="s">
        <v>48</v>
      </c>
      <c r="C812" s="103"/>
      <c r="D812" s="104">
        <f>iferror(D811/D809,0)</f>
        <v>0</v>
      </c>
      <c r="E812" s="102" t="s">
        <v>49</v>
      </c>
      <c r="F812" s="103"/>
      <c r="G812" s="105"/>
      <c r="H812" s="106" t="s">
        <v>50</v>
      </c>
      <c r="I812" s="107"/>
      <c r="J812" s="11"/>
      <c r="K812" s="11"/>
      <c r="L812" s="11"/>
      <c r="M812" s="11"/>
      <c r="N812" s="11"/>
      <c r="O812" s="11"/>
      <c r="P812" s="108" t="s">
        <v>51</v>
      </c>
      <c r="Q812" s="12"/>
      <c r="R812" s="109"/>
      <c r="S812" s="11"/>
      <c r="T812" s="11"/>
      <c r="U812" s="11"/>
      <c r="V812" s="11"/>
      <c r="W812" s="11"/>
      <c r="X812" s="11"/>
      <c r="Y812" s="11"/>
      <c r="Z812" s="12"/>
      <c r="AA812" s="139">
        <f>SUM(AA803:AA811)</f>
        <v>0</v>
      </c>
      <c r="AB812" s="140" t="s">
        <v>205</v>
      </c>
      <c r="AG812" s="1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1"/>
      <c r="AA813" s="1"/>
      <c r="AB813" s="1"/>
      <c r="AC813" s="3"/>
      <c r="AD813" s="1"/>
      <c r="AE813" s="1"/>
      <c r="AF813" s="1"/>
      <c r="AG813" s="1"/>
    </row>
    <row r="814" ht="21.0" customHeight="1">
      <c r="A814" s="1"/>
      <c r="B814" s="4" t="s">
        <v>1</v>
      </c>
      <c r="C814" s="5"/>
      <c r="D814" s="6" t="s">
        <v>2</v>
      </c>
      <c r="E814" s="7"/>
      <c r="F814" s="7"/>
      <c r="G814" s="5"/>
      <c r="H814" s="8" t="s">
        <v>3</v>
      </c>
      <c r="I814" s="8" t="s">
        <v>4</v>
      </c>
      <c r="J814" s="9" t="s">
        <v>5</v>
      </c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5"/>
      <c r="AA814" s="117" t="s">
        <v>6</v>
      </c>
      <c r="AB814" s="11"/>
      <c r="AC814" s="11"/>
      <c r="AD814" s="11"/>
      <c r="AE814" s="11"/>
      <c r="AF814" s="12"/>
      <c r="AG814" s="1"/>
    </row>
    <row r="815" ht="21.0" customHeight="1">
      <c r="A815" s="1"/>
      <c r="B815" s="149" t="s">
        <v>138</v>
      </c>
      <c r="C815" s="14" t="str">
        <f>if(B815="0/0","",choose(weekday(B815),"(일)","(월)","(화)","(수)","(목)","(금)","(토)"))</f>
        <v/>
      </c>
      <c r="D815" s="15" t="s">
        <v>7</v>
      </c>
      <c r="E815" s="16" t="s">
        <v>8</v>
      </c>
      <c r="F815" s="17"/>
      <c r="G815" s="18" t="s">
        <v>9</v>
      </c>
      <c r="H815" s="150" t="s">
        <v>139</v>
      </c>
      <c r="I815" s="151"/>
      <c r="J815" s="21" t="s">
        <v>12</v>
      </c>
      <c r="K815" s="22"/>
      <c r="L815" s="21" t="s">
        <v>13</v>
      </c>
      <c r="M815" s="22"/>
      <c r="N815" s="21" t="s">
        <v>14</v>
      </c>
      <c r="O815" s="22"/>
      <c r="P815" s="21" t="s">
        <v>15</v>
      </c>
      <c r="Q815" s="22"/>
      <c r="R815" s="23" t="s">
        <v>16</v>
      </c>
      <c r="S815" s="22"/>
      <c r="T815" s="23" t="s">
        <v>17</v>
      </c>
      <c r="U815" s="22"/>
      <c r="V815" s="23" t="s">
        <v>18</v>
      </c>
      <c r="W815" s="22"/>
      <c r="X815" s="23" t="s">
        <v>19</v>
      </c>
      <c r="Y815" s="22"/>
      <c r="Z815" s="24" t="s">
        <v>206</v>
      </c>
      <c r="AA815" s="118" t="s">
        <v>21</v>
      </c>
      <c r="AB815" s="119" t="s">
        <v>22</v>
      </c>
      <c r="AC815" s="7"/>
      <c r="AD815" s="22"/>
      <c r="AE815" s="120" t="s">
        <v>23</v>
      </c>
      <c r="AF815" s="22"/>
      <c r="AG815" s="1"/>
    </row>
    <row r="816" ht="21.0" customHeight="1">
      <c r="A816" s="1"/>
      <c r="B816" s="27">
        <f>iferror(B815-'현황'!$C$4+1,0)</f>
        <v>0</v>
      </c>
      <c r="C816" s="28"/>
      <c r="D816" s="29">
        <v>0.0</v>
      </c>
      <c r="E816" s="30">
        <v>0.0</v>
      </c>
      <c r="F816" s="31"/>
      <c r="G816" s="32">
        <v>0.0</v>
      </c>
      <c r="H816" s="33">
        <v>0.0</v>
      </c>
      <c r="I816" s="34"/>
      <c r="J816" s="35"/>
      <c r="K816" s="36"/>
      <c r="L816" s="35"/>
      <c r="M816" s="36"/>
      <c r="N816" s="35"/>
      <c r="O816" s="36"/>
      <c r="P816" s="35"/>
      <c r="Q816" s="36"/>
      <c r="R816" s="35"/>
      <c r="S816" s="36"/>
      <c r="T816" s="35"/>
      <c r="U816" s="36"/>
      <c r="V816" s="35"/>
      <c r="W816" s="36"/>
      <c r="X816" s="35"/>
      <c r="Y816" s="36"/>
      <c r="Z816" s="37"/>
      <c r="AA816" s="37"/>
      <c r="AB816" s="35"/>
      <c r="AC816" s="38"/>
      <c r="AD816" s="36"/>
      <c r="AE816" s="35"/>
      <c r="AF816" s="36"/>
      <c r="AG816" s="1"/>
    </row>
    <row r="817" ht="21.0" customHeight="1">
      <c r="A817" s="1"/>
      <c r="B817" s="39" t="s">
        <v>24</v>
      </c>
      <c r="C817" s="40"/>
      <c r="D817" s="41"/>
      <c r="E817" s="42" t="s">
        <v>25</v>
      </c>
      <c r="F817" s="40"/>
      <c r="G817" s="41"/>
      <c r="H817" s="43" t="s">
        <v>26</v>
      </c>
      <c r="J817" s="44" t="s">
        <v>27</v>
      </c>
      <c r="K817" s="45" t="s">
        <v>28</v>
      </c>
      <c r="L817" s="44" t="s">
        <v>27</v>
      </c>
      <c r="M817" s="45" t="s">
        <v>28</v>
      </c>
      <c r="N817" s="44" t="s">
        <v>27</v>
      </c>
      <c r="O817" s="45" t="s">
        <v>28</v>
      </c>
      <c r="P817" s="44" t="s">
        <v>27</v>
      </c>
      <c r="Q817" s="45" t="s">
        <v>28</v>
      </c>
      <c r="R817" s="44" t="s">
        <v>27</v>
      </c>
      <c r="S817" s="45" t="s">
        <v>28</v>
      </c>
      <c r="T817" s="44" t="s">
        <v>27</v>
      </c>
      <c r="U817" s="45" t="s">
        <v>28</v>
      </c>
      <c r="V817" s="44" t="s">
        <v>27</v>
      </c>
      <c r="W817" s="45" t="s">
        <v>28</v>
      </c>
      <c r="X817" s="44" t="s">
        <v>27</v>
      </c>
      <c r="Y817" s="45" t="s">
        <v>28</v>
      </c>
      <c r="Z817" s="46"/>
      <c r="AA817" s="46"/>
      <c r="AB817" s="121" t="s">
        <v>29</v>
      </c>
      <c r="AC817" s="122" t="s">
        <v>30</v>
      </c>
      <c r="AD817" s="123" t="s">
        <v>31</v>
      </c>
      <c r="AE817" s="121" t="s">
        <v>27</v>
      </c>
      <c r="AF817" s="123" t="s">
        <v>28</v>
      </c>
      <c r="AG817" s="1"/>
    </row>
    <row r="818" ht="21.0" customHeight="1">
      <c r="A818" s="1"/>
      <c r="B818" s="48" t="s">
        <v>32</v>
      </c>
      <c r="C818" s="49"/>
      <c r="D818" s="50"/>
      <c r="E818" s="51" t="s">
        <v>33</v>
      </c>
      <c r="F818" s="52" t="s">
        <v>34</v>
      </c>
      <c r="G818" s="53"/>
      <c r="H818" s="148"/>
      <c r="I818" s="55"/>
      <c r="J818" s="58"/>
      <c r="K818" s="59"/>
      <c r="L818" s="58"/>
      <c r="M818" s="59"/>
      <c r="N818" s="58"/>
      <c r="O818" s="59"/>
      <c r="P818" s="58"/>
      <c r="Q818" s="59"/>
      <c r="R818" s="58"/>
      <c r="S818" s="59"/>
      <c r="T818" s="58"/>
      <c r="U818" s="59"/>
      <c r="V818" s="58"/>
      <c r="W818" s="59"/>
      <c r="X818" s="58"/>
      <c r="Y818" s="59"/>
      <c r="Z818" s="60" t="b">
        <v>0</v>
      </c>
      <c r="AA818" s="125">
        <f t="shared" ref="AA818:AA826" si="325">(J818*K818+L818*M818+N818*O818+P818*Q818+R818*S818+T818*U818+V818*W818+X818*Y818)*if(Z818=true,0.453592,1)</f>
        <v>0</v>
      </c>
      <c r="AB818" s="126">
        <f t="shared" ref="AB818:AB826" si="326">SUM(AE818*AF818*0.025,AE818)</f>
        <v>0</v>
      </c>
      <c r="AC818" s="127">
        <f t="shared" ref="AC818:AC826" si="327">AB818*87%</f>
        <v>0</v>
      </c>
      <c r="AD818" s="128">
        <f t="shared" ref="AD818:AD826" si="328">AB818*67%</f>
        <v>0</v>
      </c>
      <c r="AE818" s="126">
        <f t="shared" ref="AE818:AE826" si="329">MAX(J818,L818,N818,P818,R818,T818,V818,X818)*if(Z818=true,0.453592,1)</f>
        <v>0</v>
      </c>
      <c r="AF818" s="128">
        <f t="shared" ref="AF818:AF826" si="330">MAX(IF(J818*if(Z818=true,0.453592,1)=$AE818,K818,0),IF(L818*if(Z818=true,0.453592,1)=$AE818,M818,0),IF(N818*if(Z818=true,0.453592,1)=$AE818,O818,0),IF(P818*if(Z818=true,0.453592,1)=$AE818,Q818,0),IF(R818*if(Z818=true,0.453592,1)=$AE818,S818,0),IF(T818*if(Z818=true,0.453592,1)=$AE818,U818,0),IF(V818*if(Z818=true,0.453592,1)=$AE818,W818,0),IF(X818*if(Z818=true,0.453592,1)=$AE818,Y818,0))</f>
        <v>0</v>
      </c>
      <c r="AG818" s="1"/>
    </row>
    <row r="819" ht="21.0" customHeight="1">
      <c r="A819" s="1"/>
      <c r="B819" s="48" t="s">
        <v>36</v>
      </c>
      <c r="C819" s="49"/>
      <c r="D819" s="65"/>
      <c r="E819" s="66"/>
      <c r="F819" s="52" t="s">
        <v>37</v>
      </c>
      <c r="G819" s="67"/>
      <c r="H819" s="129"/>
      <c r="I819" s="69"/>
      <c r="J819" s="72"/>
      <c r="K819" s="73"/>
      <c r="L819" s="72"/>
      <c r="M819" s="73"/>
      <c r="N819" s="72"/>
      <c r="O819" s="73"/>
      <c r="P819" s="72"/>
      <c r="Q819" s="73"/>
      <c r="R819" s="72"/>
      <c r="S819" s="73"/>
      <c r="T819" s="72"/>
      <c r="U819" s="73"/>
      <c r="V819" s="72"/>
      <c r="W819" s="73"/>
      <c r="X819" s="72"/>
      <c r="Y819" s="73"/>
      <c r="Z819" s="74" t="b">
        <v>0</v>
      </c>
      <c r="AA819" s="130">
        <f t="shared" si="325"/>
        <v>0</v>
      </c>
      <c r="AB819" s="131">
        <f t="shared" si="326"/>
        <v>0</v>
      </c>
      <c r="AC819" s="132">
        <f t="shared" si="327"/>
        <v>0</v>
      </c>
      <c r="AD819" s="133">
        <f t="shared" si="328"/>
        <v>0</v>
      </c>
      <c r="AE819" s="131">
        <f t="shared" si="329"/>
        <v>0</v>
      </c>
      <c r="AF819" s="133">
        <f t="shared" si="330"/>
        <v>0</v>
      </c>
      <c r="AG819" s="1"/>
    </row>
    <row r="820" ht="21.0" customHeight="1">
      <c r="A820" s="1"/>
      <c r="B820" s="48" t="s">
        <v>39</v>
      </c>
      <c r="C820" s="49"/>
      <c r="D820" s="65"/>
      <c r="E820" s="41"/>
      <c r="F820" s="52" t="s">
        <v>40</v>
      </c>
      <c r="G820" s="79"/>
      <c r="H820" s="80"/>
      <c r="I820" s="69"/>
      <c r="J820" s="72"/>
      <c r="K820" s="73"/>
      <c r="L820" s="72"/>
      <c r="M820" s="73"/>
      <c r="N820" s="72"/>
      <c r="O820" s="73"/>
      <c r="P820" s="72"/>
      <c r="Q820" s="73"/>
      <c r="R820" s="72"/>
      <c r="S820" s="73"/>
      <c r="T820" s="72"/>
      <c r="U820" s="73"/>
      <c r="V820" s="72"/>
      <c r="W820" s="73"/>
      <c r="X820" s="72"/>
      <c r="Y820" s="73"/>
      <c r="Z820" s="74" t="b">
        <v>0</v>
      </c>
      <c r="AA820" s="130">
        <f t="shared" si="325"/>
        <v>0</v>
      </c>
      <c r="AB820" s="131">
        <f t="shared" si="326"/>
        <v>0</v>
      </c>
      <c r="AC820" s="132">
        <f t="shared" si="327"/>
        <v>0</v>
      </c>
      <c r="AD820" s="133">
        <f t="shared" si="328"/>
        <v>0</v>
      </c>
      <c r="AE820" s="131">
        <f t="shared" si="329"/>
        <v>0</v>
      </c>
      <c r="AF820" s="133">
        <f t="shared" si="330"/>
        <v>0</v>
      </c>
      <c r="AG820" s="1"/>
    </row>
    <row r="821" ht="21.0" customHeight="1">
      <c r="A821" s="1"/>
      <c r="B821" s="48" t="s">
        <v>41</v>
      </c>
      <c r="C821" s="81"/>
      <c r="D821" s="82" t="b">
        <v>0</v>
      </c>
      <c r="E821" s="51" t="s">
        <v>42</v>
      </c>
      <c r="F821" s="52" t="s">
        <v>34</v>
      </c>
      <c r="G821" s="83"/>
      <c r="H821" s="84"/>
      <c r="I821" s="85"/>
      <c r="J821" s="72"/>
      <c r="K821" s="73"/>
      <c r="L821" s="72"/>
      <c r="M821" s="73"/>
      <c r="N821" s="72"/>
      <c r="O821" s="73"/>
      <c r="P821" s="72"/>
      <c r="Q821" s="73"/>
      <c r="R821" s="72"/>
      <c r="S821" s="73"/>
      <c r="T821" s="72"/>
      <c r="U821" s="73"/>
      <c r="V821" s="72"/>
      <c r="W821" s="73"/>
      <c r="X821" s="72"/>
      <c r="Y821" s="73"/>
      <c r="Z821" s="74" t="b">
        <v>0</v>
      </c>
      <c r="AA821" s="130">
        <f t="shared" si="325"/>
        <v>0</v>
      </c>
      <c r="AB821" s="131">
        <f t="shared" si="326"/>
        <v>0</v>
      </c>
      <c r="AC821" s="132">
        <f t="shared" si="327"/>
        <v>0</v>
      </c>
      <c r="AD821" s="133">
        <f t="shared" si="328"/>
        <v>0</v>
      </c>
      <c r="AE821" s="131">
        <f t="shared" si="329"/>
        <v>0</v>
      </c>
      <c r="AF821" s="133">
        <f t="shared" si="330"/>
        <v>0</v>
      </c>
      <c r="AG821" s="1"/>
    </row>
    <row r="822" ht="21.0" customHeight="1">
      <c r="A822" s="1"/>
      <c r="B822" s="48" t="s">
        <v>43</v>
      </c>
      <c r="C822" s="49"/>
      <c r="D822" s="86" t="b">
        <v>0</v>
      </c>
      <c r="E822" s="66"/>
      <c r="F822" s="52" t="s">
        <v>37</v>
      </c>
      <c r="G822" s="67"/>
      <c r="H822" s="80"/>
      <c r="I822" s="69"/>
      <c r="J822" s="72"/>
      <c r="K822" s="73"/>
      <c r="L822" s="72"/>
      <c r="M822" s="73"/>
      <c r="N822" s="72"/>
      <c r="O822" s="73"/>
      <c r="P822" s="72"/>
      <c r="Q822" s="73"/>
      <c r="R822" s="72"/>
      <c r="S822" s="73"/>
      <c r="T822" s="72"/>
      <c r="U822" s="73"/>
      <c r="V822" s="72"/>
      <c r="W822" s="73"/>
      <c r="X822" s="72"/>
      <c r="Y822" s="73"/>
      <c r="Z822" s="74" t="b">
        <v>0</v>
      </c>
      <c r="AA822" s="130">
        <f t="shared" si="325"/>
        <v>0</v>
      </c>
      <c r="AB822" s="131">
        <f t="shared" si="326"/>
        <v>0</v>
      </c>
      <c r="AC822" s="132">
        <f t="shared" si="327"/>
        <v>0</v>
      </c>
      <c r="AD822" s="133">
        <f t="shared" si="328"/>
        <v>0</v>
      </c>
      <c r="AE822" s="131">
        <f t="shared" si="329"/>
        <v>0</v>
      </c>
      <c r="AF822" s="133">
        <f t="shared" si="330"/>
        <v>0</v>
      </c>
      <c r="AG822" s="1"/>
    </row>
    <row r="823" ht="21.0" customHeight="1">
      <c r="A823" s="1"/>
      <c r="B823" s="87" t="str">
        <f t="array" ref="B823">"📌최근 인바디 결과 : "&amp;text(xlookup(B815,'현황'!O:O,'현황'!O:O,,-1,-1),"m/d(ddd)")</f>
        <v>#REF!</v>
      </c>
      <c r="C823" s="88"/>
      <c r="D823" s="49"/>
      <c r="E823" s="41"/>
      <c r="F823" s="52" t="s">
        <v>40</v>
      </c>
      <c r="G823" s="79"/>
      <c r="H823" s="80"/>
      <c r="I823" s="69"/>
      <c r="J823" s="72"/>
      <c r="K823" s="73"/>
      <c r="L823" s="72"/>
      <c r="M823" s="73"/>
      <c r="N823" s="72"/>
      <c r="O823" s="73"/>
      <c r="P823" s="72"/>
      <c r="Q823" s="73"/>
      <c r="R823" s="72"/>
      <c r="S823" s="73"/>
      <c r="T823" s="72"/>
      <c r="U823" s="73"/>
      <c r="V823" s="72"/>
      <c r="W823" s="73"/>
      <c r="X823" s="72"/>
      <c r="Y823" s="73"/>
      <c r="Z823" s="74" t="b">
        <v>0</v>
      </c>
      <c r="AA823" s="130">
        <f t="shared" si="325"/>
        <v>0</v>
      </c>
      <c r="AB823" s="131">
        <f t="shared" si="326"/>
        <v>0</v>
      </c>
      <c r="AC823" s="132">
        <f t="shared" si="327"/>
        <v>0</v>
      </c>
      <c r="AD823" s="133">
        <f t="shared" si="328"/>
        <v>0</v>
      </c>
      <c r="AE823" s="131">
        <f t="shared" si="329"/>
        <v>0</v>
      </c>
      <c r="AF823" s="133">
        <f t="shared" si="330"/>
        <v>0</v>
      </c>
      <c r="AG823" s="1"/>
    </row>
    <row r="824" ht="21.0" customHeight="1">
      <c r="A824" s="1"/>
      <c r="B824" s="89" t="s">
        <v>44</v>
      </c>
      <c r="C824" s="49"/>
      <c r="D824" s="90">
        <f t="array" ref="D824">iferror(vlookup(xlookup(B815,'현황'!O:O,'현황'!O:O,,-1,-1),'현황'!O:S,2,false),0)</f>
        <v>0</v>
      </c>
      <c r="E824" s="51" t="s">
        <v>45</v>
      </c>
      <c r="F824" s="52" t="s">
        <v>34</v>
      </c>
      <c r="G824" s="83"/>
      <c r="H824" s="84"/>
      <c r="I824" s="85"/>
      <c r="J824" s="72"/>
      <c r="K824" s="73"/>
      <c r="L824" s="72"/>
      <c r="M824" s="73"/>
      <c r="N824" s="72"/>
      <c r="O824" s="73"/>
      <c r="P824" s="72"/>
      <c r="Q824" s="73"/>
      <c r="R824" s="72"/>
      <c r="S824" s="73"/>
      <c r="T824" s="72"/>
      <c r="U824" s="73"/>
      <c r="V824" s="72"/>
      <c r="W824" s="73"/>
      <c r="X824" s="72"/>
      <c r="Y824" s="73"/>
      <c r="Z824" s="74" t="b">
        <v>0</v>
      </c>
      <c r="AA824" s="130">
        <f t="shared" si="325"/>
        <v>0</v>
      </c>
      <c r="AB824" s="131">
        <f t="shared" si="326"/>
        <v>0</v>
      </c>
      <c r="AC824" s="132">
        <f t="shared" si="327"/>
        <v>0</v>
      </c>
      <c r="AD824" s="133">
        <f t="shared" si="328"/>
        <v>0</v>
      </c>
      <c r="AE824" s="131">
        <f t="shared" si="329"/>
        <v>0</v>
      </c>
      <c r="AF824" s="133">
        <f t="shared" si="330"/>
        <v>0</v>
      </c>
      <c r="AG824" s="1"/>
    </row>
    <row r="825" ht="21.0" customHeight="1">
      <c r="A825" s="1"/>
      <c r="B825" s="48" t="s">
        <v>46</v>
      </c>
      <c r="C825" s="49"/>
      <c r="D825" s="91">
        <f t="array" ref="D825">iferror(vlookup(xlookup(B815,'현황'!O:O,'현황'!O:O,,-1,-1),'현황'!O:S,3,false),0)</f>
        <v>0</v>
      </c>
      <c r="E825" s="66"/>
      <c r="F825" s="52" t="s">
        <v>37</v>
      </c>
      <c r="G825" s="67"/>
      <c r="H825" s="80"/>
      <c r="I825" s="69"/>
      <c r="J825" s="72"/>
      <c r="K825" s="73"/>
      <c r="L825" s="72"/>
      <c r="M825" s="73"/>
      <c r="N825" s="72"/>
      <c r="O825" s="73"/>
      <c r="P825" s="72"/>
      <c r="Q825" s="73"/>
      <c r="R825" s="72"/>
      <c r="S825" s="73"/>
      <c r="T825" s="72"/>
      <c r="U825" s="73"/>
      <c r="V825" s="72"/>
      <c r="W825" s="73"/>
      <c r="X825" s="72"/>
      <c r="Y825" s="73"/>
      <c r="Z825" s="74" t="b">
        <v>0</v>
      </c>
      <c r="AA825" s="130">
        <f t="shared" si="325"/>
        <v>0</v>
      </c>
      <c r="AB825" s="131">
        <f t="shared" si="326"/>
        <v>0</v>
      </c>
      <c r="AC825" s="132">
        <f t="shared" si="327"/>
        <v>0</v>
      </c>
      <c r="AD825" s="133">
        <f t="shared" si="328"/>
        <v>0</v>
      </c>
      <c r="AE825" s="131">
        <f t="shared" si="329"/>
        <v>0</v>
      </c>
      <c r="AF825" s="133">
        <f t="shared" si="330"/>
        <v>0</v>
      </c>
      <c r="AG825" s="1"/>
    </row>
    <row r="826" ht="21.0" customHeight="1">
      <c r="A826" s="1"/>
      <c r="B826" s="48" t="s">
        <v>47</v>
      </c>
      <c r="C826" s="49"/>
      <c r="D826" s="91">
        <f t="array" ref="D826">iferror(vlookup(xlookup(B815,'현황'!O:O,'현황'!O:O,,-1,-1),'현황'!O:S,4,false),0)</f>
        <v>0</v>
      </c>
      <c r="E826" s="41"/>
      <c r="F826" s="92" t="s">
        <v>40</v>
      </c>
      <c r="G826" s="79"/>
      <c r="H826" s="93"/>
      <c r="I826" s="94"/>
      <c r="J826" s="95"/>
      <c r="K826" s="96"/>
      <c r="L826" s="95"/>
      <c r="M826" s="96"/>
      <c r="N826" s="95"/>
      <c r="O826" s="96"/>
      <c r="P826" s="95"/>
      <c r="Q826" s="96"/>
      <c r="R826" s="95"/>
      <c r="S826" s="96"/>
      <c r="T826" s="95"/>
      <c r="U826" s="96"/>
      <c r="V826" s="95"/>
      <c r="W826" s="96"/>
      <c r="X826" s="95"/>
      <c r="Y826" s="96"/>
      <c r="Z826" s="97" t="b">
        <v>0</v>
      </c>
      <c r="AA826" s="135">
        <f t="shared" si="325"/>
        <v>0</v>
      </c>
      <c r="AB826" s="136">
        <f t="shared" si="326"/>
        <v>0</v>
      </c>
      <c r="AC826" s="137">
        <f t="shared" si="327"/>
        <v>0</v>
      </c>
      <c r="AD826" s="138">
        <f t="shared" si="328"/>
        <v>0</v>
      </c>
      <c r="AE826" s="136">
        <f t="shared" si="329"/>
        <v>0</v>
      </c>
      <c r="AF826" s="138">
        <f t="shared" si="330"/>
        <v>0</v>
      </c>
      <c r="AG826" s="1"/>
    </row>
    <row r="827" ht="21.0" customHeight="1">
      <c r="A827" s="1"/>
      <c r="B827" s="102" t="s">
        <v>48</v>
      </c>
      <c r="C827" s="103"/>
      <c r="D827" s="104">
        <f>iferror(D826/D824,0)</f>
        <v>0</v>
      </c>
      <c r="E827" s="102" t="s">
        <v>49</v>
      </c>
      <c r="F827" s="103"/>
      <c r="G827" s="105"/>
      <c r="H827" s="106" t="s">
        <v>50</v>
      </c>
      <c r="I827" s="107"/>
      <c r="J827" s="11"/>
      <c r="K827" s="11"/>
      <c r="L827" s="11"/>
      <c r="M827" s="11"/>
      <c r="N827" s="11"/>
      <c r="O827" s="11"/>
      <c r="P827" s="108" t="s">
        <v>51</v>
      </c>
      <c r="Q827" s="12"/>
      <c r="R827" s="109"/>
      <c r="S827" s="11"/>
      <c r="T827" s="11"/>
      <c r="U827" s="11"/>
      <c r="V827" s="11"/>
      <c r="W827" s="11"/>
      <c r="X827" s="11"/>
      <c r="Y827" s="11"/>
      <c r="Z827" s="12"/>
      <c r="AA827" s="139">
        <f>SUM(AA818:AA826)</f>
        <v>0</v>
      </c>
      <c r="AB827" s="140" t="s">
        <v>207</v>
      </c>
      <c r="AG827" s="1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1"/>
      <c r="AA828" s="1"/>
      <c r="AB828" s="1"/>
      <c r="AC828" s="3"/>
      <c r="AD828" s="1"/>
      <c r="AE828" s="1"/>
      <c r="AF828" s="1"/>
      <c r="AG828" s="1"/>
    </row>
    <row r="829" ht="21.0" customHeight="1">
      <c r="A829" s="1"/>
      <c r="B829" s="4" t="s">
        <v>1</v>
      </c>
      <c r="C829" s="5"/>
      <c r="D829" s="6" t="s">
        <v>2</v>
      </c>
      <c r="E829" s="7"/>
      <c r="F829" s="7"/>
      <c r="G829" s="5"/>
      <c r="H829" s="8" t="s">
        <v>3</v>
      </c>
      <c r="I829" s="8" t="s">
        <v>4</v>
      </c>
      <c r="J829" s="9" t="s">
        <v>5</v>
      </c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5"/>
      <c r="AA829" s="117" t="s">
        <v>6</v>
      </c>
      <c r="AB829" s="11"/>
      <c r="AC829" s="11"/>
      <c r="AD829" s="11"/>
      <c r="AE829" s="11"/>
      <c r="AF829" s="12"/>
      <c r="AG829" s="1"/>
    </row>
    <row r="830" ht="21.0" customHeight="1">
      <c r="A830" s="1"/>
      <c r="B830" s="149" t="s">
        <v>138</v>
      </c>
      <c r="C830" s="14" t="str">
        <f>if(B830="0/0","",choose(weekday(B830),"(일)","(월)","(화)","(수)","(목)","(금)","(토)"))</f>
        <v/>
      </c>
      <c r="D830" s="15" t="s">
        <v>7</v>
      </c>
      <c r="E830" s="16" t="s">
        <v>8</v>
      </c>
      <c r="F830" s="17"/>
      <c r="G830" s="18" t="s">
        <v>9</v>
      </c>
      <c r="H830" s="150" t="s">
        <v>139</v>
      </c>
      <c r="I830" s="151"/>
      <c r="J830" s="21" t="s">
        <v>12</v>
      </c>
      <c r="K830" s="22"/>
      <c r="L830" s="21" t="s">
        <v>13</v>
      </c>
      <c r="M830" s="22"/>
      <c r="N830" s="21" t="s">
        <v>14</v>
      </c>
      <c r="O830" s="22"/>
      <c r="P830" s="21" t="s">
        <v>15</v>
      </c>
      <c r="Q830" s="22"/>
      <c r="R830" s="23" t="s">
        <v>16</v>
      </c>
      <c r="S830" s="22"/>
      <c r="T830" s="23" t="s">
        <v>17</v>
      </c>
      <c r="U830" s="22"/>
      <c r="V830" s="23" t="s">
        <v>18</v>
      </c>
      <c r="W830" s="22"/>
      <c r="X830" s="23" t="s">
        <v>19</v>
      </c>
      <c r="Y830" s="22"/>
      <c r="Z830" s="24" t="s">
        <v>208</v>
      </c>
      <c r="AA830" s="118" t="s">
        <v>21</v>
      </c>
      <c r="AB830" s="119" t="s">
        <v>22</v>
      </c>
      <c r="AC830" s="7"/>
      <c r="AD830" s="22"/>
      <c r="AE830" s="120" t="s">
        <v>23</v>
      </c>
      <c r="AF830" s="22"/>
      <c r="AG830" s="1"/>
    </row>
    <row r="831" ht="21.0" customHeight="1">
      <c r="A831" s="1"/>
      <c r="B831" s="27">
        <f>iferror(B830-'현황'!$C$4+1,0)</f>
        <v>0</v>
      </c>
      <c r="C831" s="28"/>
      <c r="D831" s="29">
        <v>0.0</v>
      </c>
      <c r="E831" s="30">
        <v>0.0</v>
      </c>
      <c r="F831" s="31"/>
      <c r="G831" s="32">
        <v>0.0</v>
      </c>
      <c r="H831" s="33">
        <v>0.0</v>
      </c>
      <c r="I831" s="34"/>
      <c r="J831" s="35"/>
      <c r="K831" s="36"/>
      <c r="L831" s="35"/>
      <c r="M831" s="36"/>
      <c r="N831" s="35"/>
      <c r="O831" s="36"/>
      <c r="P831" s="35"/>
      <c r="Q831" s="36"/>
      <c r="R831" s="35"/>
      <c r="S831" s="36"/>
      <c r="T831" s="35"/>
      <c r="U831" s="36"/>
      <c r="V831" s="35"/>
      <c r="W831" s="36"/>
      <c r="X831" s="35"/>
      <c r="Y831" s="36"/>
      <c r="Z831" s="37"/>
      <c r="AA831" s="37"/>
      <c r="AB831" s="35"/>
      <c r="AC831" s="38"/>
      <c r="AD831" s="36"/>
      <c r="AE831" s="35"/>
      <c r="AF831" s="36"/>
      <c r="AG831" s="1"/>
    </row>
    <row r="832" ht="21.0" customHeight="1">
      <c r="A832" s="1"/>
      <c r="B832" s="39" t="s">
        <v>24</v>
      </c>
      <c r="C832" s="40"/>
      <c r="D832" s="41"/>
      <c r="E832" s="42" t="s">
        <v>25</v>
      </c>
      <c r="F832" s="40"/>
      <c r="G832" s="41"/>
      <c r="H832" s="43" t="s">
        <v>26</v>
      </c>
      <c r="J832" s="44" t="s">
        <v>27</v>
      </c>
      <c r="K832" s="45" t="s">
        <v>28</v>
      </c>
      <c r="L832" s="44" t="s">
        <v>27</v>
      </c>
      <c r="M832" s="45" t="s">
        <v>28</v>
      </c>
      <c r="N832" s="44" t="s">
        <v>27</v>
      </c>
      <c r="O832" s="45" t="s">
        <v>28</v>
      </c>
      <c r="P832" s="44" t="s">
        <v>27</v>
      </c>
      <c r="Q832" s="45" t="s">
        <v>28</v>
      </c>
      <c r="R832" s="44" t="s">
        <v>27</v>
      </c>
      <c r="S832" s="45" t="s">
        <v>28</v>
      </c>
      <c r="T832" s="44" t="s">
        <v>27</v>
      </c>
      <c r="U832" s="45" t="s">
        <v>28</v>
      </c>
      <c r="V832" s="44" t="s">
        <v>27</v>
      </c>
      <c r="W832" s="45" t="s">
        <v>28</v>
      </c>
      <c r="X832" s="44" t="s">
        <v>27</v>
      </c>
      <c r="Y832" s="45" t="s">
        <v>28</v>
      </c>
      <c r="Z832" s="46"/>
      <c r="AA832" s="46"/>
      <c r="AB832" s="121" t="s">
        <v>29</v>
      </c>
      <c r="AC832" s="122" t="s">
        <v>30</v>
      </c>
      <c r="AD832" s="123" t="s">
        <v>31</v>
      </c>
      <c r="AE832" s="121" t="s">
        <v>27</v>
      </c>
      <c r="AF832" s="123" t="s">
        <v>28</v>
      </c>
      <c r="AG832" s="1"/>
    </row>
    <row r="833" ht="21.0" customHeight="1">
      <c r="A833" s="1"/>
      <c r="B833" s="48" t="s">
        <v>32</v>
      </c>
      <c r="C833" s="49"/>
      <c r="D833" s="50"/>
      <c r="E833" s="51" t="s">
        <v>33</v>
      </c>
      <c r="F833" s="52" t="s">
        <v>34</v>
      </c>
      <c r="G833" s="53"/>
      <c r="H833" s="148"/>
      <c r="I833" s="55"/>
      <c r="J833" s="58"/>
      <c r="K833" s="59"/>
      <c r="L833" s="58"/>
      <c r="M833" s="59"/>
      <c r="N833" s="58"/>
      <c r="O833" s="59"/>
      <c r="P833" s="58"/>
      <c r="Q833" s="59"/>
      <c r="R833" s="58"/>
      <c r="S833" s="59"/>
      <c r="T833" s="58"/>
      <c r="U833" s="59"/>
      <c r="V833" s="58"/>
      <c r="W833" s="59"/>
      <c r="X833" s="58"/>
      <c r="Y833" s="59"/>
      <c r="Z833" s="60" t="b">
        <v>0</v>
      </c>
      <c r="AA833" s="125">
        <f t="shared" ref="AA833:AA841" si="331">(J833*K833+L833*M833+N833*O833+P833*Q833+R833*S833+T833*U833+V833*W833+X833*Y833)*if(Z833=true,0.453592,1)</f>
        <v>0</v>
      </c>
      <c r="AB833" s="126">
        <f t="shared" ref="AB833:AB841" si="332">SUM(AE833*AF833*0.025,AE833)</f>
        <v>0</v>
      </c>
      <c r="AC833" s="127">
        <f t="shared" ref="AC833:AC841" si="333">AB833*87%</f>
        <v>0</v>
      </c>
      <c r="AD833" s="128">
        <f t="shared" ref="AD833:AD841" si="334">AB833*67%</f>
        <v>0</v>
      </c>
      <c r="AE833" s="126">
        <f t="shared" ref="AE833:AE841" si="335">MAX(J833,L833,N833,P833,R833,T833,V833,X833)*if(Z833=true,0.453592,1)</f>
        <v>0</v>
      </c>
      <c r="AF833" s="128">
        <f t="shared" ref="AF833:AF841" si="336">MAX(IF(J833*if(Z833=true,0.453592,1)=$AE833,K833,0),IF(L833*if(Z833=true,0.453592,1)=$AE833,M833,0),IF(N833*if(Z833=true,0.453592,1)=$AE833,O833,0),IF(P833*if(Z833=true,0.453592,1)=$AE833,Q833,0),IF(R833*if(Z833=true,0.453592,1)=$AE833,S833,0),IF(T833*if(Z833=true,0.453592,1)=$AE833,U833,0),IF(V833*if(Z833=true,0.453592,1)=$AE833,W833,0),IF(X833*if(Z833=true,0.453592,1)=$AE833,Y833,0))</f>
        <v>0</v>
      </c>
      <c r="AG833" s="1"/>
    </row>
    <row r="834" ht="21.0" customHeight="1">
      <c r="A834" s="1"/>
      <c r="B834" s="48" t="s">
        <v>36</v>
      </c>
      <c r="C834" s="49"/>
      <c r="D834" s="65"/>
      <c r="E834" s="66"/>
      <c r="F834" s="52" t="s">
        <v>37</v>
      </c>
      <c r="G834" s="67"/>
      <c r="H834" s="129"/>
      <c r="I834" s="69"/>
      <c r="J834" s="72"/>
      <c r="K834" s="73"/>
      <c r="L834" s="72"/>
      <c r="M834" s="73"/>
      <c r="N834" s="72"/>
      <c r="O834" s="73"/>
      <c r="P834" s="72"/>
      <c r="Q834" s="73"/>
      <c r="R834" s="72"/>
      <c r="S834" s="73"/>
      <c r="T834" s="72"/>
      <c r="U834" s="73"/>
      <c r="V834" s="72"/>
      <c r="W834" s="73"/>
      <c r="X834" s="72"/>
      <c r="Y834" s="73"/>
      <c r="Z834" s="74" t="b">
        <v>0</v>
      </c>
      <c r="AA834" s="130">
        <f t="shared" si="331"/>
        <v>0</v>
      </c>
      <c r="AB834" s="131">
        <f t="shared" si="332"/>
        <v>0</v>
      </c>
      <c r="AC834" s="132">
        <f t="shared" si="333"/>
        <v>0</v>
      </c>
      <c r="AD834" s="133">
        <f t="shared" si="334"/>
        <v>0</v>
      </c>
      <c r="AE834" s="131">
        <f t="shared" si="335"/>
        <v>0</v>
      </c>
      <c r="AF834" s="133">
        <f t="shared" si="336"/>
        <v>0</v>
      </c>
      <c r="AG834" s="1"/>
    </row>
    <row r="835" ht="21.0" customHeight="1">
      <c r="A835" s="1"/>
      <c r="B835" s="48" t="s">
        <v>39</v>
      </c>
      <c r="C835" s="49"/>
      <c r="D835" s="65"/>
      <c r="E835" s="41"/>
      <c r="F835" s="52" t="s">
        <v>40</v>
      </c>
      <c r="G835" s="79"/>
      <c r="H835" s="80"/>
      <c r="I835" s="69"/>
      <c r="J835" s="72"/>
      <c r="K835" s="73"/>
      <c r="L835" s="72"/>
      <c r="M835" s="73"/>
      <c r="N835" s="72"/>
      <c r="O835" s="73"/>
      <c r="P835" s="72"/>
      <c r="Q835" s="73"/>
      <c r="R835" s="72"/>
      <c r="S835" s="73"/>
      <c r="T835" s="72"/>
      <c r="U835" s="73"/>
      <c r="V835" s="72"/>
      <c r="W835" s="73"/>
      <c r="X835" s="72"/>
      <c r="Y835" s="73"/>
      <c r="Z835" s="74" t="b">
        <v>0</v>
      </c>
      <c r="AA835" s="130">
        <f t="shared" si="331"/>
        <v>0</v>
      </c>
      <c r="AB835" s="131">
        <f t="shared" si="332"/>
        <v>0</v>
      </c>
      <c r="AC835" s="132">
        <f t="shared" si="333"/>
        <v>0</v>
      </c>
      <c r="AD835" s="133">
        <f t="shared" si="334"/>
        <v>0</v>
      </c>
      <c r="AE835" s="131">
        <f t="shared" si="335"/>
        <v>0</v>
      </c>
      <c r="AF835" s="133">
        <f t="shared" si="336"/>
        <v>0</v>
      </c>
      <c r="AG835" s="1"/>
    </row>
    <row r="836" ht="21.0" customHeight="1">
      <c r="A836" s="1"/>
      <c r="B836" s="48" t="s">
        <v>41</v>
      </c>
      <c r="C836" s="81"/>
      <c r="D836" s="82" t="b">
        <v>0</v>
      </c>
      <c r="E836" s="51" t="s">
        <v>42</v>
      </c>
      <c r="F836" s="52" t="s">
        <v>34</v>
      </c>
      <c r="G836" s="83"/>
      <c r="H836" s="84"/>
      <c r="I836" s="85"/>
      <c r="J836" s="72"/>
      <c r="K836" s="73"/>
      <c r="L836" s="72"/>
      <c r="M836" s="73"/>
      <c r="N836" s="72"/>
      <c r="O836" s="73"/>
      <c r="P836" s="72"/>
      <c r="Q836" s="73"/>
      <c r="R836" s="72"/>
      <c r="S836" s="73"/>
      <c r="T836" s="72"/>
      <c r="U836" s="73"/>
      <c r="V836" s="72"/>
      <c r="W836" s="73"/>
      <c r="X836" s="72"/>
      <c r="Y836" s="73"/>
      <c r="Z836" s="74" t="b">
        <v>0</v>
      </c>
      <c r="AA836" s="130">
        <f t="shared" si="331"/>
        <v>0</v>
      </c>
      <c r="AB836" s="131">
        <f t="shared" si="332"/>
        <v>0</v>
      </c>
      <c r="AC836" s="132">
        <f t="shared" si="333"/>
        <v>0</v>
      </c>
      <c r="AD836" s="133">
        <f t="shared" si="334"/>
        <v>0</v>
      </c>
      <c r="AE836" s="131">
        <f t="shared" si="335"/>
        <v>0</v>
      </c>
      <c r="AF836" s="133">
        <f t="shared" si="336"/>
        <v>0</v>
      </c>
      <c r="AG836" s="1"/>
    </row>
    <row r="837" ht="21.0" customHeight="1">
      <c r="A837" s="1"/>
      <c r="B837" s="48" t="s">
        <v>43</v>
      </c>
      <c r="C837" s="49"/>
      <c r="D837" s="86" t="b">
        <v>0</v>
      </c>
      <c r="E837" s="66"/>
      <c r="F837" s="52" t="s">
        <v>37</v>
      </c>
      <c r="G837" s="67"/>
      <c r="H837" s="80"/>
      <c r="I837" s="69"/>
      <c r="J837" s="72"/>
      <c r="K837" s="73"/>
      <c r="L837" s="72"/>
      <c r="M837" s="73"/>
      <c r="N837" s="72"/>
      <c r="O837" s="73"/>
      <c r="P837" s="72"/>
      <c r="Q837" s="73"/>
      <c r="R837" s="72"/>
      <c r="S837" s="73"/>
      <c r="T837" s="72"/>
      <c r="U837" s="73"/>
      <c r="V837" s="72"/>
      <c r="W837" s="73"/>
      <c r="X837" s="72"/>
      <c r="Y837" s="73"/>
      <c r="Z837" s="74" t="b">
        <v>0</v>
      </c>
      <c r="AA837" s="130">
        <f t="shared" si="331"/>
        <v>0</v>
      </c>
      <c r="AB837" s="131">
        <f t="shared" si="332"/>
        <v>0</v>
      </c>
      <c r="AC837" s="132">
        <f t="shared" si="333"/>
        <v>0</v>
      </c>
      <c r="AD837" s="133">
        <f t="shared" si="334"/>
        <v>0</v>
      </c>
      <c r="AE837" s="131">
        <f t="shared" si="335"/>
        <v>0</v>
      </c>
      <c r="AF837" s="133">
        <f t="shared" si="336"/>
        <v>0</v>
      </c>
      <c r="AG837" s="1"/>
    </row>
    <row r="838" ht="21.0" customHeight="1">
      <c r="A838" s="1"/>
      <c r="B838" s="87" t="str">
        <f t="array" ref="B838">"📌최근 인바디 결과 : "&amp;text(xlookup(B830,'현황'!O:O,'현황'!O:O,,-1,-1),"m/d(ddd)")</f>
        <v>#REF!</v>
      </c>
      <c r="C838" s="88"/>
      <c r="D838" s="49"/>
      <c r="E838" s="41"/>
      <c r="F838" s="52" t="s">
        <v>40</v>
      </c>
      <c r="G838" s="79"/>
      <c r="H838" s="80"/>
      <c r="I838" s="69"/>
      <c r="J838" s="72"/>
      <c r="K838" s="73"/>
      <c r="L838" s="72"/>
      <c r="M838" s="73"/>
      <c r="N838" s="72"/>
      <c r="O838" s="73"/>
      <c r="P838" s="72"/>
      <c r="Q838" s="73"/>
      <c r="R838" s="72"/>
      <c r="S838" s="73"/>
      <c r="T838" s="72"/>
      <c r="U838" s="73"/>
      <c r="V838" s="72"/>
      <c r="W838" s="73"/>
      <c r="X838" s="72"/>
      <c r="Y838" s="73"/>
      <c r="Z838" s="74" t="b">
        <v>0</v>
      </c>
      <c r="AA838" s="130">
        <f t="shared" si="331"/>
        <v>0</v>
      </c>
      <c r="AB838" s="131">
        <f t="shared" si="332"/>
        <v>0</v>
      </c>
      <c r="AC838" s="132">
        <f t="shared" si="333"/>
        <v>0</v>
      </c>
      <c r="AD838" s="133">
        <f t="shared" si="334"/>
        <v>0</v>
      </c>
      <c r="AE838" s="131">
        <f t="shared" si="335"/>
        <v>0</v>
      </c>
      <c r="AF838" s="133">
        <f t="shared" si="336"/>
        <v>0</v>
      </c>
      <c r="AG838" s="1"/>
    </row>
    <row r="839" ht="21.0" customHeight="1">
      <c r="A839" s="1"/>
      <c r="B839" s="89" t="s">
        <v>44</v>
      </c>
      <c r="C839" s="49"/>
      <c r="D839" s="90">
        <f t="array" ref="D839">iferror(vlookup(xlookup(B830,'현황'!O:O,'현황'!O:O,,-1,-1),'현황'!O:S,2,false),0)</f>
        <v>0</v>
      </c>
      <c r="E839" s="51" t="s">
        <v>45</v>
      </c>
      <c r="F839" s="52" t="s">
        <v>34</v>
      </c>
      <c r="G839" s="83"/>
      <c r="H839" s="84"/>
      <c r="I839" s="85"/>
      <c r="J839" s="72"/>
      <c r="K839" s="73"/>
      <c r="L839" s="72"/>
      <c r="M839" s="73"/>
      <c r="N839" s="72"/>
      <c r="O839" s="73"/>
      <c r="P839" s="72"/>
      <c r="Q839" s="73"/>
      <c r="R839" s="72"/>
      <c r="S839" s="73"/>
      <c r="T839" s="72"/>
      <c r="U839" s="73"/>
      <c r="V839" s="72"/>
      <c r="W839" s="73"/>
      <c r="X839" s="72"/>
      <c r="Y839" s="73"/>
      <c r="Z839" s="74" t="b">
        <v>0</v>
      </c>
      <c r="AA839" s="130">
        <f t="shared" si="331"/>
        <v>0</v>
      </c>
      <c r="AB839" s="131">
        <f t="shared" si="332"/>
        <v>0</v>
      </c>
      <c r="AC839" s="132">
        <f t="shared" si="333"/>
        <v>0</v>
      </c>
      <c r="AD839" s="133">
        <f t="shared" si="334"/>
        <v>0</v>
      </c>
      <c r="AE839" s="131">
        <f t="shared" si="335"/>
        <v>0</v>
      </c>
      <c r="AF839" s="133">
        <f t="shared" si="336"/>
        <v>0</v>
      </c>
      <c r="AG839" s="1"/>
    </row>
    <row r="840" ht="21.0" customHeight="1">
      <c r="A840" s="1"/>
      <c r="B840" s="48" t="s">
        <v>46</v>
      </c>
      <c r="C840" s="49"/>
      <c r="D840" s="91">
        <f t="array" ref="D840">iferror(vlookup(xlookup(B830,'현황'!O:O,'현황'!O:O,,-1,-1),'현황'!O:S,3,false),0)</f>
        <v>0</v>
      </c>
      <c r="E840" s="66"/>
      <c r="F840" s="52" t="s">
        <v>37</v>
      </c>
      <c r="G840" s="67"/>
      <c r="H840" s="80"/>
      <c r="I840" s="69"/>
      <c r="J840" s="72"/>
      <c r="K840" s="73"/>
      <c r="L840" s="72"/>
      <c r="M840" s="73"/>
      <c r="N840" s="72"/>
      <c r="O840" s="73"/>
      <c r="P840" s="72"/>
      <c r="Q840" s="73"/>
      <c r="R840" s="72"/>
      <c r="S840" s="73"/>
      <c r="T840" s="72"/>
      <c r="U840" s="73"/>
      <c r="V840" s="72"/>
      <c r="W840" s="73"/>
      <c r="X840" s="72"/>
      <c r="Y840" s="73"/>
      <c r="Z840" s="74" t="b">
        <v>0</v>
      </c>
      <c r="AA840" s="130">
        <f t="shared" si="331"/>
        <v>0</v>
      </c>
      <c r="AB840" s="131">
        <f t="shared" si="332"/>
        <v>0</v>
      </c>
      <c r="AC840" s="132">
        <f t="shared" si="333"/>
        <v>0</v>
      </c>
      <c r="AD840" s="133">
        <f t="shared" si="334"/>
        <v>0</v>
      </c>
      <c r="AE840" s="131">
        <f t="shared" si="335"/>
        <v>0</v>
      </c>
      <c r="AF840" s="133">
        <f t="shared" si="336"/>
        <v>0</v>
      </c>
      <c r="AG840" s="1"/>
    </row>
    <row r="841" ht="21.0" customHeight="1">
      <c r="A841" s="1"/>
      <c r="B841" s="48" t="s">
        <v>47</v>
      </c>
      <c r="C841" s="49"/>
      <c r="D841" s="91">
        <f t="array" ref="D841">iferror(vlookup(xlookup(B830,'현황'!O:O,'현황'!O:O,,-1,-1),'현황'!O:S,4,false),0)</f>
        <v>0</v>
      </c>
      <c r="E841" s="41"/>
      <c r="F841" s="92" t="s">
        <v>40</v>
      </c>
      <c r="G841" s="79"/>
      <c r="H841" s="93"/>
      <c r="I841" s="94"/>
      <c r="J841" s="95"/>
      <c r="K841" s="96"/>
      <c r="L841" s="95"/>
      <c r="M841" s="96"/>
      <c r="N841" s="95"/>
      <c r="O841" s="96"/>
      <c r="P841" s="95"/>
      <c r="Q841" s="96"/>
      <c r="R841" s="95"/>
      <c r="S841" s="96"/>
      <c r="T841" s="95"/>
      <c r="U841" s="96"/>
      <c r="V841" s="95"/>
      <c r="W841" s="96"/>
      <c r="X841" s="95"/>
      <c r="Y841" s="96"/>
      <c r="Z841" s="97" t="b">
        <v>0</v>
      </c>
      <c r="AA841" s="135">
        <f t="shared" si="331"/>
        <v>0</v>
      </c>
      <c r="AB841" s="136">
        <f t="shared" si="332"/>
        <v>0</v>
      </c>
      <c r="AC841" s="137">
        <f t="shared" si="333"/>
        <v>0</v>
      </c>
      <c r="AD841" s="138">
        <f t="shared" si="334"/>
        <v>0</v>
      </c>
      <c r="AE841" s="136">
        <f t="shared" si="335"/>
        <v>0</v>
      </c>
      <c r="AF841" s="138">
        <f t="shared" si="336"/>
        <v>0</v>
      </c>
      <c r="AG841" s="1"/>
    </row>
    <row r="842" ht="21.0" customHeight="1">
      <c r="A842" s="1"/>
      <c r="B842" s="102" t="s">
        <v>48</v>
      </c>
      <c r="C842" s="103"/>
      <c r="D842" s="104">
        <f>iferror(D841/D839,0)</f>
        <v>0</v>
      </c>
      <c r="E842" s="102" t="s">
        <v>49</v>
      </c>
      <c r="F842" s="103"/>
      <c r="G842" s="105"/>
      <c r="H842" s="143" t="s">
        <v>50</v>
      </c>
      <c r="I842" s="144"/>
      <c r="J842" s="11"/>
      <c r="K842" s="11"/>
      <c r="L842" s="11"/>
      <c r="M842" s="11"/>
      <c r="N842" s="11"/>
      <c r="O842" s="11"/>
      <c r="P842" s="145" t="s">
        <v>51</v>
      </c>
      <c r="Q842" s="12"/>
      <c r="R842" s="146"/>
      <c r="S842" s="11"/>
      <c r="T842" s="11"/>
      <c r="U842" s="11"/>
      <c r="V842" s="11"/>
      <c r="W842" s="11"/>
      <c r="X842" s="11"/>
      <c r="Y842" s="11"/>
      <c r="Z842" s="12"/>
      <c r="AA842" s="139">
        <f>SUM(AA833:AA841)</f>
        <v>0</v>
      </c>
      <c r="AB842" s="140" t="s">
        <v>209</v>
      </c>
      <c r="AG842" s="1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1"/>
      <c r="AA843" s="1"/>
      <c r="AB843" s="1"/>
      <c r="AC843" s="3"/>
      <c r="AD843" s="1"/>
      <c r="AE843" s="1"/>
      <c r="AF843" s="1"/>
      <c r="AG843" s="1"/>
    </row>
    <row r="844" ht="21.0" customHeight="1">
      <c r="A844" s="1"/>
      <c r="B844" s="4" t="s">
        <v>1</v>
      </c>
      <c r="C844" s="5"/>
      <c r="D844" s="6" t="s">
        <v>2</v>
      </c>
      <c r="E844" s="7"/>
      <c r="F844" s="7"/>
      <c r="G844" s="5"/>
      <c r="H844" s="8" t="s">
        <v>3</v>
      </c>
      <c r="I844" s="8" t="s">
        <v>4</v>
      </c>
      <c r="J844" s="9" t="s">
        <v>5</v>
      </c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5"/>
      <c r="AA844" s="117" t="s">
        <v>6</v>
      </c>
      <c r="AB844" s="11"/>
      <c r="AC844" s="11"/>
      <c r="AD844" s="11"/>
      <c r="AE844" s="11"/>
      <c r="AF844" s="12"/>
      <c r="AG844" s="1"/>
    </row>
    <row r="845" ht="21.0" customHeight="1">
      <c r="A845" s="1"/>
      <c r="B845" s="149" t="s">
        <v>138</v>
      </c>
      <c r="C845" s="14" t="str">
        <f>if(B845="0/0","",choose(weekday(B845),"(일)","(월)","(화)","(수)","(목)","(금)","(토)"))</f>
        <v/>
      </c>
      <c r="D845" s="15" t="s">
        <v>7</v>
      </c>
      <c r="E845" s="16" t="s">
        <v>8</v>
      </c>
      <c r="F845" s="17"/>
      <c r="G845" s="18" t="s">
        <v>9</v>
      </c>
      <c r="H845" s="150" t="s">
        <v>139</v>
      </c>
      <c r="I845" s="151"/>
      <c r="J845" s="21" t="s">
        <v>12</v>
      </c>
      <c r="K845" s="22"/>
      <c r="L845" s="21" t="s">
        <v>13</v>
      </c>
      <c r="M845" s="22"/>
      <c r="N845" s="21" t="s">
        <v>14</v>
      </c>
      <c r="O845" s="22"/>
      <c r="P845" s="21" t="s">
        <v>15</v>
      </c>
      <c r="Q845" s="22"/>
      <c r="R845" s="23" t="s">
        <v>16</v>
      </c>
      <c r="S845" s="22"/>
      <c r="T845" s="23" t="s">
        <v>17</v>
      </c>
      <c r="U845" s="22"/>
      <c r="V845" s="23" t="s">
        <v>18</v>
      </c>
      <c r="W845" s="22"/>
      <c r="X845" s="23" t="s">
        <v>19</v>
      </c>
      <c r="Y845" s="22"/>
      <c r="Z845" s="24" t="s">
        <v>210</v>
      </c>
      <c r="AA845" s="118" t="s">
        <v>21</v>
      </c>
      <c r="AB845" s="119" t="s">
        <v>22</v>
      </c>
      <c r="AC845" s="7"/>
      <c r="AD845" s="22"/>
      <c r="AE845" s="120" t="s">
        <v>23</v>
      </c>
      <c r="AF845" s="22"/>
      <c r="AG845" s="1"/>
    </row>
    <row r="846" ht="21.0" customHeight="1">
      <c r="A846" s="1"/>
      <c r="B846" s="27">
        <f>iferror(B845-'현황'!$C$4+1,0)</f>
        <v>0</v>
      </c>
      <c r="C846" s="28"/>
      <c r="D846" s="29">
        <v>0.0</v>
      </c>
      <c r="E846" s="30">
        <v>0.0</v>
      </c>
      <c r="F846" s="31"/>
      <c r="G846" s="32">
        <v>0.0</v>
      </c>
      <c r="H846" s="33">
        <v>0.0</v>
      </c>
      <c r="I846" s="34"/>
      <c r="J846" s="35"/>
      <c r="K846" s="36"/>
      <c r="L846" s="35"/>
      <c r="M846" s="36"/>
      <c r="N846" s="35"/>
      <c r="O846" s="36"/>
      <c r="P846" s="35"/>
      <c r="Q846" s="36"/>
      <c r="R846" s="35"/>
      <c r="S846" s="36"/>
      <c r="T846" s="35"/>
      <c r="U846" s="36"/>
      <c r="V846" s="35"/>
      <c r="W846" s="36"/>
      <c r="X846" s="35"/>
      <c r="Y846" s="36"/>
      <c r="Z846" s="37"/>
      <c r="AA846" s="37"/>
      <c r="AB846" s="35"/>
      <c r="AC846" s="38"/>
      <c r="AD846" s="36"/>
      <c r="AE846" s="35"/>
      <c r="AF846" s="36"/>
      <c r="AG846" s="1"/>
    </row>
    <row r="847" ht="21.0" customHeight="1">
      <c r="A847" s="1"/>
      <c r="B847" s="39" t="s">
        <v>24</v>
      </c>
      <c r="C847" s="40"/>
      <c r="D847" s="41"/>
      <c r="E847" s="42" t="s">
        <v>25</v>
      </c>
      <c r="F847" s="40"/>
      <c r="G847" s="41"/>
      <c r="H847" s="43" t="s">
        <v>26</v>
      </c>
      <c r="J847" s="44" t="s">
        <v>27</v>
      </c>
      <c r="K847" s="45" t="s">
        <v>28</v>
      </c>
      <c r="L847" s="44" t="s">
        <v>27</v>
      </c>
      <c r="M847" s="45" t="s">
        <v>28</v>
      </c>
      <c r="N847" s="44" t="s">
        <v>27</v>
      </c>
      <c r="O847" s="45" t="s">
        <v>28</v>
      </c>
      <c r="P847" s="44" t="s">
        <v>27</v>
      </c>
      <c r="Q847" s="45" t="s">
        <v>28</v>
      </c>
      <c r="R847" s="44" t="s">
        <v>27</v>
      </c>
      <c r="S847" s="45" t="s">
        <v>28</v>
      </c>
      <c r="T847" s="44" t="s">
        <v>27</v>
      </c>
      <c r="U847" s="45" t="s">
        <v>28</v>
      </c>
      <c r="V847" s="44" t="s">
        <v>27</v>
      </c>
      <c r="W847" s="45" t="s">
        <v>28</v>
      </c>
      <c r="X847" s="44" t="s">
        <v>27</v>
      </c>
      <c r="Y847" s="45" t="s">
        <v>28</v>
      </c>
      <c r="Z847" s="46"/>
      <c r="AA847" s="46"/>
      <c r="AB847" s="121" t="s">
        <v>29</v>
      </c>
      <c r="AC847" s="122" t="s">
        <v>30</v>
      </c>
      <c r="AD847" s="123" t="s">
        <v>31</v>
      </c>
      <c r="AE847" s="121" t="s">
        <v>27</v>
      </c>
      <c r="AF847" s="123" t="s">
        <v>28</v>
      </c>
      <c r="AG847" s="1"/>
    </row>
    <row r="848" ht="21.0" customHeight="1">
      <c r="A848" s="1"/>
      <c r="B848" s="48" t="s">
        <v>32</v>
      </c>
      <c r="C848" s="49"/>
      <c r="D848" s="50"/>
      <c r="E848" s="51" t="s">
        <v>33</v>
      </c>
      <c r="F848" s="52" t="s">
        <v>34</v>
      </c>
      <c r="G848" s="53"/>
      <c r="H848" s="148"/>
      <c r="I848" s="55"/>
      <c r="J848" s="58"/>
      <c r="K848" s="59"/>
      <c r="L848" s="58"/>
      <c r="M848" s="59"/>
      <c r="N848" s="58"/>
      <c r="O848" s="59"/>
      <c r="P848" s="58"/>
      <c r="Q848" s="59"/>
      <c r="R848" s="58"/>
      <c r="S848" s="59"/>
      <c r="T848" s="58"/>
      <c r="U848" s="59"/>
      <c r="V848" s="58"/>
      <c r="W848" s="59"/>
      <c r="X848" s="58"/>
      <c r="Y848" s="59"/>
      <c r="Z848" s="60" t="b">
        <v>0</v>
      </c>
      <c r="AA848" s="125">
        <f t="shared" ref="AA848:AA856" si="337">(J848*K848+L848*M848+N848*O848+P848*Q848+R848*S848+T848*U848+V848*W848+X848*Y848)*if(Z848=true,0.453592,1)</f>
        <v>0</v>
      </c>
      <c r="AB848" s="126">
        <f t="shared" ref="AB848:AB856" si="338">SUM(AE848*AF848*0.025,AE848)</f>
        <v>0</v>
      </c>
      <c r="AC848" s="127">
        <f t="shared" ref="AC848:AC856" si="339">AB848*87%</f>
        <v>0</v>
      </c>
      <c r="AD848" s="128">
        <f t="shared" ref="AD848:AD856" si="340">AB848*67%</f>
        <v>0</v>
      </c>
      <c r="AE848" s="126">
        <f t="shared" ref="AE848:AE856" si="341">MAX(J848,L848,N848,P848,R848,T848,V848,X848)*if(Z848=true,0.453592,1)</f>
        <v>0</v>
      </c>
      <c r="AF848" s="128">
        <f t="shared" ref="AF848:AF856" si="342">MAX(IF(J848*if(Z848=true,0.453592,1)=$AE848,K848,0),IF(L848*if(Z848=true,0.453592,1)=$AE848,M848,0),IF(N848*if(Z848=true,0.453592,1)=$AE848,O848,0),IF(P848*if(Z848=true,0.453592,1)=$AE848,Q848,0),IF(R848*if(Z848=true,0.453592,1)=$AE848,S848,0),IF(T848*if(Z848=true,0.453592,1)=$AE848,U848,0),IF(V848*if(Z848=true,0.453592,1)=$AE848,W848,0),IF(X848*if(Z848=true,0.453592,1)=$AE848,Y848,0))</f>
        <v>0</v>
      </c>
      <c r="AG848" s="1"/>
    </row>
    <row r="849" ht="21.0" customHeight="1">
      <c r="A849" s="1"/>
      <c r="B849" s="48" t="s">
        <v>36</v>
      </c>
      <c r="C849" s="49"/>
      <c r="D849" s="65"/>
      <c r="E849" s="66"/>
      <c r="F849" s="52" t="s">
        <v>37</v>
      </c>
      <c r="G849" s="67"/>
      <c r="H849" s="129"/>
      <c r="I849" s="69"/>
      <c r="J849" s="72"/>
      <c r="K849" s="73"/>
      <c r="L849" s="72"/>
      <c r="M849" s="73"/>
      <c r="N849" s="72"/>
      <c r="O849" s="73"/>
      <c r="P849" s="72"/>
      <c r="Q849" s="73"/>
      <c r="R849" s="72"/>
      <c r="S849" s="73"/>
      <c r="T849" s="72"/>
      <c r="U849" s="73"/>
      <c r="V849" s="72"/>
      <c r="W849" s="73"/>
      <c r="X849" s="72"/>
      <c r="Y849" s="73"/>
      <c r="Z849" s="74" t="b">
        <v>0</v>
      </c>
      <c r="AA849" s="130">
        <f t="shared" si="337"/>
        <v>0</v>
      </c>
      <c r="AB849" s="131">
        <f t="shared" si="338"/>
        <v>0</v>
      </c>
      <c r="AC849" s="132">
        <f t="shared" si="339"/>
        <v>0</v>
      </c>
      <c r="AD849" s="133">
        <f t="shared" si="340"/>
        <v>0</v>
      </c>
      <c r="AE849" s="131">
        <f t="shared" si="341"/>
        <v>0</v>
      </c>
      <c r="AF849" s="133">
        <f t="shared" si="342"/>
        <v>0</v>
      </c>
      <c r="AG849" s="1"/>
    </row>
    <row r="850" ht="21.0" customHeight="1">
      <c r="A850" s="1"/>
      <c r="B850" s="48" t="s">
        <v>39</v>
      </c>
      <c r="C850" s="49"/>
      <c r="D850" s="65"/>
      <c r="E850" s="41"/>
      <c r="F850" s="52" t="s">
        <v>40</v>
      </c>
      <c r="G850" s="79"/>
      <c r="H850" s="80"/>
      <c r="I850" s="69"/>
      <c r="J850" s="72"/>
      <c r="K850" s="73"/>
      <c r="L850" s="72"/>
      <c r="M850" s="73"/>
      <c r="N850" s="72"/>
      <c r="O850" s="73"/>
      <c r="P850" s="72"/>
      <c r="Q850" s="73"/>
      <c r="R850" s="72"/>
      <c r="S850" s="73"/>
      <c r="T850" s="72"/>
      <c r="U850" s="73"/>
      <c r="V850" s="72"/>
      <c r="W850" s="73"/>
      <c r="X850" s="72"/>
      <c r="Y850" s="73"/>
      <c r="Z850" s="74" t="b">
        <v>0</v>
      </c>
      <c r="AA850" s="130">
        <f t="shared" si="337"/>
        <v>0</v>
      </c>
      <c r="AB850" s="131">
        <f t="shared" si="338"/>
        <v>0</v>
      </c>
      <c r="AC850" s="132">
        <f t="shared" si="339"/>
        <v>0</v>
      </c>
      <c r="AD850" s="133">
        <f t="shared" si="340"/>
        <v>0</v>
      </c>
      <c r="AE850" s="131">
        <f t="shared" si="341"/>
        <v>0</v>
      </c>
      <c r="AF850" s="133">
        <f t="shared" si="342"/>
        <v>0</v>
      </c>
      <c r="AG850" s="1"/>
    </row>
    <row r="851" ht="21.0" customHeight="1">
      <c r="A851" s="1"/>
      <c r="B851" s="48" t="s">
        <v>41</v>
      </c>
      <c r="C851" s="81"/>
      <c r="D851" s="82" t="b">
        <v>0</v>
      </c>
      <c r="E851" s="51" t="s">
        <v>42</v>
      </c>
      <c r="F851" s="52" t="s">
        <v>34</v>
      </c>
      <c r="G851" s="83"/>
      <c r="H851" s="84"/>
      <c r="I851" s="85"/>
      <c r="J851" s="72"/>
      <c r="K851" s="73"/>
      <c r="L851" s="72"/>
      <c r="M851" s="73"/>
      <c r="N851" s="72"/>
      <c r="O851" s="73"/>
      <c r="P851" s="72"/>
      <c r="Q851" s="73"/>
      <c r="R851" s="72"/>
      <c r="S851" s="73"/>
      <c r="T851" s="72"/>
      <c r="U851" s="73"/>
      <c r="V851" s="72"/>
      <c r="W851" s="73"/>
      <c r="X851" s="72"/>
      <c r="Y851" s="73"/>
      <c r="Z851" s="74" t="b">
        <v>0</v>
      </c>
      <c r="AA851" s="130">
        <f t="shared" si="337"/>
        <v>0</v>
      </c>
      <c r="AB851" s="131">
        <f t="shared" si="338"/>
        <v>0</v>
      </c>
      <c r="AC851" s="132">
        <f t="shared" si="339"/>
        <v>0</v>
      </c>
      <c r="AD851" s="133">
        <f t="shared" si="340"/>
        <v>0</v>
      </c>
      <c r="AE851" s="131">
        <f t="shared" si="341"/>
        <v>0</v>
      </c>
      <c r="AF851" s="133">
        <f t="shared" si="342"/>
        <v>0</v>
      </c>
      <c r="AG851" s="1"/>
    </row>
    <row r="852" ht="21.0" customHeight="1">
      <c r="A852" s="1"/>
      <c r="B852" s="48" t="s">
        <v>43</v>
      </c>
      <c r="C852" s="49"/>
      <c r="D852" s="86" t="b">
        <v>0</v>
      </c>
      <c r="E852" s="66"/>
      <c r="F852" s="52" t="s">
        <v>37</v>
      </c>
      <c r="G852" s="67"/>
      <c r="H852" s="80"/>
      <c r="I852" s="69"/>
      <c r="J852" s="72"/>
      <c r="K852" s="73"/>
      <c r="L852" s="72"/>
      <c r="M852" s="73"/>
      <c r="N852" s="72"/>
      <c r="O852" s="73"/>
      <c r="P852" s="72"/>
      <c r="Q852" s="73"/>
      <c r="R852" s="72"/>
      <c r="S852" s="73"/>
      <c r="T852" s="72"/>
      <c r="U852" s="73"/>
      <c r="V852" s="72"/>
      <c r="W852" s="73"/>
      <c r="X852" s="72"/>
      <c r="Y852" s="73"/>
      <c r="Z852" s="74" t="b">
        <v>0</v>
      </c>
      <c r="AA852" s="130">
        <f t="shared" si="337"/>
        <v>0</v>
      </c>
      <c r="AB852" s="131">
        <f t="shared" si="338"/>
        <v>0</v>
      </c>
      <c r="AC852" s="132">
        <f t="shared" si="339"/>
        <v>0</v>
      </c>
      <c r="AD852" s="133">
        <f t="shared" si="340"/>
        <v>0</v>
      </c>
      <c r="AE852" s="131">
        <f t="shared" si="341"/>
        <v>0</v>
      </c>
      <c r="AF852" s="133">
        <f t="shared" si="342"/>
        <v>0</v>
      </c>
      <c r="AG852" s="1"/>
    </row>
    <row r="853" ht="21.0" customHeight="1">
      <c r="A853" s="1"/>
      <c r="B853" s="87" t="str">
        <f t="array" ref="B853">"📌최근 인바디 결과 : "&amp;text(xlookup(B845,'현황'!O:O,'현황'!O:O,,-1,-1),"m/d(ddd)")</f>
        <v>#REF!</v>
      </c>
      <c r="C853" s="88"/>
      <c r="D853" s="49"/>
      <c r="E853" s="41"/>
      <c r="F853" s="52" t="s">
        <v>40</v>
      </c>
      <c r="G853" s="79"/>
      <c r="H853" s="80"/>
      <c r="I853" s="69"/>
      <c r="J853" s="72"/>
      <c r="K853" s="73"/>
      <c r="L853" s="72"/>
      <c r="M853" s="73"/>
      <c r="N853" s="72"/>
      <c r="O853" s="73"/>
      <c r="P853" s="72"/>
      <c r="Q853" s="73"/>
      <c r="R853" s="72"/>
      <c r="S853" s="73"/>
      <c r="T853" s="72"/>
      <c r="U853" s="73"/>
      <c r="V853" s="72"/>
      <c r="W853" s="73"/>
      <c r="X853" s="72"/>
      <c r="Y853" s="73"/>
      <c r="Z853" s="74" t="b">
        <v>0</v>
      </c>
      <c r="AA853" s="130">
        <f t="shared" si="337"/>
        <v>0</v>
      </c>
      <c r="AB853" s="131">
        <f t="shared" si="338"/>
        <v>0</v>
      </c>
      <c r="AC853" s="132">
        <f t="shared" si="339"/>
        <v>0</v>
      </c>
      <c r="AD853" s="133">
        <f t="shared" si="340"/>
        <v>0</v>
      </c>
      <c r="AE853" s="131">
        <f t="shared" si="341"/>
        <v>0</v>
      </c>
      <c r="AF853" s="133">
        <f t="shared" si="342"/>
        <v>0</v>
      </c>
      <c r="AG853" s="1"/>
    </row>
    <row r="854" ht="21.0" customHeight="1">
      <c r="A854" s="1"/>
      <c r="B854" s="89" t="s">
        <v>44</v>
      </c>
      <c r="C854" s="49"/>
      <c r="D854" s="90">
        <f t="array" ref="D854">iferror(vlookup(xlookup(B845,'현황'!O:O,'현황'!O:O,,-1,-1),'현황'!O:S,2,false),0)</f>
        <v>0</v>
      </c>
      <c r="E854" s="51" t="s">
        <v>45</v>
      </c>
      <c r="F854" s="52" t="s">
        <v>34</v>
      </c>
      <c r="G854" s="83"/>
      <c r="H854" s="84"/>
      <c r="I854" s="85"/>
      <c r="J854" s="72"/>
      <c r="K854" s="73"/>
      <c r="L854" s="72"/>
      <c r="M854" s="73"/>
      <c r="N854" s="72"/>
      <c r="O854" s="73"/>
      <c r="P854" s="72"/>
      <c r="Q854" s="73"/>
      <c r="R854" s="72"/>
      <c r="S854" s="73"/>
      <c r="T854" s="72"/>
      <c r="U854" s="73"/>
      <c r="V854" s="72"/>
      <c r="W854" s="73"/>
      <c r="X854" s="72"/>
      <c r="Y854" s="73"/>
      <c r="Z854" s="74" t="b">
        <v>0</v>
      </c>
      <c r="AA854" s="130">
        <f t="shared" si="337"/>
        <v>0</v>
      </c>
      <c r="AB854" s="131">
        <f t="shared" si="338"/>
        <v>0</v>
      </c>
      <c r="AC854" s="132">
        <f t="shared" si="339"/>
        <v>0</v>
      </c>
      <c r="AD854" s="133">
        <f t="shared" si="340"/>
        <v>0</v>
      </c>
      <c r="AE854" s="131">
        <f t="shared" si="341"/>
        <v>0</v>
      </c>
      <c r="AF854" s="133">
        <f t="shared" si="342"/>
        <v>0</v>
      </c>
      <c r="AG854" s="1"/>
    </row>
    <row r="855" ht="21.0" customHeight="1">
      <c r="A855" s="1"/>
      <c r="B855" s="48" t="s">
        <v>46</v>
      </c>
      <c r="C855" s="49"/>
      <c r="D855" s="91">
        <f t="array" ref="D855">iferror(vlookup(xlookup(B845,'현황'!O:O,'현황'!O:O,,-1,-1),'현황'!O:S,3,false),0)</f>
        <v>0</v>
      </c>
      <c r="E855" s="66"/>
      <c r="F855" s="52" t="s">
        <v>37</v>
      </c>
      <c r="G855" s="67"/>
      <c r="H855" s="80"/>
      <c r="I855" s="69"/>
      <c r="J855" s="72"/>
      <c r="K855" s="73"/>
      <c r="L855" s="72"/>
      <c r="M855" s="73"/>
      <c r="N855" s="72"/>
      <c r="O855" s="73"/>
      <c r="P855" s="72"/>
      <c r="Q855" s="73"/>
      <c r="R855" s="72"/>
      <c r="S855" s="73"/>
      <c r="T855" s="72"/>
      <c r="U855" s="73"/>
      <c r="V855" s="72"/>
      <c r="W855" s="73"/>
      <c r="X855" s="72"/>
      <c r="Y855" s="73"/>
      <c r="Z855" s="74" t="b">
        <v>0</v>
      </c>
      <c r="AA855" s="130">
        <f t="shared" si="337"/>
        <v>0</v>
      </c>
      <c r="AB855" s="131">
        <f t="shared" si="338"/>
        <v>0</v>
      </c>
      <c r="AC855" s="132">
        <f t="shared" si="339"/>
        <v>0</v>
      </c>
      <c r="AD855" s="133">
        <f t="shared" si="340"/>
        <v>0</v>
      </c>
      <c r="AE855" s="131">
        <f t="shared" si="341"/>
        <v>0</v>
      </c>
      <c r="AF855" s="133">
        <f t="shared" si="342"/>
        <v>0</v>
      </c>
      <c r="AG855" s="1"/>
    </row>
    <row r="856" ht="21.0" customHeight="1">
      <c r="A856" s="1"/>
      <c r="B856" s="48" t="s">
        <v>47</v>
      </c>
      <c r="C856" s="49"/>
      <c r="D856" s="91">
        <f t="array" ref="D856">iferror(vlookup(xlookup(B845,'현황'!O:O,'현황'!O:O,,-1,-1),'현황'!O:S,4,false),0)</f>
        <v>0</v>
      </c>
      <c r="E856" s="41"/>
      <c r="F856" s="92" t="s">
        <v>40</v>
      </c>
      <c r="G856" s="79"/>
      <c r="H856" s="93"/>
      <c r="I856" s="94"/>
      <c r="J856" s="95"/>
      <c r="K856" s="96"/>
      <c r="L856" s="95"/>
      <c r="M856" s="96"/>
      <c r="N856" s="95"/>
      <c r="O856" s="96"/>
      <c r="P856" s="95"/>
      <c r="Q856" s="96"/>
      <c r="R856" s="95"/>
      <c r="S856" s="96"/>
      <c r="T856" s="95"/>
      <c r="U856" s="96"/>
      <c r="V856" s="95"/>
      <c r="W856" s="96"/>
      <c r="X856" s="95"/>
      <c r="Y856" s="96"/>
      <c r="Z856" s="97" t="b">
        <v>0</v>
      </c>
      <c r="AA856" s="135">
        <f t="shared" si="337"/>
        <v>0</v>
      </c>
      <c r="AB856" s="136">
        <f t="shared" si="338"/>
        <v>0</v>
      </c>
      <c r="AC856" s="137">
        <f t="shared" si="339"/>
        <v>0</v>
      </c>
      <c r="AD856" s="138">
        <f t="shared" si="340"/>
        <v>0</v>
      </c>
      <c r="AE856" s="136">
        <f t="shared" si="341"/>
        <v>0</v>
      </c>
      <c r="AF856" s="138">
        <f t="shared" si="342"/>
        <v>0</v>
      </c>
      <c r="AG856" s="1"/>
    </row>
    <row r="857" ht="21.0" customHeight="1">
      <c r="A857" s="1"/>
      <c r="B857" s="102" t="s">
        <v>48</v>
      </c>
      <c r="C857" s="103"/>
      <c r="D857" s="104">
        <f>iferror(D856/D854,0)</f>
        <v>0</v>
      </c>
      <c r="E857" s="102" t="s">
        <v>49</v>
      </c>
      <c r="F857" s="103"/>
      <c r="G857" s="105"/>
      <c r="H857" s="106" t="s">
        <v>50</v>
      </c>
      <c r="I857" s="107"/>
      <c r="J857" s="11"/>
      <c r="K857" s="11"/>
      <c r="L857" s="11"/>
      <c r="M857" s="11"/>
      <c r="N857" s="11"/>
      <c r="O857" s="11"/>
      <c r="P857" s="108" t="s">
        <v>51</v>
      </c>
      <c r="Q857" s="12"/>
      <c r="R857" s="109"/>
      <c r="S857" s="11"/>
      <c r="T857" s="11"/>
      <c r="U857" s="11"/>
      <c r="V857" s="11"/>
      <c r="W857" s="11"/>
      <c r="X857" s="11"/>
      <c r="Y857" s="11"/>
      <c r="Z857" s="12"/>
      <c r="AA857" s="139">
        <f>SUM(AA848:AA856)</f>
        <v>0</v>
      </c>
      <c r="AB857" s="140" t="s">
        <v>211</v>
      </c>
      <c r="AG857" s="1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1"/>
      <c r="AA858" s="1"/>
      <c r="AB858" s="1"/>
      <c r="AC858" s="3"/>
      <c r="AD858" s="1"/>
      <c r="AE858" s="1"/>
      <c r="AF858" s="1"/>
      <c r="AG858" s="1"/>
    </row>
    <row r="859" ht="21.0" customHeight="1">
      <c r="A859" s="1"/>
      <c r="B859" s="4" t="s">
        <v>1</v>
      </c>
      <c r="C859" s="5"/>
      <c r="D859" s="6" t="s">
        <v>2</v>
      </c>
      <c r="E859" s="7"/>
      <c r="F859" s="7"/>
      <c r="G859" s="5"/>
      <c r="H859" s="8" t="s">
        <v>3</v>
      </c>
      <c r="I859" s="8" t="s">
        <v>4</v>
      </c>
      <c r="J859" s="9" t="s">
        <v>5</v>
      </c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5"/>
      <c r="AA859" s="117" t="s">
        <v>6</v>
      </c>
      <c r="AB859" s="11"/>
      <c r="AC859" s="11"/>
      <c r="AD859" s="11"/>
      <c r="AE859" s="11"/>
      <c r="AF859" s="12"/>
      <c r="AG859" s="1"/>
    </row>
    <row r="860" ht="21.0" customHeight="1">
      <c r="A860" s="1"/>
      <c r="B860" s="149" t="s">
        <v>138</v>
      </c>
      <c r="C860" s="14" t="str">
        <f>if(B860="0/0","",choose(weekday(B860),"(일)","(월)","(화)","(수)","(목)","(금)","(토)"))</f>
        <v/>
      </c>
      <c r="D860" s="15" t="s">
        <v>7</v>
      </c>
      <c r="E860" s="16" t="s">
        <v>8</v>
      </c>
      <c r="F860" s="17"/>
      <c r="G860" s="18" t="s">
        <v>9</v>
      </c>
      <c r="H860" s="150" t="s">
        <v>139</v>
      </c>
      <c r="I860" s="151"/>
      <c r="J860" s="21" t="s">
        <v>12</v>
      </c>
      <c r="K860" s="22"/>
      <c r="L860" s="21" t="s">
        <v>13</v>
      </c>
      <c r="M860" s="22"/>
      <c r="N860" s="21" t="s">
        <v>14</v>
      </c>
      <c r="O860" s="22"/>
      <c r="P860" s="21" t="s">
        <v>15</v>
      </c>
      <c r="Q860" s="22"/>
      <c r="R860" s="23" t="s">
        <v>16</v>
      </c>
      <c r="S860" s="22"/>
      <c r="T860" s="23" t="s">
        <v>17</v>
      </c>
      <c r="U860" s="22"/>
      <c r="V860" s="23" t="s">
        <v>18</v>
      </c>
      <c r="W860" s="22"/>
      <c r="X860" s="23" t="s">
        <v>19</v>
      </c>
      <c r="Y860" s="22"/>
      <c r="Z860" s="24" t="s">
        <v>212</v>
      </c>
      <c r="AA860" s="118" t="s">
        <v>21</v>
      </c>
      <c r="AB860" s="119" t="s">
        <v>22</v>
      </c>
      <c r="AC860" s="7"/>
      <c r="AD860" s="22"/>
      <c r="AE860" s="120" t="s">
        <v>23</v>
      </c>
      <c r="AF860" s="22"/>
      <c r="AG860" s="1"/>
    </row>
    <row r="861" ht="21.0" customHeight="1">
      <c r="A861" s="1"/>
      <c r="B861" s="27">
        <f>iferror(B860-'현황'!$C$4+1,0)</f>
        <v>0</v>
      </c>
      <c r="C861" s="28"/>
      <c r="D861" s="29">
        <v>0.0</v>
      </c>
      <c r="E861" s="30">
        <v>0.0</v>
      </c>
      <c r="F861" s="31"/>
      <c r="G861" s="32">
        <v>0.0</v>
      </c>
      <c r="H861" s="33">
        <v>0.0</v>
      </c>
      <c r="I861" s="34"/>
      <c r="J861" s="35"/>
      <c r="K861" s="36"/>
      <c r="L861" s="35"/>
      <c r="M861" s="36"/>
      <c r="N861" s="35"/>
      <c r="O861" s="36"/>
      <c r="P861" s="35"/>
      <c r="Q861" s="36"/>
      <c r="R861" s="35"/>
      <c r="S861" s="36"/>
      <c r="T861" s="35"/>
      <c r="U861" s="36"/>
      <c r="V861" s="35"/>
      <c r="W861" s="36"/>
      <c r="X861" s="35"/>
      <c r="Y861" s="36"/>
      <c r="Z861" s="37"/>
      <c r="AA861" s="37"/>
      <c r="AB861" s="35"/>
      <c r="AC861" s="38"/>
      <c r="AD861" s="36"/>
      <c r="AE861" s="35"/>
      <c r="AF861" s="36"/>
      <c r="AG861" s="1"/>
    </row>
    <row r="862" ht="21.0" customHeight="1">
      <c r="A862" s="1"/>
      <c r="B862" s="39" t="s">
        <v>24</v>
      </c>
      <c r="C862" s="40"/>
      <c r="D862" s="41"/>
      <c r="E862" s="42" t="s">
        <v>25</v>
      </c>
      <c r="F862" s="40"/>
      <c r="G862" s="41"/>
      <c r="H862" s="43" t="s">
        <v>26</v>
      </c>
      <c r="J862" s="44" t="s">
        <v>27</v>
      </c>
      <c r="K862" s="45" t="s">
        <v>28</v>
      </c>
      <c r="L862" s="44" t="s">
        <v>27</v>
      </c>
      <c r="M862" s="45" t="s">
        <v>28</v>
      </c>
      <c r="N862" s="44" t="s">
        <v>27</v>
      </c>
      <c r="O862" s="45" t="s">
        <v>28</v>
      </c>
      <c r="P862" s="44" t="s">
        <v>27</v>
      </c>
      <c r="Q862" s="45" t="s">
        <v>28</v>
      </c>
      <c r="R862" s="44" t="s">
        <v>27</v>
      </c>
      <c r="S862" s="45" t="s">
        <v>28</v>
      </c>
      <c r="T862" s="44" t="s">
        <v>27</v>
      </c>
      <c r="U862" s="45" t="s">
        <v>28</v>
      </c>
      <c r="V862" s="44" t="s">
        <v>27</v>
      </c>
      <c r="W862" s="45" t="s">
        <v>28</v>
      </c>
      <c r="X862" s="44" t="s">
        <v>27</v>
      </c>
      <c r="Y862" s="45" t="s">
        <v>28</v>
      </c>
      <c r="Z862" s="46"/>
      <c r="AA862" s="46"/>
      <c r="AB862" s="121" t="s">
        <v>29</v>
      </c>
      <c r="AC862" s="122" t="s">
        <v>30</v>
      </c>
      <c r="AD862" s="123" t="s">
        <v>31</v>
      </c>
      <c r="AE862" s="121" t="s">
        <v>27</v>
      </c>
      <c r="AF862" s="123" t="s">
        <v>28</v>
      </c>
      <c r="AG862" s="1"/>
    </row>
    <row r="863" ht="21.0" customHeight="1">
      <c r="A863" s="1"/>
      <c r="B863" s="48" t="s">
        <v>32</v>
      </c>
      <c r="C863" s="49"/>
      <c r="D863" s="50"/>
      <c r="E863" s="51" t="s">
        <v>33</v>
      </c>
      <c r="F863" s="52" t="s">
        <v>34</v>
      </c>
      <c r="G863" s="53"/>
      <c r="H863" s="148"/>
      <c r="I863" s="55"/>
      <c r="J863" s="58"/>
      <c r="K863" s="59"/>
      <c r="L863" s="58"/>
      <c r="M863" s="59"/>
      <c r="N863" s="58"/>
      <c r="O863" s="59"/>
      <c r="P863" s="58"/>
      <c r="Q863" s="59"/>
      <c r="R863" s="58"/>
      <c r="S863" s="59"/>
      <c r="T863" s="58"/>
      <c r="U863" s="59"/>
      <c r="V863" s="58"/>
      <c r="W863" s="59"/>
      <c r="X863" s="58"/>
      <c r="Y863" s="59"/>
      <c r="Z863" s="60" t="b">
        <v>0</v>
      </c>
      <c r="AA863" s="125">
        <f t="shared" ref="AA863:AA871" si="343">(J863*K863+L863*M863+N863*O863+P863*Q863+R863*S863+T863*U863+V863*W863+X863*Y863)*if(Z863=true,0.453592,1)</f>
        <v>0</v>
      </c>
      <c r="AB863" s="126">
        <f t="shared" ref="AB863:AB871" si="344">SUM(AE863*AF863*0.025,AE863)</f>
        <v>0</v>
      </c>
      <c r="AC863" s="127">
        <f t="shared" ref="AC863:AC871" si="345">AB863*87%</f>
        <v>0</v>
      </c>
      <c r="AD863" s="128">
        <f t="shared" ref="AD863:AD871" si="346">AB863*67%</f>
        <v>0</v>
      </c>
      <c r="AE863" s="126">
        <f t="shared" ref="AE863:AE871" si="347">MAX(J863,L863,N863,P863,R863,T863,V863,X863)*if(Z863=true,0.453592,1)</f>
        <v>0</v>
      </c>
      <c r="AF863" s="128">
        <f t="shared" ref="AF863:AF871" si="348">MAX(IF(J863*if(Z863=true,0.453592,1)=$AE863,K863,0),IF(L863*if(Z863=true,0.453592,1)=$AE863,M863,0),IF(N863*if(Z863=true,0.453592,1)=$AE863,O863,0),IF(P863*if(Z863=true,0.453592,1)=$AE863,Q863,0),IF(R863*if(Z863=true,0.453592,1)=$AE863,S863,0),IF(T863*if(Z863=true,0.453592,1)=$AE863,U863,0),IF(V863*if(Z863=true,0.453592,1)=$AE863,W863,0),IF(X863*if(Z863=true,0.453592,1)=$AE863,Y863,0))</f>
        <v>0</v>
      </c>
      <c r="AG863" s="1"/>
    </row>
    <row r="864" ht="21.0" customHeight="1">
      <c r="A864" s="1"/>
      <c r="B864" s="48" t="s">
        <v>36</v>
      </c>
      <c r="C864" s="49"/>
      <c r="D864" s="65"/>
      <c r="E864" s="66"/>
      <c r="F864" s="52" t="s">
        <v>37</v>
      </c>
      <c r="G864" s="67"/>
      <c r="H864" s="129"/>
      <c r="I864" s="69"/>
      <c r="J864" s="72"/>
      <c r="K864" s="73"/>
      <c r="L864" s="72"/>
      <c r="M864" s="73"/>
      <c r="N864" s="72"/>
      <c r="O864" s="73"/>
      <c r="P864" s="72"/>
      <c r="Q864" s="73"/>
      <c r="R864" s="72"/>
      <c r="S864" s="73"/>
      <c r="T864" s="72"/>
      <c r="U864" s="73"/>
      <c r="V864" s="72"/>
      <c r="W864" s="73"/>
      <c r="X864" s="72"/>
      <c r="Y864" s="73"/>
      <c r="Z864" s="74" t="b">
        <v>0</v>
      </c>
      <c r="AA864" s="130">
        <f t="shared" si="343"/>
        <v>0</v>
      </c>
      <c r="AB864" s="131">
        <f t="shared" si="344"/>
        <v>0</v>
      </c>
      <c r="AC864" s="132">
        <f t="shared" si="345"/>
        <v>0</v>
      </c>
      <c r="AD864" s="133">
        <f t="shared" si="346"/>
        <v>0</v>
      </c>
      <c r="AE864" s="131">
        <f t="shared" si="347"/>
        <v>0</v>
      </c>
      <c r="AF864" s="133">
        <f t="shared" si="348"/>
        <v>0</v>
      </c>
      <c r="AG864" s="1"/>
    </row>
    <row r="865" ht="21.0" customHeight="1">
      <c r="A865" s="1"/>
      <c r="B865" s="48" t="s">
        <v>39</v>
      </c>
      <c r="C865" s="49"/>
      <c r="D865" s="65"/>
      <c r="E865" s="41"/>
      <c r="F865" s="52" t="s">
        <v>40</v>
      </c>
      <c r="G865" s="79"/>
      <c r="H865" s="80"/>
      <c r="I865" s="69"/>
      <c r="J865" s="72"/>
      <c r="K865" s="73"/>
      <c r="L865" s="72"/>
      <c r="M865" s="73"/>
      <c r="N865" s="72"/>
      <c r="O865" s="73"/>
      <c r="P865" s="72"/>
      <c r="Q865" s="73"/>
      <c r="R865" s="72"/>
      <c r="S865" s="73"/>
      <c r="T865" s="72"/>
      <c r="U865" s="73"/>
      <c r="V865" s="72"/>
      <c r="W865" s="73"/>
      <c r="X865" s="72"/>
      <c r="Y865" s="73"/>
      <c r="Z865" s="74" t="b">
        <v>0</v>
      </c>
      <c r="AA865" s="130">
        <f t="shared" si="343"/>
        <v>0</v>
      </c>
      <c r="AB865" s="131">
        <f t="shared" si="344"/>
        <v>0</v>
      </c>
      <c r="AC865" s="132">
        <f t="shared" si="345"/>
        <v>0</v>
      </c>
      <c r="AD865" s="133">
        <f t="shared" si="346"/>
        <v>0</v>
      </c>
      <c r="AE865" s="131">
        <f t="shared" si="347"/>
        <v>0</v>
      </c>
      <c r="AF865" s="133">
        <f t="shared" si="348"/>
        <v>0</v>
      </c>
      <c r="AG865" s="1"/>
    </row>
    <row r="866" ht="21.0" customHeight="1">
      <c r="A866" s="1"/>
      <c r="B866" s="48" t="s">
        <v>41</v>
      </c>
      <c r="C866" s="81"/>
      <c r="D866" s="82" t="b">
        <v>0</v>
      </c>
      <c r="E866" s="51" t="s">
        <v>42</v>
      </c>
      <c r="F866" s="52" t="s">
        <v>34</v>
      </c>
      <c r="G866" s="83"/>
      <c r="H866" s="84"/>
      <c r="I866" s="85"/>
      <c r="J866" s="72"/>
      <c r="K866" s="73"/>
      <c r="L866" s="72"/>
      <c r="M866" s="73"/>
      <c r="N866" s="72"/>
      <c r="O866" s="73"/>
      <c r="P866" s="72"/>
      <c r="Q866" s="73"/>
      <c r="R866" s="72"/>
      <c r="S866" s="73"/>
      <c r="T866" s="72"/>
      <c r="U866" s="73"/>
      <c r="V866" s="72"/>
      <c r="W866" s="73"/>
      <c r="X866" s="72"/>
      <c r="Y866" s="73"/>
      <c r="Z866" s="74" t="b">
        <v>0</v>
      </c>
      <c r="AA866" s="130">
        <f t="shared" si="343"/>
        <v>0</v>
      </c>
      <c r="AB866" s="131">
        <f t="shared" si="344"/>
        <v>0</v>
      </c>
      <c r="AC866" s="132">
        <f t="shared" si="345"/>
        <v>0</v>
      </c>
      <c r="AD866" s="133">
        <f t="shared" si="346"/>
        <v>0</v>
      </c>
      <c r="AE866" s="131">
        <f t="shared" si="347"/>
        <v>0</v>
      </c>
      <c r="AF866" s="133">
        <f t="shared" si="348"/>
        <v>0</v>
      </c>
      <c r="AG866" s="1"/>
    </row>
    <row r="867" ht="21.0" customHeight="1">
      <c r="A867" s="1"/>
      <c r="B867" s="48" t="s">
        <v>43</v>
      </c>
      <c r="C867" s="49"/>
      <c r="D867" s="86" t="b">
        <v>0</v>
      </c>
      <c r="E867" s="66"/>
      <c r="F867" s="52" t="s">
        <v>37</v>
      </c>
      <c r="G867" s="67"/>
      <c r="H867" s="80"/>
      <c r="I867" s="69"/>
      <c r="J867" s="72"/>
      <c r="K867" s="73"/>
      <c r="L867" s="72"/>
      <c r="M867" s="73"/>
      <c r="N867" s="72"/>
      <c r="O867" s="73"/>
      <c r="P867" s="72"/>
      <c r="Q867" s="73"/>
      <c r="R867" s="72"/>
      <c r="S867" s="73"/>
      <c r="T867" s="72"/>
      <c r="U867" s="73"/>
      <c r="V867" s="72"/>
      <c r="W867" s="73"/>
      <c r="X867" s="72"/>
      <c r="Y867" s="73"/>
      <c r="Z867" s="74" t="b">
        <v>0</v>
      </c>
      <c r="AA867" s="130">
        <f t="shared" si="343"/>
        <v>0</v>
      </c>
      <c r="AB867" s="131">
        <f t="shared" si="344"/>
        <v>0</v>
      </c>
      <c r="AC867" s="132">
        <f t="shared" si="345"/>
        <v>0</v>
      </c>
      <c r="AD867" s="133">
        <f t="shared" si="346"/>
        <v>0</v>
      </c>
      <c r="AE867" s="131">
        <f t="shared" si="347"/>
        <v>0</v>
      </c>
      <c r="AF867" s="133">
        <f t="shared" si="348"/>
        <v>0</v>
      </c>
      <c r="AG867" s="1"/>
    </row>
    <row r="868" ht="21.0" customHeight="1">
      <c r="A868" s="1"/>
      <c r="B868" s="87" t="str">
        <f t="array" ref="B868">"📌최근 인바디 결과 : "&amp;text(xlookup(B860,'현황'!O:O,'현황'!O:O,,-1,-1),"m/d(ddd)")</f>
        <v>#REF!</v>
      </c>
      <c r="C868" s="88"/>
      <c r="D868" s="49"/>
      <c r="E868" s="41"/>
      <c r="F868" s="52" t="s">
        <v>40</v>
      </c>
      <c r="G868" s="79"/>
      <c r="H868" s="80"/>
      <c r="I868" s="69"/>
      <c r="J868" s="72"/>
      <c r="K868" s="73"/>
      <c r="L868" s="72"/>
      <c r="M868" s="73"/>
      <c r="N868" s="72"/>
      <c r="O868" s="73"/>
      <c r="P868" s="72"/>
      <c r="Q868" s="73"/>
      <c r="R868" s="72"/>
      <c r="S868" s="73"/>
      <c r="T868" s="72"/>
      <c r="U868" s="73"/>
      <c r="V868" s="72"/>
      <c r="W868" s="73"/>
      <c r="X868" s="72"/>
      <c r="Y868" s="73"/>
      <c r="Z868" s="74" t="b">
        <v>0</v>
      </c>
      <c r="AA868" s="130">
        <f t="shared" si="343"/>
        <v>0</v>
      </c>
      <c r="AB868" s="131">
        <f t="shared" si="344"/>
        <v>0</v>
      </c>
      <c r="AC868" s="132">
        <f t="shared" si="345"/>
        <v>0</v>
      </c>
      <c r="AD868" s="133">
        <f t="shared" si="346"/>
        <v>0</v>
      </c>
      <c r="AE868" s="131">
        <f t="shared" si="347"/>
        <v>0</v>
      </c>
      <c r="AF868" s="133">
        <f t="shared" si="348"/>
        <v>0</v>
      </c>
      <c r="AG868" s="1"/>
    </row>
    <row r="869" ht="21.0" customHeight="1">
      <c r="A869" s="1"/>
      <c r="B869" s="89" t="s">
        <v>44</v>
      </c>
      <c r="C869" s="49"/>
      <c r="D869" s="90">
        <f t="array" ref="D869">iferror(vlookup(xlookup(B860,'현황'!O:O,'현황'!O:O,,-1,-1),'현황'!O:S,2,false),0)</f>
        <v>0</v>
      </c>
      <c r="E869" s="51" t="s">
        <v>45</v>
      </c>
      <c r="F869" s="52" t="s">
        <v>34</v>
      </c>
      <c r="G869" s="83"/>
      <c r="H869" s="84"/>
      <c r="I869" s="85"/>
      <c r="J869" s="72"/>
      <c r="K869" s="73"/>
      <c r="L869" s="72"/>
      <c r="M869" s="73"/>
      <c r="N869" s="72"/>
      <c r="O869" s="73"/>
      <c r="P869" s="72"/>
      <c r="Q869" s="73"/>
      <c r="R869" s="72"/>
      <c r="S869" s="73"/>
      <c r="T869" s="72"/>
      <c r="U869" s="73"/>
      <c r="V869" s="72"/>
      <c r="W869" s="73"/>
      <c r="X869" s="72"/>
      <c r="Y869" s="73"/>
      <c r="Z869" s="74" t="b">
        <v>0</v>
      </c>
      <c r="AA869" s="130">
        <f t="shared" si="343"/>
        <v>0</v>
      </c>
      <c r="AB869" s="131">
        <f t="shared" si="344"/>
        <v>0</v>
      </c>
      <c r="AC869" s="132">
        <f t="shared" si="345"/>
        <v>0</v>
      </c>
      <c r="AD869" s="133">
        <f t="shared" si="346"/>
        <v>0</v>
      </c>
      <c r="AE869" s="131">
        <f t="shared" si="347"/>
        <v>0</v>
      </c>
      <c r="AF869" s="133">
        <f t="shared" si="348"/>
        <v>0</v>
      </c>
      <c r="AG869" s="1"/>
    </row>
    <row r="870" ht="21.0" customHeight="1">
      <c r="A870" s="1"/>
      <c r="B870" s="48" t="s">
        <v>46</v>
      </c>
      <c r="C870" s="49"/>
      <c r="D870" s="91">
        <f t="array" ref="D870">iferror(vlookup(xlookup(B860,'현황'!O:O,'현황'!O:O,,-1,-1),'현황'!O:S,3,false),0)</f>
        <v>0</v>
      </c>
      <c r="E870" s="66"/>
      <c r="F870" s="52" t="s">
        <v>37</v>
      </c>
      <c r="G870" s="67"/>
      <c r="H870" s="80"/>
      <c r="I870" s="69"/>
      <c r="J870" s="72"/>
      <c r="K870" s="73"/>
      <c r="L870" s="72"/>
      <c r="M870" s="73"/>
      <c r="N870" s="72"/>
      <c r="O870" s="73"/>
      <c r="P870" s="72"/>
      <c r="Q870" s="73"/>
      <c r="R870" s="72"/>
      <c r="S870" s="73"/>
      <c r="T870" s="72"/>
      <c r="U870" s="73"/>
      <c r="V870" s="72"/>
      <c r="W870" s="73"/>
      <c r="X870" s="72"/>
      <c r="Y870" s="73"/>
      <c r="Z870" s="74" t="b">
        <v>0</v>
      </c>
      <c r="AA870" s="130">
        <f t="shared" si="343"/>
        <v>0</v>
      </c>
      <c r="AB870" s="131">
        <f t="shared" si="344"/>
        <v>0</v>
      </c>
      <c r="AC870" s="132">
        <f t="shared" si="345"/>
        <v>0</v>
      </c>
      <c r="AD870" s="133">
        <f t="shared" si="346"/>
        <v>0</v>
      </c>
      <c r="AE870" s="131">
        <f t="shared" si="347"/>
        <v>0</v>
      </c>
      <c r="AF870" s="133">
        <f t="shared" si="348"/>
        <v>0</v>
      </c>
      <c r="AG870" s="1"/>
    </row>
    <row r="871" ht="21.0" customHeight="1">
      <c r="A871" s="1"/>
      <c r="B871" s="48" t="s">
        <v>47</v>
      </c>
      <c r="C871" s="49"/>
      <c r="D871" s="91">
        <f t="array" ref="D871">iferror(vlookup(xlookup(B860,'현황'!O:O,'현황'!O:O,,-1,-1),'현황'!O:S,4,false),0)</f>
        <v>0</v>
      </c>
      <c r="E871" s="41"/>
      <c r="F871" s="92" t="s">
        <v>40</v>
      </c>
      <c r="G871" s="79"/>
      <c r="H871" s="93"/>
      <c r="I871" s="94"/>
      <c r="J871" s="95"/>
      <c r="K871" s="96"/>
      <c r="L871" s="95"/>
      <c r="M871" s="96"/>
      <c r="N871" s="95"/>
      <c r="O871" s="96"/>
      <c r="P871" s="95"/>
      <c r="Q871" s="96"/>
      <c r="R871" s="95"/>
      <c r="S871" s="96"/>
      <c r="T871" s="95"/>
      <c r="U871" s="96"/>
      <c r="V871" s="95"/>
      <c r="W871" s="96"/>
      <c r="X871" s="95"/>
      <c r="Y871" s="96"/>
      <c r="Z871" s="97" t="b">
        <v>0</v>
      </c>
      <c r="AA871" s="135">
        <f t="shared" si="343"/>
        <v>0</v>
      </c>
      <c r="AB871" s="136">
        <f t="shared" si="344"/>
        <v>0</v>
      </c>
      <c r="AC871" s="137">
        <f t="shared" si="345"/>
        <v>0</v>
      </c>
      <c r="AD871" s="138">
        <f t="shared" si="346"/>
        <v>0</v>
      </c>
      <c r="AE871" s="136">
        <f t="shared" si="347"/>
        <v>0</v>
      </c>
      <c r="AF871" s="138">
        <f t="shared" si="348"/>
        <v>0</v>
      </c>
      <c r="AG871" s="1"/>
    </row>
    <row r="872" ht="21.0" customHeight="1">
      <c r="A872" s="1"/>
      <c r="B872" s="102" t="s">
        <v>48</v>
      </c>
      <c r="C872" s="103"/>
      <c r="D872" s="104">
        <f>iferror(D871/D869,0)</f>
        <v>0</v>
      </c>
      <c r="E872" s="102" t="s">
        <v>49</v>
      </c>
      <c r="F872" s="103"/>
      <c r="G872" s="105"/>
      <c r="H872" s="106" t="s">
        <v>50</v>
      </c>
      <c r="I872" s="107"/>
      <c r="J872" s="11"/>
      <c r="K872" s="11"/>
      <c r="L872" s="11"/>
      <c r="M872" s="11"/>
      <c r="N872" s="11"/>
      <c r="O872" s="11"/>
      <c r="P872" s="108" t="s">
        <v>51</v>
      </c>
      <c r="Q872" s="12"/>
      <c r="R872" s="109"/>
      <c r="S872" s="11"/>
      <c r="T872" s="11"/>
      <c r="U872" s="11"/>
      <c r="V872" s="11"/>
      <c r="W872" s="11"/>
      <c r="X872" s="11"/>
      <c r="Y872" s="11"/>
      <c r="Z872" s="12"/>
      <c r="AA872" s="139">
        <f>SUM(AA863:AA871)</f>
        <v>0</v>
      </c>
      <c r="AB872" s="140" t="s">
        <v>213</v>
      </c>
      <c r="AG872" s="1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1"/>
      <c r="AA873" s="1"/>
      <c r="AB873" s="1"/>
      <c r="AC873" s="3"/>
      <c r="AD873" s="1"/>
      <c r="AE873" s="1"/>
      <c r="AF873" s="1"/>
      <c r="AG873" s="1"/>
    </row>
    <row r="874" ht="21.0" customHeight="1">
      <c r="A874" s="1"/>
      <c r="B874" s="4" t="s">
        <v>1</v>
      </c>
      <c r="C874" s="5"/>
      <c r="D874" s="6" t="s">
        <v>2</v>
      </c>
      <c r="E874" s="7"/>
      <c r="F874" s="7"/>
      <c r="G874" s="5"/>
      <c r="H874" s="8" t="s">
        <v>3</v>
      </c>
      <c r="I874" s="8" t="s">
        <v>4</v>
      </c>
      <c r="J874" s="9" t="s">
        <v>5</v>
      </c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5"/>
      <c r="AA874" s="117" t="s">
        <v>6</v>
      </c>
      <c r="AB874" s="11"/>
      <c r="AC874" s="11"/>
      <c r="AD874" s="11"/>
      <c r="AE874" s="11"/>
      <c r="AF874" s="12"/>
      <c r="AG874" s="1"/>
    </row>
    <row r="875" ht="21.0" customHeight="1">
      <c r="A875" s="1"/>
      <c r="B875" s="149" t="s">
        <v>138</v>
      </c>
      <c r="C875" s="14" t="str">
        <f>if(B875="0/0","",choose(weekday(B875),"(일)","(월)","(화)","(수)","(목)","(금)","(토)"))</f>
        <v/>
      </c>
      <c r="D875" s="15" t="s">
        <v>7</v>
      </c>
      <c r="E875" s="16" t="s">
        <v>8</v>
      </c>
      <c r="F875" s="17"/>
      <c r="G875" s="18" t="s">
        <v>9</v>
      </c>
      <c r="H875" s="150" t="s">
        <v>139</v>
      </c>
      <c r="I875" s="151"/>
      <c r="J875" s="21" t="s">
        <v>12</v>
      </c>
      <c r="K875" s="22"/>
      <c r="L875" s="21" t="s">
        <v>13</v>
      </c>
      <c r="M875" s="22"/>
      <c r="N875" s="21" t="s">
        <v>14</v>
      </c>
      <c r="O875" s="22"/>
      <c r="P875" s="21" t="s">
        <v>15</v>
      </c>
      <c r="Q875" s="22"/>
      <c r="R875" s="23" t="s">
        <v>16</v>
      </c>
      <c r="S875" s="22"/>
      <c r="T875" s="23" t="s">
        <v>17</v>
      </c>
      <c r="U875" s="22"/>
      <c r="V875" s="23" t="s">
        <v>18</v>
      </c>
      <c r="W875" s="22"/>
      <c r="X875" s="23" t="s">
        <v>19</v>
      </c>
      <c r="Y875" s="22"/>
      <c r="Z875" s="24" t="s">
        <v>214</v>
      </c>
      <c r="AA875" s="118" t="s">
        <v>21</v>
      </c>
      <c r="AB875" s="119" t="s">
        <v>22</v>
      </c>
      <c r="AC875" s="7"/>
      <c r="AD875" s="22"/>
      <c r="AE875" s="120" t="s">
        <v>23</v>
      </c>
      <c r="AF875" s="22"/>
      <c r="AG875" s="1"/>
    </row>
    <row r="876" ht="21.0" customHeight="1">
      <c r="A876" s="1"/>
      <c r="B876" s="27">
        <f>iferror(B875-'현황'!$C$4+1,0)</f>
        <v>0</v>
      </c>
      <c r="C876" s="28"/>
      <c r="D876" s="29">
        <v>0.0</v>
      </c>
      <c r="E876" s="30">
        <v>0.0</v>
      </c>
      <c r="F876" s="31"/>
      <c r="G876" s="32">
        <v>0.0</v>
      </c>
      <c r="H876" s="33">
        <v>0.0</v>
      </c>
      <c r="I876" s="34"/>
      <c r="J876" s="35"/>
      <c r="K876" s="36"/>
      <c r="L876" s="35"/>
      <c r="M876" s="36"/>
      <c r="N876" s="35"/>
      <c r="O876" s="36"/>
      <c r="P876" s="35"/>
      <c r="Q876" s="36"/>
      <c r="R876" s="35"/>
      <c r="S876" s="36"/>
      <c r="T876" s="35"/>
      <c r="U876" s="36"/>
      <c r="V876" s="35"/>
      <c r="W876" s="36"/>
      <c r="X876" s="35"/>
      <c r="Y876" s="36"/>
      <c r="Z876" s="37"/>
      <c r="AA876" s="37"/>
      <c r="AB876" s="35"/>
      <c r="AC876" s="38"/>
      <c r="AD876" s="36"/>
      <c r="AE876" s="35"/>
      <c r="AF876" s="36"/>
      <c r="AG876" s="1"/>
    </row>
    <row r="877" ht="21.0" customHeight="1">
      <c r="A877" s="1"/>
      <c r="B877" s="39" t="s">
        <v>24</v>
      </c>
      <c r="C877" s="40"/>
      <c r="D877" s="41"/>
      <c r="E877" s="42" t="s">
        <v>25</v>
      </c>
      <c r="F877" s="40"/>
      <c r="G877" s="41"/>
      <c r="H877" s="43" t="s">
        <v>26</v>
      </c>
      <c r="J877" s="44" t="s">
        <v>27</v>
      </c>
      <c r="K877" s="45" t="s">
        <v>28</v>
      </c>
      <c r="L877" s="44" t="s">
        <v>27</v>
      </c>
      <c r="M877" s="45" t="s">
        <v>28</v>
      </c>
      <c r="N877" s="44" t="s">
        <v>27</v>
      </c>
      <c r="O877" s="45" t="s">
        <v>28</v>
      </c>
      <c r="P877" s="44" t="s">
        <v>27</v>
      </c>
      <c r="Q877" s="45" t="s">
        <v>28</v>
      </c>
      <c r="R877" s="44" t="s">
        <v>27</v>
      </c>
      <c r="S877" s="45" t="s">
        <v>28</v>
      </c>
      <c r="T877" s="44" t="s">
        <v>27</v>
      </c>
      <c r="U877" s="45" t="s">
        <v>28</v>
      </c>
      <c r="V877" s="44" t="s">
        <v>27</v>
      </c>
      <c r="W877" s="45" t="s">
        <v>28</v>
      </c>
      <c r="X877" s="44" t="s">
        <v>27</v>
      </c>
      <c r="Y877" s="45" t="s">
        <v>28</v>
      </c>
      <c r="Z877" s="46"/>
      <c r="AA877" s="46"/>
      <c r="AB877" s="121" t="s">
        <v>29</v>
      </c>
      <c r="AC877" s="122" t="s">
        <v>30</v>
      </c>
      <c r="AD877" s="123" t="s">
        <v>31</v>
      </c>
      <c r="AE877" s="121" t="s">
        <v>27</v>
      </c>
      <c r="AF877" s="123" t="s">
        <v>28</v>
      </c>
      <c r="AG877" s="1"/>
    </row>
    <row r="878" ht="21.0" customHeight="1">
      <c r="A878" s="1"/>
      <c r="B878" s="48" t="s">
        <v>32</v>
      </c>
      <c r="C878" s="49"/>
      <c r="D878" s="50"/>
      <c r="E878" s="51" t="s">
        <v>33</v>
      </c>
      <c r="F878" s="52" t="s">
        <v>34</v>
      </c>
      <c r="G878" s="53"/>
      <c r="H878" s="148"/>
      <c r="I878" s="55"/>
      <c r="J878" s="58"/>
      <c r="K878" s="59"/>
      <c r="L878" s="58"/>
      <c r="M878" s="59"/>
      <c r="N878" s="58"/>
      <c r="O878" s="59"/>
      <c r="P878" s="58"/>
      <c r="Q878" s="59"/>
      <c r="R878" s="58"/>
      <c r="S878" s="59"/>
      <c r="T878" s="58"/>
      <c r="U878" s="59"/>
      <c r="V878" s="58"/>
      <c r="W878" s="59"/>
      <c r="X878" s="58"/>
      <c r="Y878" s="59"/>
      <c r="Z878" s="60" t="b">
        <v>0</v>
      </c>
      <c r="AA878" s="125">
        <f t="shared" ref="AA878:AA886" si="349">(J878*K878+L878*M878+N878*O878+P878*Q878+R878*S878+T878*U878+V878*W878+X878*Y878)*if(Z878=true,0.453592,1)</f>
        <v>0</v>
      </c>
      <c r="AB878" s="126">
        <f t="shared" ref="AB878:AB886" si="350">SUM(AE878*AF878*0.025,AE878)</f>
        <v>0</v>
      </c>
      <c r="AC878" s="127">
        <f t="shared" ref="AC878:AC886" si="351">AB878*87%</f>
        <v>0</v>
      </c>
      <c r="AD878" s="128">
        <f t="shared" ref="AD878:AD886" si="352">AB878*67%</f>
        <v>0</v>
      </c>
      <c r="AE878" s="126">
        <f t="shared" ref="AE878:AE886" si="353">MAX(J878,L878,N878,P878,R878,T878,V878,X878)*if(Z878=true,0.453592,1)</f>
        <v>0</v>
      </c>
      <c r="AF878" s="128">
        <f t="shared" ref="AF878:AF886" si="354">MAX(IF(J878*if(Z878=true,0.453592,1)=$AE878,K878,0),IF(L878*if(Z878=true,0.453592,1)=$AE878,M878,0),IF(N878*if(Z878=true,0.453592,1)=$AE878,O878,0),IF(P878*if(Z878=true,0.453592,1)=$AE878,Q878,0),IF(R878*if(Z878=true,0.453592,1)=$AE878,S878,0),IF(T878*if(Z878=true,0.453592,1)=$AE878,U878,0),IF(V878*if(Z878=true,0.453592,1)=$AE878,W878,0),IF(X878*if(Z878=true,0.453592,1)=$AE878,Y878,0))</f>
        <v>0</v>
      </c>
      <c r="AG878" s="1"/>
    </row>
    <row r="879" ht="21.0" customHeight="1">
      <c r="A879" s="1"/>
      <c r="B879" s="48" t="s">
        <v>36</v>
      </c>
      <c r="C879" s="49"/>
      <c r="D879" s="65"/>
      <c r="E879" s="66"/>
      <c r="F879" s="52" t="s">
        <v>37</v>
      </c>
      <c r="G879" s="67"/>
      <c r="H879" s="129"/>
      <c r="I879" s="69"/>
      <c r="J879" s="72"/>
      <c r="K879" s="73"/>
      <c r="L879" s="72"/>
      <c r="M879" s="73"/>
      <c r="N879" s="72"/>
      <c r="O879" s="73"/>
      <c r="P879" s="72"/>
      <c r="Q879" s="73"/>
      <c r="R879" s="72"/>
      <c r="S879" s="73"/>
      <c r="T879" s="72"/>
      <c r="U879" s="73"/>
      <c r="V879" s="72"/>
      <c r="W879" s="73"/>
      <c r="X879" s="72"/>
      <c r="Y879" s="73"/>
      <c r="Z879" s="74" t="b">
        <v>0</v>
      </c>
      <c r="AA879" s="130">
        <f t="shared" si="349"/>
        <v>0</v>
      </c>
      <c r="AB879" s="131">
        <f t="shared" si="350"/>
        <v>0</v>
      </c>
      <c r="AC879" s="132">
        <f t="shared" si="351"/>
        <v>0</v>
      </c>
      <c r="AD879" s="133">
        <f t="shared" si="352"/>
        <v>0</v>
      </c>
      <c r="AE879" s="131">
        <f t="shared" si="353"/>
        <v>0</v>
      </c>
      <c r="AF879" s="133">
        <f t="shared" si="354"/>
        <v>0</v>
      </c>
      <c r="AG879" s="1"/>
    </row>
    <row r="880" ht="21.0" customHeight="1">
      <c r="A880" s="1"/>
      <c r="B880" s="48" t="s">
        <v>39</v>
      </c>
      <c r="C880" s="49"/>
      <c r="D880" s="65"/>
      <c r="E880" s="41"/>
      <c r="F880" s="52" t="s">
        <v>40</v>
      </c>
      <c r="G880" s="79"/>
      <c r="H880" s="80"/>
      <c r="I880" s="69"/>
      <c r="J880" s="72"/>
      <c r="K880" s="73"/>
      <c r="L880" s="72"/>
      <c r="M880" s="73"/>
      <c r="N880" s="72"/>
      <c r="O880" s="73"/>
      <c r="P880" s="72"/>
      <c r="Q880" s="73"/>
      <c r="R880" s="72"/>
      <c r="S880" s="73"/>
      <c r="T880" s="72"/>
      <c r="U880" s="73"/>
      <c r="V880" s="72"/>
      <c r="W880" s="73"/>
      <c r="X880" s="72"/>
      <c r="Y880" s="73"/>
      <c r="Z880" s="74" t="b">
        <v>0</v>
      </c>
      <c r="AA880" s="130">
        <f t="shared" si="349"/>
        <v>0</v>
      </c>
      <c r="AB880" s="131">
        <f t="shared" si="350"/>
        <v>0</v>
      </c>
      <c r="AC880" s="132">
        <f t="shared" si="351"/>
        <v>0</v>
      </c>
      <c r="AD880" s="133">
        <f t="shared" si="352"/>
        <v>0</v>
      </c>
      <c r="AE880" s="131">
        <f t="shared" si="353"/>
        <v>0</v>
      </c>
      <c r="AF880" s="133">
        <f t="shared" si="354"/>
        <v>0</v>
      </c>
      <c r="AG880" s="1"/>
    </row>
    <row r="881" ht="21.0" customHeight="1">
      <c r="A881" s="1"/>
      <c r="B881" s="48" t="s">
        <v>41</v>
      </c>
      <c r="C881" s="81"/>
      <c r="D881" s="82" t="b">
        <v>0</v>
      </c>
      <c r="E881" s="51" t="s">
        <v>42</v>
      </c>
      <c r="F881" s="52" t="s">
        <v>34</v>
      </c>
      <c r="G881" s="83"/>
      <c r="H881" s="84"/>
      <c r="I881" s="85"/>
      <c r="J881" s="72"/>
      <c r="K881" s="73"/>
      <c r="L881" s="72"/>
      <c r="M881" s="73"/>
      <c r="N881" s="72"/>
      <c r="O881" s="73"/>
      <c r="P881" s="72"/>
      <c r="Q881" s="73"/>
      <c r="R881" s="72"/>
      <c r="S881" s="73"/>
      <c r="T881" s="72"/>
      <c r="U881" s="73"/>
      <c r="V881" s="72"/>
      <c r="W881" s="73"/>
      <c r="X881" s="72"/>
      <c r="Y881" s="73"/>
      <c r="Z881" s="74" t="b">
        <v>0</v>
      </c>
      <c r="AA881" s="130">
        <f t="shared" si="349"/>
        <v>0</v>
      </c>
      <c r="AB881" s="131">
        <f t="shared" si="350"/>
        <v>0</v>
      </c>
      <c r="AC881" s="132">
        <f t="shared" si="351"/>
        <v>0</v>
      </c>
      <c r="AD881" s="133">
        <f t="shared" si="352"/>
        <v>0</v>
      </c>
      <c r="AE881" s="131">
        <f t="shared" si="353"/>
        <v>0</v>
      </c>
      <c r="AF881" s="133">
        <f t="shared" si="354"/>
        <v>0</v>
      </c>
      <c r="AG881" s="1"/>
    </row>
    <row r="882" ht="21.0" customHeight="1">
      <c r="A882" s="1"/>
      <c r="B882" s="48" t="s">
        <v>43</v>
      </c>
      <c r="C882" s="49"/>
      <c r="D882" s="86" t="b">
        <v>0</v>
      </c>
      <c r="E882" s="66"/>
      <c r="F882" s="52" t="s">
        <v>37</v>
      </c>
      <c r="G882" s="67"/>
      <c r="H882" s="80"/>
      <c r="I882" s="69"/>
      <c r="J882" s="72"/>
      <c r="K882" s="73"/>
      <c r="L882" s="72"/>
      <c r="M882" s="73"/>
      <c r="N882" s="72"/>
      <c r="O882" s="73"/>
      <c r="P882" s="72"/>
      <c r="Q882" s="73"/>
      <c r="R882" s="72"/>
      <c r="S882" s="73"/>
      <c r="T882" s="72"/>
      <c r="U882" s="73"/>
      <c r="V882" s="72"/>
      <c r="W882" s="73"/>
      <c r="X882" s="72"/>
      <c r="Y882" s="73"/>
      <c r="Z882" s="74" t="b">
        <v>0</v>
      </c>
      <c r="AA882" s="130">
        <f t="shared" si="349"/>
        <v>0</v>
      </c>
      <c r="AB882" s="131">
        <f t="shared" si="350"/>
        <v>0</v>
      </c>
      <c r="AC882" s="132">
        <f t="shared" si="351"/>
        <v>0</v>
      </c>
      <c r="AD882" s="133">
        <f t="shared" si="352"/>
        <v>0</v>
      </c>
      <c r="AE882" s="131">
        <f t="shared" si="353"/>
        <v>0</v>
      </c>
      <c r="AF882" s="133">
        <f t="shared" si="354"/>
        <v>0</v>
      </c>
      <c r="AG882" s="1"/>
    </row>
    <row r="883" ht="21.0" customHeight="1">
      <c r="A883" s="1"/>
      <c r="B883" s="87" t="str">
        <f t="array" ref="B883">"📌최근 인바디 결과 : "&amp;text(xlookup(B875,'현황'!O:O,'현황'!O:O,,-1,-1),"m/d(ddd)")</f>
        <v>#REF!</v>
      </c>
      <c r="C883" s="88"/>
      <c r="D883" s="49"/>
      <c r="E883" s="41"/>
      <c r="F883" s="52" t="s">
        <v>40</v>
      </c>
      <c r="G883" s="79"/>
      <c r="H883" s="80"/>
      <c r="I883" s="69"/>
      <c r="J883" s="72"/>
      <c r="K883" s="73"/>
      <c r="L883" s="72"/>
      <c r="M883" s="73"/>
      <c r="N883" s="72"/>
      <c r="O883" s="73"/>
      <c r="P883" s="72"/>
      <c r="Q883" s="73"/>
      <c r="R883" s="72"/>
      <c r="S883" s="73"/>
      <c r="T883" s="72"/>
      <c r="U883" s="73"/>
      <c r="V883" s="72"/>
      <c r="W883" s="73"/>
      <c r="X883" s="72"/>
      <c r="Y883" s="73"/>
      <c r="Z883" s="74" t="b">
        <v>0</v>
      </c>
      <c r="AA883" s="130">
        <f t="shared" si="349"/>
        <v>0</v>
      </c>
      <c r="AB883" s="131">
        <f t="shared" si="350"/>
        <v>0</v>
      </c>
      <c r="AC883" s="132">
        <f t="shared" si="351"/>
        <v>0</v>
      </c>
      <c r="AD883" s="133">
        <f t="shared" si="352"/>
        <v>0</v>
      </c>
      <c r="AE883" s="131">
        <f t="shared" si="353"/>
        <v>0</v>
      </c>
      <c r="AF883" s="133">
        <f t="shared" si="354"/>
        <v>0</v>
      </c>
      <c r="AG883" s="1"/>
    </row>
    <row r="884" ht="21.0" customHeight="1">
      <c r="A884" s="1"/>
      <c r="B884" s="89" t="s">
        <v>44</v>
      </c>
      <c r="C884" s="49"/>
      <c r="D884" s="90">
        <f t="array" ref="D884">iferror(vlookup(xlookup(B875,'현황'!O:O,'현황'!O:O,,-1,-1),'현황'!O:S,2,false),0)</f>
        <v>0</v>
      </c>
      <c r="E884" s="51" t="s">
        <v>45</v>
      </c>
      <c r="F884" s="52" t="s">
        <v>34</v>
      </c>
      <c r="G884" s="83"/>
      <c r="H884" s="84"/>
      <c r="I884" s="85"/>
      <c r="J884" s="72"/>
      <c r="K884" s="73"/>
      <c r="L884" s="72"/>
      <c r="M884" s="73"/>
      <c r="N884" s="72"/>
      <c r="O884" s="73"/>
      <c r="P884" s="72"/>
      <c r="Q884" s="73"/>
      <c r="R884" s="72"/>
      <c r="S884" s="73"/>
      <c r="T884" s="72"/>
      <c r="U884" s="73"/>
      <c r="V884" s="72"/>
      <c r="W884" s="73"/>
      <c r="X884" s="72"/>
      <c r="Y884" s="73"/>
      <c r="Z884" s="74" t="b">
        <v>0</v>
      </c>
      <c r="AA884" s="130">
        <f t="shared" si="349"/>
        <v>0</v>
      </c>
      <c r="AB884" s="131">
        <f t="shared" si="350"/>
        <v>0</v>
      </c>
      <c r="AC884" s="132">
        <f t="shared" si="351"/>
        <v>0</v>
      </c>
      <c r="AD884" s="133">
        <f t="shared" si="352"/>
        <v>0</v>
      </c>
      <c r="AE884" s="131">
        <f t="shared" si="353"/>
        <v>0</v>
      </c>
      <c r="AF884" s="133">
        <f t="shared" si="354"/>
        <v>0</v>
      </c>
      <c r="AG884" s="1"/>
    </row>
    <row r="885" ht="21.0" customHeight="1">
      <c r="A885" s="1"/>
      <c r="B885" s="48" t="s">
        <v>46</v>
      </c>
      <c r="C885" s="49"/>
      <c r="D885" s="91">
        <f t="array" ref="D885">iferror(vlookup(xlookup(B875,'현황'!O:O,'현황'!O:O,,-1,-1),'현황'!O:S,3,false),0)</f>
        <v>0</v>
      </c>
      <c r="E885" s="66"/>
      <c r="F885" s="52" t="s">
        <v>37</v>
      </c>
      <c r="G885" s="67"/>
      <c r="H885" s="80"/>
      <c r="I885" s="69"/>
      <c r="J885" s="72"/>
      <c r="K885" s="73"/>
      <c r="L885" s="72"/>
      <c r="M885" s="73"/>
      <c r="N885" s="72"/>
      <c r="O885" s="73"/>
      <c r="P885" s="72"/>
      <c r="Q885" s="73"/>
      <c r="R885" s="72"/>
      <c r="S885" s="73"/>
      <c r="T885" s="72"/>
      <c r="U885" s="73"/>
      <c r="V885" s="72"/>
      <c r="W885" s="73"/>
      <c r="X885" s="72"/>
      <c r="Y885" s="73"/>
      <c r="Z885" s="74" t="b">
        <v>0</v>
      </c>
      <c r="AA885" s="130">
        <f t="shared" si="349"/>
        <v>0</v>
      </c>
      <c r="AB885" s="131">
        <f t="shared" si="350"/>
        <v>0</v>
      </c>
      <c r="AC885" s="132">
        <f t="shared" si="351"/>
        <v>0</v>
      </c>
      <c r="AD885" s="133">
        <f t="shared" si="352"/>
        <v>0</v>
      </c>
      <c r="AE885" s="131">
        <f t="shared" si="353"/>
        <v>0</v>
      </c>
      <c r="AF885" s="133">
        <f t="shared" si="354"/>
        <v>0</v>
      </c>
      <c r="AG885" s="1"/>
    </row>
    <row r="886" ht="21.0" customHeight="1">
      <c r="A886" s="1"/>
      <c r="B886" s="48" t="s">
        <v>47</v>
      </c>
      <c r="C886" s="49"/>
      <c r="D886" s="91">
        <f t="array" ref="D886">iferror(vlookup(xlookup(B875,'현황'!O:O,'현황'!O:O,,-1,-1),'현황'!O:S,4,false),0)</f>
        <v>0</v>
      </c>
      <c r="E886" s="41"/>
      <c r="F886" s="92" t="s">
        <v>40</v>
      </c>
      <c r="G886" s="79"/>
      <c r="H886" s="93"/>
      <c r="I886" s="94"/>
      <c r="J886" s="95"/>
      <c r="K886" s="96"/>
      <c r="L886" s="95"/>
      <c r="M886" s="96"/>
      <c r="N886" s="95"/>
      <c r="O886" s="96"/>
      <c r="P886" s="95"/>
      <c r="Q886" s="96"/>
      <c r="R886" s="95"/>
      <c r="S886" s="96"/>
      <c r="T886" s="95"/>
      <c r="U886" s="96"/>
      <c r="V886" s="95"/>
      <c r="W886" s="96"/>
      <c r="X886" s="95"/>
      <c r="Y886" s="96"/>
      <c r="Z886" s="97" t="b">
        <v>0</v>
      </c>
      <c r="AA886" s="135">
        <f t="shared" si="349"/>
        <v>0</v>
      </c>
      <c r="AB886" s="136">
        <f t="shared" si="350"/>
        <v>0</v>
      </c>
      <c r="AC886" s="137">
        <f t="shared" si="351"/>
        <v>0</v>
      </c>
      <c r="AD886" s="138">
        <f t="shared" si="352"/>
        <v>0</v>
      </c>
      <c r="AE886" s="136">
        <f t="shared" si="353"/>
        <v>0</v>
      </c>
      <c r="AF886" s="138">
        <f t="shared" si="354"/>
        <v>0</v>
      </c>
      <c r="AG886" s="1"/>
    </row>
    <row r="887" ht="21.0" customHeight="1">
      <c r="A887" s="1"/>
      <c r="B887" s="102" t="s">
        <v>48</v>
      </c>
      <c r="C887" s="103"/>
      <c r="D887" s="104">
        <f>iferror(D886/D884,0)</f>
        <v>0</v>
      </c>
      <c r="E887" s="102" t="s">
        <v>49</v>
      </c>
      <c r="F887" s="103"/>
      <c r="G887" s="105"/>
      <c r="H887" s="106" t="s">
        <v>50</v>
      </c>
      <c r="I887" s="107"/>
      <c r="J887" s="11"/>
      <c r="K887" s="11"/>
      <c r="L887" s="11"/>
      <c r="M887" s="11"/>
      <c r="N887" s="11"/>
      <c r="O887" s="11"/>
      <c r="P887" s="108" t="s">
        <v>51</v>
      </c>
      <c r="Q887" s="12"/>
      <c r="R887" s="109"/>
      <c r="S887" s="11"/>
      <c r="T887" s="11"/>
      <c r="U887" s="11"/>
      <c r="V887" s="11"/>
      <c r="W887" s="11"/>
      <c r="X887" s="11"/>
      <c r="Y887" s="11"/>
      <c r="Z887" s="12"/>
      <c r="AA887" s="139">
        <f>SUM(AA878:AA886)</f>
        <v>0</v>
      </c>
      <c r="AB887" s="140" t="s">
        <v>215</v>
      </c>
      <c r="AG887" s="1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1"/>
      <c r="AA888" s="1"/>
      <c r="AB888" s="1"/>
      <c r="AC888" s="3"/>
      <c r="AD888" s="1"/>
      <c r="AE888" s="1"/>
      <c r="AF888" s="1"/>
      <c r="AG888" s="1"/>
    </row>
    <row r="889" ht="21.0" customHeight="1">
      <c r="A889" s="1"/>
      <c r="B889" s="4" t="s">
        <v>1</v>
      </c>
      <c r="C889" s="5"/>
      <c r="D889" s="6" t="s">
        <v>2</v>
      </c>
      <c r="E889" s="7"/>
      <c r="F889" s="7"/>
      <c r="G889" s="5"/>
      <c r="H889" s="8" t="s">
        <v>3</v>
      </c>
      <c r="I889" s="8" t="s">
        <v>4</v>
      </c>
      <c r="J889" s="9" t="s">
        <v>5</v>
      </c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5"/>
      <c r="AA889" s="117" t="s">
        <v>6</v>
      </c>
      <c r="AB889" s="11"/>
      <c r="AC889" s="11"/>
      <c r="AD889" s="11"/>
      <c r="AE889" s="11"/>
      <c r="AF889" s="12"/>
      <c r="AG889" s="1"/>
    </row>
    <row r="890" ht="21.0" customHeight="1">
      <c r="A890" s="1"/>
      <c r="B890" s="149" t="s">
        <v>138</v>
      </c>
      <c r="C890" s="14" t="str">
        <f>if(B890="0/0","",choose(weekday(B890),"(일)","(월)","(화)","(수)","(목)","(금)","(토)"))</f>
        <v/>
      </c>
      <c r="D890" s="15" t="s">
        <v>7</v>
      </c>
      <c r="E890" s="16" t="s">
        <v>8</v>
      </c>
      <c r="F890" s="17"/>
      <c r="G890" s="18" t="s">
        <v>9</v>
      </c>
      <c r="H890" s="150" t="s">
        <v>139</v>
      </c>
      <c r="I890" s="151"/>
      <c r="J890" s="21" t="s">
        <v>12</v>
      </c>
      <c r="K890" s="22"/>
      <c r="L890" s="21" t="s">
        <v>13</v>
      </c>
      <c r="M890" s="22"/>
      <c r="N890" s="21" t="s">
        <v>14</v>
      </c>
      <c r="O890" s="22"/>
      <c r="P890" s="21" t="s">
        <v>15</v>
      </c>
      <c r="Q890" s="22"/>
      <c r="R890" s="23" t="s">
        <v>16</v>
      </c>
      <c r="S890" s="22"/>
      <c r="T890" s="23" t="s">
        <v>17</v>
      </c>
      <c r="U890" s="22"/>
      <c r="V890" s="23" t="s">
        <v>18</v>
      </c>
      <c r="W890" s="22"/>
      <c r="X890" s="23" t="s">
        <v>19</v>
      </c>
      <c r="Y890" s="22"/>
      <c r="Z890" s="24" t="s">
        <v>216</v>
      </c>
      <c r="AA890" s="118" t="s">
        <v>21</v>
      </c>
      <c r="AB890" s="119" t="s">
        <v>22</v>
      </c>
      <c r="AC890" s="7"/>
      <c r="AD890" s="22"/>
      <c r="AE890" s="120" t="s">
        <v>23</v>
      </c>
      <c r="AF890" s="22"/>
      <c r="AG890" s="1"/>
    </row>
    <row r="891" ht="21.0" customHeight="1">
      <c r="A891" s="1"/>
      <c r="B891" s="27">
        <f>iferror(B890-'현황'!$C$4+1,0)</f>
        <v>0</v>
      </c>
      <c r="C891" s="28"/>
      <c r="D891" s="29">
        <v>0.0</v>
      </c>
      <c r="E891" s="30">
        <v>0.0</v>
      </c>
      <c r="F891" s="31"/>
      <c r="G891" s="32">
        <v>0.0</v>
      </c>
      <c r="H891" s="33">
        <v>0.0</v>
      </c>
      <c r="I891" s="34"/>
      <c r="J891" s="35"/>
      <c r="K891" s="36"/>
      <c r="L891" s="35"/>
      <c r="M891" s="36"/>
      <c r="N891" s="35"/>
      <c r="O891" s="36"/>
      <c r="P891" s="35"/>
      <c r="Q891" s="36"/>
      <c r="R891" s="35"/>
      <c r="S891" s="36"/>
      <c r="T891" s="35"/>
      <c r="U891" s="36"/>
      <c r="V891" s="35"/>
      <c r="W891" s="36"/>
      <c r="X891" s="35"/>
      <c r="Y891" s="36"/>
      <c r="Z891" s="37"/>
      <c r="AA891" s="37"/>
      <c r="AB891" s="35"/>
      <c r="AC891" s="38"/>
      <c r="AD891" s="36"/>
      <c r="AE891" s="35"/>
      <c r="AF891" s="36"/>
      <c r="AG891" s="1"/>
    </row>
    <row r="892" ht="21.0" customHeight="1">
      <c r="A892" s="1"/>
      <c r="B892" s="39" t="s">
        <v>24</v>
      </c>
      <c r="C892" s="40"/>
      <c r="D892" s="41"/>
      <c r="E892" s="42" t="s">
        <v>25</v>
      </c>
      <c r="F892" s="40"/>
      <c r="G892" s="41"/>
      <c r="H892" s="43" t="s">
        <v>26</v>
      </c>
      <c r="J892" s="44" t="s">
        <v>27</v>
      </c>
      <c r="K892" s="45" t="s">
        <v>28</v>
      </c>
      <c r="L892" s="44" t="s">
        <v>27</v>
      </c>
      <c r="M892" s="45" t="s">
        <v>28</v>
      </c>
      <c r="N892" s="44" t="s">
        <v>27</v>
      </c>
      <c r="O892" s="45" t="s">
        <v>28</v>
      </c>
      <c r="P892" s="44" t="s">
        <v>27</v>
      </c>
      <c r="Q892" s="45" t="s">
        <v>28</v>
      </c>
      <c r="R892" s="44" t="s">
        <v>27</v>
      </c>
      <c r="S892" s="45" t="s">
        <v>28</v>
      </c>
      <c r="T892" s="44" t="s">
        <v>27</v>
      </c>
      <c r="U892" s="45" t="s">
        <v>28</v>
      </c>
      <c r="V892" s="44" t="s">
        <v>27</v>
      </c>
      <c r="W892" s="45" t="s">
        <v>28</v>
      </c>
      <c r="X892" s="44" t="s">
        <v>27</v>
      </c>
      <c r="Y892" s="45" t="s">
        <v>28</v>
      </c>
      <c r="Z892" s="46"/>
      <c r="AA892" s="46"/>
      <c r="AB892" s="121" t="s">
        <v>29</v>
      </c>
      <c r="AC892" s="122" t="s">
        <v>30</v>
      </c>
      <c r="AD892" s="123" t="s">
        <v>31</v>
      </c>
      <c r="AE892" s="121" t="s">
        <v>27</v>
      </c>
      <c r="AF892" s="123" t="s">
        <v>28</v>
      </c>
      <c r="AG892" s="1"/>
    </row>
    <row r="893" ht="21.0" customHeight="1">
      <c r="A893" s="1"/>
      <c r="B893" s="48" t="s">
        <v>32</v>
      </c>
      <c r="C893" s="49"/>
      <c r="D893" s="50"/>
      <c r="E893" s="51" t="s">
        <v>33</v>
      </c>
      <c r="F893" s="52" t="s">
        <v>34</v>
      </c>
      <c r="G893" s="53"/>
      <c r="H893" s="148"/>
      <c r="I893" s="55"/>
      <c r="J893" s="58"/>
      <c r="K893" s="59"/>
      <c r="L893" s="58"/>
      <c r="M893" s="59"/>
      <c r="N893" s="58"/>
      <c r="O893" s="59"/>
      <c r="P893" s="58"/>
      <c r="Q893" s="59"/>
      <c r="R893" s="58"/>
      <c r="S893" s="59"/>
      <c r="T893" s="58"/>
      <c r="U893" s="59"/>
      <c r="V893" s="58"/>
      <c r="W893" s="59"/>
      <c r="X893" s="58"/>
      <c r="Y893" s="59"/>
      <c r="Z893" s="60" t="b">
        <v>0</v>
      </c>
      <c r="AA893" s="125">
        <f t="shared" ref="AA893:AA901" si="355">(J893*K893+L893*M893+N893*O893+P893*Q893+R893*S893+T893*U893+V893*W893+X893*Y893)*if(Z893=true,0.453592,1)</f>
        <v>0</v>
      </c>
      <c r="AB893" s="126">
        <f t="shared" ref="AB893:AB901" si="356">SUM(AE893*AF893*0.025,AE893)</f>
        <v>0</v>
      </c>
      <c r="AC893" s="127">
        <f t="shared" ref="AC893:AC901" si="357">AB893*87%</f>
        <v>0</v>
      </c>
      <c r="AD893" s="128">
        <f t="shared" ref="AD893:AD901" si="358">AB893*67%</f>
        <v>0</v>
      </c>
      <c r="AE893" s="126">
        <f t="shared" ref="AE893:AE901" si="359">MAX(J893,L893,N893,P893,R893,T893,V893,X893)*if(Z893=true,0.453592,1)</f>
        <v>0</v>
      </c>
      <c r="AF893" s="128">
        <f t="shared" ref="AF893:AF901" si="360">MAX(IF(J893*if(Z893=true,0.453592,1)=$AE893,K893,0),IF(L893*if(Z893=true,0.453592,1)=$AE893,M893,0),IF(N893*if(Z893=true,0.453592,1)=$AE893,O893,0),IF(P893*if(Z893=true,0.453592,1)=$AE893,Q893,0),IF(R893*if(Z893=true,0.453592,1)=$AE893,S893,0),IF(T893*if(Z893=true,0.453592,1)=$AE893,U893,0),IF(V893*if(Z893=true,0.453592,1)=$AE893,W893,0),IF(X893*if(Z893=true,0.453592,1)=$AE893,Y893,0))</f>
        <v>0</v>
      </c>
      <c r="AG893" s="1"/>
    </row>
    <row r="894" ht="21.0" customHeight="1">
      <c r="A894" s="1"/>
      <c r="B894" s="48" t="s">
        <v>36</v>
      </c>
      <c r="C894" s="49"/>
      <c r="D894" s="65"/>
      <c r="E894" s="66"/>
      <c r="F894" s="52" t="s">
        <v>37</v>
      </c>
      <c r="G894" s="67"/>
      <c r="H894" s="129"/>
      <c r="I894" s="69"/>
      <c r="J894" s="72"/>
      <c r="K894" s="73"/>
      <c r="L894" s="72"/>
      <c r="M894" s="73"/>
      <c r="N894" s="72"/>
      <c r="O894" s="73"/>
      <c r="P894" s="72"/>
      <c r="Q894" s="73"/>
      <c r="R894" s="72"/>
      <c r="S894" s="73"/>
      <c r="T894" s="72"/>
      <c r="U894" s="73"/>
      <c r="V894" s="72"/>
      <c r="W894" s="73"/>
      <c r="X894" s="72"/>
      <c r="Y894" s="73"/>
      <c r="Z894" s="74" t="b">
        <v>0</v>
      </c>
      <c r="AA894" s="130">
        <f t="shared" si="355"/>
        <v>0</v>
      </c>
      <c r="AB894" s="131">
        <f t="shared" si="356"/>
        <v>0</v>
      </c>
      <c r="AC894" s="132">
        <f t="shared" si="357"/>
        <v>0</v>
      </c>
      <c r="AD894" s="133">
        <f t="shared" si="358"/>
        <v>0</v>
      </c>
      <c r="AE894" s="131">
        <f t="shared" si="359"/>
        <v>0</v>
      </c>
      <c r="AF894" s="133">
        <f t="shared" si="360"/>
        <v>0</v>
      </c>
      <c r="AG894" s="1"/>
    </row>
    <row r="895" ht="21.0" customHeight="1">
      <c r="A895" s="1"/>
      <c r="B895" s="48" t="s">
        <v>39</v>
      </c>
      <c r="C895" s="49"/>
      <c r="D895" s="65"/>
      <c r="E895" s="41"/>
      <c r="F895" s="52" t="s">
        <v>40</v>
      </c>
      <c r="G895" s="79"/>
      <c r="H895" s="80"/>
      <c r="I895" s="69"/>
      <c r="J895" s="72"/>
      <c r="K895" s="73"/>
      <c r="L895" s="72"/>
      <c r="M895" s="73"/>
      <c r="N895" s="72"/>
      <c r="O895" s="73"/>
      <c r="P895" s="72"/>
      <c r="Q895" s="73"/>
      <c r="R895" s="72"/>
      <c r="S895" s="73"/>
      <c r="T895" s="72"/>
      <c r="U895" s="73"/>
      <c r="V895" s="72"/>
      <c r="W895" s="73"/>
      <c r="X895" s="72"/>
      <c r="Y895" s="73"/>
      <c r="Z895" s="74" t="b">
        <v>0</v>
      </c>
      <c r="AA895" s="130">
        <f t="shared" si="355"/>
        <v>0</v>
      </c>
      <c r="AB895" s="131">
        <f t="shared" si="356"/>
        <v>0</v>
      </c>
      <c r="AC895" s="132">
        <f t="shared" si="357"/>
        <v>0</v>
      </c>
      <c r="AD895" s="133">
        <f t="shared" si="358"/>
        <v>0</v>
      </c>
      <c r="AE895" s="131">
        <f t="shared" si="359"/>
        <v>0</v>
      </c>
      <c r="AF895" s="133">
        <f t="shared" si="360"/>
        <v>0</v>
      </c>
      <c r="AG895" s="1"/>
    </row>
    <row r="896" ht="21.0" customHeight="1">
      <c r="A896" s="1"/>
      <c r="B896" s="48" t="s">
        <v>41</v>
      </c>
      <c r="C896" s="81"/>
      <c r="D896" s="82" t="b">
        <v>0</v>
      </c>
      <c r="E896" s="51" t="s">
        <v>42</v>
      </c>
      <c r="F896" s="52" t="s">
        <v>34</v>
      </c>
      <c r="G896" s="83"/>
      <c r="H896" s="84"/>
      <c r="I896" s="85"/>
      <c r="J896" s="72"/>
      <c r="K896" s="73"/>
      <c r="L896" s="72"/>
      <c r="M896" s="73"/>
      <c r="N896" s="72"/>
      <c r="O896" s="73"/>
      <c r="P896" s="72"/>
      <c r="Q896" s="73"/>
      <c r="R896" s="72"/>
      <c r="S896" s="73"/>
      <c r="T896" s="72"/>
      <c r="U896" s="73"/>
      <c r="V896" s="72"/>
      <c r="W896" s="73"/>
      <c r="X896" s="72"/>
      <c r="Y896" s="73"/>
      <c r="Z896" s="74" t="b">
        <v>0</v>
      </c>
      <c r="AA896" s="130">
        <f t="shared" si="355"/>
        <v>0</v>
      </c>
      <c r="AB896" s="131">
        <f t="shared" si="356"/>
        <v>0</v>
      </c>
      <c r="AC896" s="132">
        <f t="shared" si="357"/>
        <v>0</v>
      </c>
      <c r="AD896" s="133">
        <f t="shared" si="358"/>
        <v>0</v>
      </c>
      <c r="AE896" s="131">
        <f t="shared" si="359"/>
        <v>0</v>
      </c>
      <c r="AF896" s="133">
        <f t="shared" si="360"/>
        <v>0</v>
      </c>
      <c r="AG896" s="1"/>
    </row>
    <row r="897" ht="21.0" customHeight="1">
      <c r="A897" s="1"/>
      <c r="B897" s="48" t="s">
        <v>43</v>
      </c>
      <c r="C897" s="49"/>
      <c r="D897" s="86" t="b">
        <v>0</v>
      </c>
      <c r="E897" s="66"/>
      <c r="F897" s="52" t="s">
        <v>37</v>
      </c>
      <c r="G897" s="67"/>
      <c r="H897" s="80"/>
      <c r="I897" s="69"/>
      <c r="J897" s="72"/>
      <c r="K897" s="73"/>
      <c r="L897" s="72"/>
      <c r="M897" s="73"/>
      <c r="N897" s="72"/>
      <c r="O897" s="73"/>
      <c r="P897" s="72"/>
      <c r="Q897" s="73"/>
      <c r="R897" s="72"/>
      <c r="S897" s="73"/>
      <c r="T897" s="72"/>
      <c r="U897" s="73"/>
      <c r="V897" s="72"/>
      <c r="W897" s="73"/>
      <c r="X897" s="72"/>
      <c r="Y897" s="73"/>
      <c r="Z897" s="74" t="b">
        <v>0</v>
      </c>
      <c r="AA897" s="130">
        <f t="shared" si="355"/>
        <v>0</v>
      </c>
      <c r="AB897" s="131">
        <f t="shared" si="356"/>
        <v>0</v>
      </c>
      <c r="AC897" s="132">
        <f t="shared" si="357"/>
        <v>0</v>
      </c>
      <c r="AD897" s="133">
        <f t="shared" si="358"/>
        <v>0</v>
      </c>
      <c r="AE897" s="131">
        <f t="shared" si="359"/>
        <v>0</v>
      </c>
      <c r="AF897" s="133">
        <f t="shared" si="360"/>
        <v>0</v>
      </c>
      <c r="AG897" s="1"/>
    </row>
    <row r="898" ht="21.0" customHeight="1">
      <c r="A898" s="1"/>
      <c r="B898" s="87" t="str">
        <f t="array" ref="B898">"📌최근 인바디 결과 : "&amp;text(xlookup(B890,'현황'!O:O,'현황'!O:O,,-1,-1),"m/d(ddd)")</f>
        <v>#REF!</v>
      </c>
      <c r="C898" s="88"/>
      <c r="D898" s="49"/>
      <c r="E898" s="41"/>
      <c r="F898" s="52" t="s">
        <v>40</v>
      </c>
      <c r="G898" s="79"/>
      <c r="H898" s="80"/>
      <c r="I898" s="69"/>
      <c r="J898" s="72"/>
      <c r="K898" s="73"/>
      <c r="L898" s="72"/>
      <c r="M898" s="73"/>
      <c r="N898" s="72"/>
      <c r="O898" s="73"/>
      <c r="P898" s="72"/>
      <c r="Q898" s="73"/>
      <c r="R898" s="72"/>
      <c r="S898" s="73"/>
      <c r="T898" s="72"/>
      <c r="U898" s="73"/>
      <c r="V898" s="72"/>
      <c r="W898" s="73"/>
      <c r="X898" s="72"/>
      <c r="Y898" s="73"/>
      <c r="Z898" s="74" t="b">
        <v>0</v>
      </c>
      <c r="AA898" s="130">
        <f t="shared" si="355"/>
        <v>0</v>
      </c>
      <c r="AB898" s="131">
        <f t="shared" si="356"/>
        <v>0</v>
      </c>
      <c r="AC898" s="132">
        <f t="shared" si="357"/>
        <v>0</v>
      </c>
      <c r="AD898" s="133">
        <f t="shared" si="358"/>
        <v>0</v>
      </c>
      <c r="AE898" s="131">
        <f t="shared" si="359"/>
        <v>0</v>
      </c>
      <c r="AF898" s="133">
        <f t="shared" si="360"/>
        <v>0</v>
      </c>
      <c r="AG898" s="1"/>
    </row>
    <row r="899" ht="21.0" customHeight="1">
      <c r="A899" s="1"/>
      <c r="B899" s="89" t="s">
        <v>44</v>
      </c>
      <c r="C899" s="49"/>
      <c r="D899" s="90">
        <f t="array" ref="D899">iferror(vlookup(xlookup(B890,'현황'!O:O,'현황'!O:O,,-1,-1),'현황'!O:S,2,false),0)</f>
        <v>0</v>
      </c>
      <c r="E899" s="51" t="s">
        <v>45</v>
      </c>
      <c r="F899" s="52" t="s">
        <v>34</v>
      </c>
      <c r="G899" s="83"/>
      <c r="H899" s="84"/>
      <c r="I899" s="85"/>
      <c r="J899" s="72"/>
      <c r="K899" s="73"/>
      <c r="L899" s="72"/>
      <c r="M899" s="73"/>
      <c r="N899" s="72"/>
      <c r="O899" s="73"/>
      <c r="P899" s="72"/>
      <c r="Q899" s="73"/>
      <c r="R899" s="72"/>
      <c r="S899" s="73"/>
      <c r="T899" s="72"/>
      <c r="U899" s="73"/>
      <c r="V899" s="72"/>
      <c r="W899" s="73"/>
      <c r="X899" s="72"/>
      <c r="Y899" s="73"/>
      <c r="Z899" s="74" t="b">
        <v>0</v>
      </c>
      <c r="AA899" s="130">
        <f t="shared" si="355"/>
        <v>0</v>
      </c>
      <c r="AB899" s="131">
        <f t="shared" si="356"/>
        <v>0</v>
      </c>
      <c r="AC899" s="132">
        <f t="shared" si="357"/>
        <v>0</v>
      </c>
      <c r="AD899" s="133">
        <f t="shared" si="358"/>
        <v>0</v>
      </c>
      <c r="AE899" s="131">
        <f t="shared" si="359"/>
        <v>0</v>
      </c>
      <c r="AF899" s="133">
        <f t="shared" si="360"/>
        <v>0</v>
      </c>
      <c r="AG899" s="1"/>
    </row>
    <row r="900" ht="21.0" customHeight="1">
      <c r="A900" s="1"/>
      <c r="B900" s="48" t="s">
        <v>46</v>
      </c>
      <c r="C900" s="49"/>
      <c r="D900" s="91">
        <f t="array" ref="D900">iferror(vlookup(xlookup(B890,'현황'!O:O,'현황'!O:O,,-1,-1),'현황'!O:S,3,false),0)</f>
        <v>0</v>
      </c>
      <c r="E900" s="66"/>
      <c r="F900" s="52" t="s">
        <v>37</v>
      </c>
      <c r="G900" s="67"/>
      <c r="H900" s="80"/>
      <c r="I900" s="69"/>
      <c r="J900" s="72"/>
      <c r="K900" s="73"/>
      <c r="L900" s="72"/>
      <c r="M900" s="73"/>
      <c r="N900" s="72"/>
      <c r="O900" s="73"/>
      <c r="P900" s="72"/>
      <c r="Q900" s="73"/>
      <c r="R900" s="72"/>
      <c r="S900" s="73"/>
      <c r="T900" s="72"/>
      <c r="U900" s="73"/>
      <c r="V900" s="72"/>
      <c r="W900" s="73"/>
      <c r="X900" s="72"/>
      <c r="Y900" s="73"/>
      <c r="Z900" s="74" t="b">
        <v>0</v>
      </c>
      <c r="AA900" s="130">
        <f t="shared" si="355"/>
        <v>0</v>
      </c>
      <c r="AB900" s="131">
        <f t="shared" si="356"/>
        <v>0</v>
      </c>
      <c r="AC900" s="132">
        <f t="shared" si="357"/>
        <v>0</v>
      </c>
      <c r="AD900" s="133">
        <f t="shared" si="358"/>
        <v>0</v>
      </c>
      <c r="AE900" s="131">
        <f t="shared" si="359"/>
        <v>0</v>
      </c>
      <c r="AF900" s="133">
        <f t="shared" si="360"/>
        <v>0</v>
      </c>
      <c r="AG900" s="1"/>
    </row>
    <row r="901" ht="21.0" customHeight="1">
      <c r="A901" s="1"/>
      <c r="B901" s="48" t="s">
        <v>47</v>
      </c>
      <c r="C901" s="49"/>
      <c r="D901" s="91">
        <f t="array" ref="D901">iferror(vlookup(xlookup(B890,'현황'!O:O,'현황'!O:O,,-1,-1),'현황'!O:S,4,false),0)</f>
        <v>0</v>
      </c>
      <c r="E901" s="41"/>
      <c r="F901" s="92" t="s">
        <v>40</v>
      </c>
      <c r="G901" s="79"/>
      <c r="H901" s="93"/>
      <c r="I901" s="94"/>
      <c r="J901" s="95"/>
      <c r="K901" s="96"/>
      <c r="L901" s="95"/>
      <c r="M901" s="96"/>
      <c r="N901" s="95"/>
      <c r="O901" s="96"/>
      <c r="P901" s="95"/>
      <c r="Q901" s="96"/>
      <c r="R901" s="95"/>
      <c r="S901" s="96"/>
      <c r="T901" s="95"/>
      <c r="U901" s="96"/>
      <c r="V901" s="95"/>
      <c r="W901" s="96"/>
      <c r="X901" s="95"/>
      <c r="Y901" s="96"/>
      <c r="Z901" s="97" t="b">
        <v>0</v>
      </c>
      <c r="AA901" s="135">
        <f t="shared" si="355"/>
        <v>0</v>
      </c>
      <c r="AB901" s="136">
        <f t="shared" si="356"/>
        <v>0</v>
      </c>
      <c r="AC901" s="137">
        <f t="shared" si="357"/>
        <v>0</v>
      </c>
      <c r="AD901" s="138">
        <f t="shared" si="358"/>
        <v>0</v>
      </c>
      <c r="AE901" s="136">
        <f t="shared" si="359"/>
        <v>0</v>
      </c>
      <c r="AF901" s="138">
        <f t="shared" si="360"/>
        <v>0</v>
      </c>
      <c r="AG901" s="1"/>
    </row>
    <row r="902" ht="21.0" customHeight="1">
      <c r="A902" s="1"/>
      <c r="B902" s="102" t="s">
        <v>48</v>
      </c>
      <c r="C902" s="103"/>
      <c r="D902" s="104">
        <f>iferror(D901/D899,0)</f>
        <v>0</v>
      </c>
      <c r="E902" s="102" t="s">
        <v>49</v>
      </c>
      <c r="F902" s="103"/>
      <c r="G902" s="105"/>
      <c r="H902" s="143" t="s">
        <v>50</v>
      </c>
      <c r="I902" s="144"/>
      <c r="J902" s="11"/>
      <c r="K902" s="11"/>
      <c r="L902" s="11"/>
      <c r="M902" s="11"/>
      <c r="N902" s="11"/>
      <c r="O902" s="11"/>
      <c r="P902" s="145" t="s">
        <v>51</v>
      </c>
      <c r="Q902" s="12"/>
      <c r="R902" s="146"/>
      <c r="S902" s="11"/>
      <c r="T902" s="11"/>
      <c r="U902" s="11"/>
      <c r="V902" s="11"/>
      <c r="W902" s="11"/>
      <c r="X902" s="11"/>
      <c r="Y902" s="11"/>
      <c r="Z902" s="12"/>
      <c r="AA902" s="139">
        <f>SUM(AA893:AA901)</f>
        <v>0</v>
      </c>
      <c r="AB902" s="140" t="s">
        <v>217</v>
      </c>
      <c r="AG902" s="1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1"/>
      <c r="AA903" s="1"/>
      <c r="AB903" s="1"/>
      <c r="AC903" s="3"/>
      <c r="AD903" s="1"/>
      <c r="AE903" s="1"/>
      <c r="AF903" s="1"/>
      <c r="AG903" s="1"/>
    </row>
    <row r="904" ht="21.0" customHeight="1">
      <c r="A904" s="1"/>
      <c r="B904" s="4" t="s">
        <v>1</v>
      </c>
      <c r="C904" s="5"/>
      <c r="D904" s="6" t="s">
        <v>2</v>
      </c>
      <c r="E904" s="7"/>
      <c r="F904" s="7"/>
      <c r="G904" s="5"/>
      <c r="H904" s="8" t="s">
        <v>3</v>
      </c>
      <c r="I904" s="8" t="s">
        <v>4</v>
      </c>
      <c r="J904" s="9" t="s">
        <v>5</v>
      </c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5"/>
      <c r="AA904" s="117" t="s">
        <v>6</v>
      </c>
      <c r="AB904" s="11"/>
      <c r="AC904" s="11"/>
      <c r="AD904" s="11"/>
      <c r="AE904" s="11"/>
      <c r="AF904" s="12"/>
      <c r="AG904" s="1"/>
    </row>
    <row r="905" ht="21.0" customHeight="1">
      <c r="A905" s="1"/>
      <c r="B905" s="149" t="s">
        <v>138</v>
      </c>
      <c r="C905" s="14" t="str">
        <f>if(B905="0/0","",choose(weekday(B905),"(일)","(월)","(화)","(수)","(목)","(금)","(토)"))</f>
        <v/>
      </c>
      <c r="D905" s="15" t="s">
        <v>7</v>
      </c>
      <c r="E905" s="16" t="s">
        <v>8</v>
      </c>
      <c r="F905" s="17"/>
      <c r="G905" s="18" t="s">
        <v>9</v>
      </c>
      <c r="H905" s="150" t="s">
        <v>139</v>
      </c>
      <c r="I905" s="151"/>
      <c r="J905" s="21" t="s">
        <v>12</v>
      </c>
      <c r="K905" s="22"/>
      <c r="L905" s="21" t="s">
        <v>13</v>
      </c>
      <c r="M905" s="22"/>
      <c r="N905" s="21" t="s">
        <v>14</v>
      </c>
      <c r="O905" s="22"/>
      <c r="P905" s="21" t="s">
        <v>15</v>
      </c>
      <c r="Q905" s="22"/>
      <c r="R905" s="23" t="s">
        <v>16</v>
      </c>
      <c r="S905" s="22"/>
      <c r="T905" s="23" t="s">
        <v>17</v>
      </c>
      <c r="U905" s="22"/>
      <c r="V905" s="23" t="s">
        <v>18</v>
      </c>
      <c r="W905" s="22"/>
      <c r="X905" s="23" t="s">
        <v>19</v>
      </c>
      <c r="Y905" s="22"/>
      <c r="Z905" s="24" t="s">
        <v>218</v>
      </c>
      <c r="AA905" s="118" t="s">
        <v>21</v>
      </c>
      <c r="AB905" s="119" t="s">
        <v>22</v>
      </c>
      <c r="AC905" s="7"/>
      <c r="AD905" s="22"/>
      <c r="AE905" s="120" t="s">
        <v>23</v>
      </c>
      <c r="AF905" s="22"/>
      <c r="AG905" s="1"/>
    </row>
    <row r="906" ht="21.0" customHeight="1">
      <c r="A906" s="1"/>
      <c r="B906" s="27">
        <f>iferror(B905-'현황'!$C$4+1,0)</f>
        <v>0</v>
      </c>
      <c r="C906" s="28"/>
      <c r="D906" s="29">
        <v>0.0</v>
      </c>
      <c r="E906" s="30">
        <v>0.0</v>
      </c>
      <c r="F906" s="31"/>
      <c r="G906" s="32">
        <v>0.0</v>
      </c>
      <c r="H906" s="33">
        <v>0.0</v>
      </c>
      <c r="I906" s="34"/>
      <c r="J906" s="35"/>
      <c r="K906" s="36"/>
      <c r="L906" s="35"/>
      <c r="M906" s="36"/>
      <c r="N906" s="35"/>
      <c r="O906" s="36"/>
      <c r="P906" s="35"/>
      <c r="Q906" s="36"/>
      <c r="R906" s="35"/>
      <c r="S906" s="36"/>
      <c r="T906" s="35"/>
      <c r="U906" s="36"/>
      <c r="V906" s="35"/>
      <c r="W906" s="36"/>
      <c r="X906" s="35"/>
      <c r="Y906" s="36"/>
      <c r="Z906" s="37"/>
      <c r="AA906" s="37"/>
      <c r="AB906" s="35"/>
      <c r="AC906" s="38"/>
      <c r="AD906" s="36"/>
      <c r="AE906" s="35"/>
      <c r="AF906" s="36"/>
      <c r="AG906" s="1"/>
    </row>
    <row r="907" ht="21.0" customHeight="1">
      <c r="A907" s="1"/>
      <c r="B907" s="39" t="s">
        <v>24</v>
      </c>
      <c r="C907" s="40"/>
      <c r="D907" s="41"/>
      <c r="E907" s="42" t="s">
        <v>25</v>
      </c>
      <c r="F907" s="40"/>
      <c r="G907" s="41"/>
      <c r="H907" s="43" t="s">
        <v>26</v>
      </c>
      <c r="J907" s="44" t="s">
        <v>27</v>
      </c>
      <c r="K907" s="45" t="s">
        <v>28</v>
      </c>
      <c r="L907" s="44" t="s">
        <v>27</v>
      </c>
      <c r="M907" s="45" t="s">
        <v>28</v>
      </c>
      <c r="N907" s="44" t="s">
        <v>27</v>
      </c>
      <c r="O907" s="45" t="s">
        <v>28</v>
      </c>
      <c r="P907" s="44" t="s">
        <v>27</v>
      </c>
      <c r="Q907" s="45" t="s">
        <v>28</v>
      </c>
      <c r="R907" s="44" t="s">
        <v>27</v>
      </c>
      <c r="S907" s="45" t="s">
        <v>28</v>
      </c>
      <c r="T907" s="44" t="s">
        <v>27</v>
      </c>
      <c r="U907" s="45" t="s">
        <v>28</v>
      </c>
      <c r="V907" s="44" t="s">
        <v>27</v>
      </c>
      <c r="W907" s="45" t="s">
        <v>28</v>
      </c>
      <c r="X907" s="44" t="s">
        <v>27</v>
      </c>
      <c r="Y907" s="45" t="s">
        <v>28</v>
      </c>
      <c r="Z907" s="46"/>
      <c r="AA907" s="46"/>
      <c r="AB907" s="121" t="s">
        <v>29</v>
      </c>
      <c r="AC907" s="122" t="s">
        <v>30</v>
      </c>
      <c r="AD907" s="123" t="s">
        <v>31</v>
      </c>
      <c r="AE907" s="121" t="s">
        <v>27</v>
      </c>
      <c r="AF907" s="123" t="s">
        <v>28</v>
      </c>
      <c r="AG907" s="1"/>
    </row>
    <row r="908" ht="21.0" customHeight="1">
      <c r="A908" s="1"/>
      <c r="B908" s="48" t="s">
        <v>32</v>
      </c>
      <c r="C908" s="49"/>
      <c r="D908" s="50"/>
      <c r="E908" s="51" t="s">
        <v>33</v>
      </c>
      <c r="F908" s="52" t="s">
        <v>34</v>
      </c>
      <c r="G908" s="53"/>
      <c r="H908" s="148"/>
      <c r="I908" s="55"/>
      <c r="J908" s="58"/>
      <c r="K908" s="59"/>
      <c r="L908" s="58"/>
      <c r="M908" s="59"/>
      <c r="N908" s="58"/>
      <c r="O908" s="59"/>
      <c r="P908" s="58"/>
      <c r="Q908" s="59"/>
      <c r="R908" s="58"/>
      <c r="S908" s="59"/>
      <c r="T908" s="58"/>
      <c r="U908" s="59"/>
      <c r="V908" s="58"/>
      <c r="W908" s="59"/>
      <c r="X908" s="58"/>
      <c r="Y908" s="59"/>
      <c r="Z908" s="60" t="b">
        <v>0</v>
      </c>
      <c r="AA908" s="125">
        <f t="shared" ref="AA908:AA916" si="361">(J908*K908+L908*M908+N908*O908+P908*Q908+R908*S908+T908*U908+V908*W908+X908*Y908)*if(Z908=true,0.453592,1)</f>
        <v>0</v>
      </c>
      <c r="AB908" s="126">
        <f t="shared" ref="AB908:AB916" si="362">SUM(AE908*AF908*0.025,AE908)</f>
        <v>0</v>
      </c>
      <c r="AC908" s="127">
        <f t="shared" ref="AC908:AC916" si="363">AB908*87%</f>
        <v>0</v>
      </c>
      <c r="AD908" s="128">
        <f t="shared" ref="AD908:AD916" si="364">AB908*67%</f>
        <v>0</v>
      </c>
      <c r="AE908" s="126">
        <f t="shared" ref="AE908:AE916" si="365">MAX(J908,L908,N908,P908,R908,T908,V908,X908)*if(Z908=true,0.453592,1)</f>
        <v>0</v>
      </c>
      <c r="AF908" s="128">
        <f t="shared" ref="AF908:AF916" si="366">MAX(IF(J908*if(Z908=true,0.453592,1)=$AE908,K908,0),IF(L908*if(Z908=true,0.453592,1)=$AE908,M908,0),IF(N908*if(Z908=true,0.453592,1)=$AE908,O908,0),IF(P908*if(Z908=true,0.453592,1)=$AE908,Q908,0),IF(R908*if(Z908=true,0.453592,1)=$AE908,S908,0),IF(T908*if(Z908=true,0.453592,1)=$AE908,U908,0),IF(V908*if(Z908=true,0.453592,1)=$AE908,W908,0),IF(X908*if(Z908=true,0.453592,1)=$AE908,Y908,0))</f>
        <v>0</v>
      </c>
      <c r="AG908" s="1"/>
    </row>
    <row r="909" ht="21.0" customHeight="1">
      <c r="A909" s="1"/>
      <c r="B909" s="48" t="s">
        <v>36</v>
      </c>
      <c r="C909" s="49"/>
      <c r="D909" s="65"/>
      <c r="E909" s="66"/>
      <c r="F909" s="52" t="s">
        <v>37</v>
      </c>
      <c r="G909" s="67"/>
      <c r="H909" s="129"/>
      <c r="I909" s="69"/>
      <c r="J909" s="72"/>
      <c r="K909" s="73"/>
      <c r="L909" s="72"/>
      <c r="M909" s="73"/>
      <c r="N909" s="72"/>
      <c r="O909" s="73"/>
      <c r="P909" s="72"/>
      <c r="Q909" s="73"/>
      <c r="R909" s="72"/>
      <c r="S909" s="73"/>
      <c r="T909" s="72"/>
      <c r="U909" s="73"/>
      <c r="V909" s="72"/>
      <c r="W909" s="73"/>
      <c r="X909" s="72"/>
      <c r="Y909" s="73"/>
      <c r="Z909" s="74" t="b">
        <v>0</v>
      </c>
      <c r="AA909" s="130">
        <f t="shared" si="361"/>
        <v>0</v>
      </c>
      <c r="AB909" s="131">
        <f t="shared" si="362"/>
        <v>0</v>
      </c>
      <c r="AC909" s="132">
        <f t="shared" si="363"/>
        <v>0</v>
      </c>
      <c r="AD909" s="133">
        <f t="shared" si="364"/>
        <v>0</v>
      </c>
      <c r="AE909" s="131">
        <f t="shared" si="365"/>
        <v>0</v>
      </c>
      <c r="AF909" s="133">
        <f t="shared" si="366"/>
        <v>0</v>
      </c>
      <c r="AG909" s="1"/>
    </row>
    <row r="910" ht="21.0" customHeight="1">
      <c r="A910" s="1"/>
      <c r="B910" s="48" t="s">
        <v>39</v>
      </c>
      <c r="C910" s="49"/>
      <c r="D910" s="65"/>
      <c r="E910" s="41"/>
      <c r="F910" s="52" t="s">
        <v>40</v>
      </c>
      <c r="G910" s="79"/>
      <c r="H910" s="80"/>
      <c r="I910" s="69"/>
      <c r="J910" s="72"/>
      <c r="K910" s="73"/>
      <c r="L910" s="72"/>
      <c r="M910" s="73"/>
      <c r="N910" s="72"/>
      <c r="O910" s="73"/>
      <c r="P910" s="72"/>
      <c r="Q910" s="73"/>
      <c r="R910" s="72"/>
      <c r="S910" s="73"/>
      <c r="T910" s="72"/>
      <c r="U910" s="73"/>
      <c r="V910" s="72"/>
      <c r="W910" s="73"/>
      <c r="X910" s="72"/>
      <c r="Y910" s="73"/>
      <c r="Z910" s="74" t="b">
        <v>0</v>
      </c>
      <c r="AA910" s="130">
        <f t="shared" si="361"/>
        <v>0</v>
      </c>
      <c r="AB910" s="131">
        <f t="shared" si="362"/>
        <v>0</v>
      </c>
      <c r="AC910" s="132">
        <f t="shared" si="363"/>
        <v>0</v>
      </c>
      <c r="AD910" s="133">
        <f t="shared" si="364"/>
        <v>0</v>
      </c>
      <c r="AE910" s="131">
        <f t="shared" si="365"/>
        <v>0</v>
      </c>
      <c r="AF910" s="133">
        <f t="shared" si="366"/>
        <v>0</v>
      </c>
      <c r="AG910" s="1"/>
    </row>
    <row r="911" ht="21.0" customHeight="1">
      <c r="A911" s="1"/>
      <c r="B911" s="48" t="s">
        <v>41</v>
      </c>
      <c r="C911" s="81"/>
      <c r="D911" s="82" t="b">
        <v>0</v>
      </c>
      <c r="E911" s="51" t="s">
        <v>42</v>
      </c>
      <c r="F911" s="52" t="s">
        <v>34</v>
      </c>
      <c r="G911" s="83"/>
      <c r="H911" s="84"/>
      <c r="I911" s="85"/>
      <c r="J911" s="72"/>
      <c r="K911" s="73"/>
      <c r="L911" s="72"/>
      <c r="M911" s="73"/>
      <c r="N911" s="72"/>
      <c r="O911" s="73"/>
      <c r="P911" s="72"/>
      <c r="Q911" s="73"/>
      <c r="R911" s="72"/>
      <c r="S911" s="73"/>
      <c r="T911" s="72"/>
      <c r="U911" s="73"/>
      <c r="V911" s="72"/>
      <c r="W911" s="73"/>
      <c r="X911" s="72"/>
      <c r="Y911" s="73"/>
      <c r="Z911" s="74" t="b">
        <v>0</v>
      </c>
      <c r="AA911" s="130">
        <f t="shared" si="361"/>
        <v>0</v>
      </c>
      <c r="AB911" s="131">
        <f t="shared" si="362"/>
        <v>0</v>
      </c>
      <c r="AC911" s="132">
        <f t="shared" si="363"/>
        <v>0</v>
      </c>
      <c r="AD911" s="133">
        <f t="shared" si="364"/>
        <v>0</v>
      </c>
      <c r="AE911" s="131">
        <f t="shared" si="365"/>
        <v>0</v>
      </c>
      <c r="AF911" s="133">
        <f t="shared" si="366"/>
        <v>0</v>
      </c>
      <c r="AG911" s="1"/>
    </row>
    <row r="912" ht="21.0" customHeight="1">
      <c r="A912" s="1"/>
      <c r="B912" s="48" t="s">
        <v>43</v>
      </c>
      <c r="C912" s="49"/>
      <c r="D912" s="86" t="b">
        <v>0</v>
      </c>
      <c r="E912" s="66"/>
      <c r="F912" s="52" t="s">
        <v>37</v>
      </c>
      <c r="G912" s="67"/>
      <c r="H912" s="80"/>
      <c r="I912" s="69"/>
      <c r="J912" s="72"/>
      <c r="K912" s="73"/>
      <c r="L912" s="72"/>
      <c r="M912" s="73"/>
      <c r="N912" s="72"/>
      <c r="O912" s="73"/>
      <c r="P912" s="72"/>
      <c r="Q912" s="73"/>
      <c r="R912" s="72"/>
      <c r="S912" s="73"/>
      <c r="T912" s="72"/>
      <c r="U912" s="73"/>
      <c r="V912" s="72"/>
      <c r="W912" s="73"/>
      <c r="X912" s="72"/>
      <c r="Y912" s="73"/>
      <c r="Z912" s="74" t="b">
        <v>0</v>
      </c>
      <c r="AA912" s="130">
        <f t="shared" si="361"/>
        <v>0</v>
      </c>
      <c r="AB912" s="131">
        <f t="shared" si="362"/>
        <v>0</v>
      </c>
      <c r="AC912" s="132">
        <f t="shared" si="363"/>
        <v>0</v>
      </c>
      <c r="AD912" s="133">
        <f t="shared" si="364"/>
        <v>0</v>
      </c>
      <c r="AE912" s="131">
        <f t="shared" si="365"/>
        <v>0</v>
      </c>
      <c r="AF912" s="133">
        <f t="shared" si="366"/>
        <v>0</v>
      </c>
      <c r="AG912" s="1"/>
    </row>
    <row r="913" ht="21.0" customHeight="1">
      <c r="A913" s="1"/>
      <c r="B913" s="87" t="str">
        <f t="array" ref="B913">"📌최근 인바디 결과 : "&amp;text(xlookup(B905,'현황'!O:O,'현황'!O:O,,-1,-1),"m/d(ddd)")</f>
        <v>#REF!</v>
      </c>
      <c r="C913" s="88"/>
      <c r="D913" s="49"/>
      <c r="E913" s="41"/>
      <c r="F913" s="52" t="s">
        <v>40</v>
      </c>
      <c r="G913" s="79"/>
      <c r="H913" s="80"/>
      <c r="I913" s="69"/>
      <c r="J913" s="72"/>
      <c r="K913" s="73"/>
      <c r="L913" s="72"/>
      <c r="M913" s="73"/>
      <c r="N913" s="72"/>
      <c r="O913" s="73"/>
      <c r="P913" s="72"/>
      <c r="Q913" s="73"/>
      <c r="R913" s="72"/>
      <c r="S913" s="73"/>
      <c r="T913" s="72"/>
      <c r="U913" s="73"/>
      <c r="V913" s="72"/>
      <c r="W913" s="73"/>
      <c r="X913" s="72"/>
      <c r="Y913" s="73"/>
      <c r="Z913" s="74" t="b">
        <v>0</v>
      </c>
      <c r="AA913" s="130">
        <f t="shared" si="361"/>
        <v>0</v>
      </c>
      <c r="AB913" s="131">
        <f t="shared" si="362"/>
        <v>0</v>
      </c>
      <c r="AC913" s="132">
        <f t="shared" si="363"/>
        <v>0</v>
      </c>
      <c r="AD913" s="133">
        <f t="shared" si="364"/>
        <v>0</v>
      </c>
      <c r="AE913" s="131">
        <f t="shared" si="365"/>
        <v>0</v>
      </c>
      <c r="AF913" s="133">
        <f t="shared" si="366"/>
        <v>0</v>
      </c>
      <c r="AG913" s="1"/>
    </row>
    <row r="914" ht="21.0" customHeight="1">
      <c r="A914" s="1"/>
      <c r="B914" s="89" t="s">
        <v>44</v>
      </c>
      <c r="C914" s="49"/>
      <c r="D914" s="90">
        <f t="array" ref="D914">iferror(vlookup(xlookup(B905,'현황'!O:O,'현황'!O:O,,-1,-1),'현황'!O:S,2,false),0)</f>
        <v>0</v>
      </c>
      <c r="E914" s="51" t="s">
        <v>45</v>
      </c>
      <c r="F914" s="52" t="s">
        <v>34</v>
      </c>
      <c r="G914" s="83"/>
      <c r="H914" s="84"/>
      <c r="I914" s="85"/>
      <c r="J914" s="72"/>
      <c r="K914" s="73"/>
      <c r="L914" s="72"/>
      <c r="M914" s="73"/>
      <c r="N914" s="72"/>
      <c r="O914" s="73"/>
      <c r="P914" s="72"/>
      <c r="Q914" s="73"/>
      <c r="R914" s="72"/>
      <c r="S914" s="73"/>
      <c r="T914" s="72"/>
      <c r="U914" s="73"/>
      <c r="V914" s="72"/>
      <c r="W914" s="73"/>
      <c r="X914" s="72"/>
      <c r="Y914" s="73"/>
      <c r="Z914" s="74" t="b">
        <v>0</v>
      </c>
      <c r="AA914" s="130">
        <f t="shared" si="361"/>
        <v>0</v>
      </c>
      <c r="AB914" s="131">
        <f t="shared" si="362"/>
        <v>0</v>
      </c>
      <c r="AC914" s="132">
        <f t="shared" si="363"/>
        <v>0</v>
      </c>
      <c r="AD914" s="133">
        <f t="shared" si="364"/>
        <v>0</v>
      </c>
      <c r="AE914" s="131">
        <f t="shared" si="365"/>
        <v>0</v>
      </c>
      <c r="AF914" s="133">
        <f t="shared" si="366"/>
        <v>0</v>
      </c>
      <c r="AG914" s="1"/>
    </row>
    <row r="915" ht="21.0" customHeight="1">
      <c r="A915" s="1"/>
      <c r="B915" s="48" t="s">
        <v>46</v>
      </c>
      <c r="C915" s="49"/>
      <c r="D915" s="91">
        <f t="array" ref="D915">iferror(vlookup(xlookup(B905,'현황'!O:O,'현황'!O:O,,-1,-1),'현황'!O:S,3,false),0)</f>
        <v>0</v>
      </c>
      <c r="E915" s="66"/>
      <c r="F915" s="52" t="s">
        <v>37</v>
      </c>
      <c r="G915" s="67"/>
      <c r="H915" s="80"/>
      <c r="I915" s="69"/>
      <c r="J915" s="72"/>
      <c r="K915" s="73"/>
      <c r="L915" s="72"/>
      <c r="M915" s="73"/>
      <c r="N915" s="72"/>
      <c r="O915" s="73"/>
      <c r="P915" s="72"/>
      <c r="Q915" s="73"/>
      <c r="R915" s="72"/>
      <c r="S915" s="73"/>
      <c r="T915" s="72"/>
      <c r="U915" s="73"/>
      <c r="V915" s="72"/>
      <c r="W915" s="73"/>
      <c r="X915" s="72"/>
      <c r="Y915" s="73"/>
      <c r="Z915" s="74" t="b">
        <v>0</v>
      </c>
      <c r="AA915" s="130">
        <f t="shared" si="361"/>
        <v>0</v>
      </c>
      <c r="AB915" s="131">
        <f t="shared" si="362"/>
        <v>0</v>
      </c>
      <c r="AC915" s="132">
        <f t="shared" si="363"/>
        <v>0</v>
      </c>
      <c r="AD915" s="133">
        <f t="shared" si="364"/>
        <v>0</v>
      </c>
      <c r="AE915" s="131">
        <f t="shared" si="365"/>
        <v>0</v>
      </c>
      <c r="AF915" s="133">
        <f t="shared" si="366"/>
        <v>0</v>
      </c>
      <c r="AG915" s="1"/>
    </row>
    <row r="916" ht="21.0" customHeight="1">
      <c r="A916" s="1"/>
      <c r="B916" s="48" t="s">
        <v>47</v>
      </c>
      <c r="C916" s="49"/>
      <c r="D916" s="91">
        <f t="array" ref="D916">iferror(vlookup(xlookup(B905,'현황'!O:O,'현황'!O:O,,-1,-1),'현황'!O:S,4,false),0)</f>
        <v>0</v>
      </c>
      <c r="E916" s="41"/>
      <c r="F916" s="92" t="s">
        <v>40</v>
      </c>
      <c r="G916" s="79"/>
      <c r="H916" s="93"/>
      <c r="I916" s="94"/>
      <c r="J916" s="95"/>
      <c r="K916" s="96"/>
      <c r="L916" s="95"/>
      <c r="M916" s="96"/>
      <c r="N916" s="95"/>
      <c r="O916" s="96"/>
      <c r="P916" s="95"/>
      <c r="Q916" s="96"/>
      <c r="R916" s="95"/>
      <c r="S916" s="96"/>
      <c r="T916" s="95"/>
      <c r="U916" s="96"/>
      <c r="V916" s="95"/>
      <c r="W916" s="96"/>
      <c r="X916" s="95"/>
      <c r="Y916" s="96"/>
      <c r="Z916" s="97" t="b">
        <v>0</v>
      </c>
      <c r="AA916" s="135">
        <f t="shared" si="361"/>
        <v>0</v>
      </c>
      <c r="AB916" s="136">
        <f t="shared" si="362"/>
        <v>0</v>
      </c>
      <c r="AC916" s="137">
        <f t="shared" si="363"/>
        <v>0</v>
      </c>
      <c r="AD916" s="138">
        <f t="shared" si="364"/>
        <v>0</v>
      </c>
      <c r="AE916" s="136">
        <f t="shared" si="365"/>
        <v>0</v>
      </c>
      <c r="AF916" s="138">
        <f t="shared" si="366"/>
        <v>0</v>
      </c>
      <c r="AG916" s="1"/>
    </row>
    <row r="917" ht="21.0" customHeight="1">
      <c r="A917" s="1"/>
      <c r="B917" s="102" t="s">
        <v>48</v>
      </c>
      <c r="C917" s="103"/>
      <c r="D917" s="104">
        <f>iferror(D916/D914,0)</f>
        <v>0</v>
      </c>
      <c r="E917" s="102" t="s">
        <v>49</v>
      </c>
      <c r="F917" s="103"/>
      <c r="G917" s="105"/>
      <c r="H917" s="106" t="s">
        <v>50</v>
      </c>
      <c r="I917" s="107"/>
      <c r="J917" s="11"/>
      <c r="K917" s="11"/>
      <c r="L917" s="11"/>
      <c r="M917" s="11"/>
      <c r="N917" s="11"/>
      <c r="O917" s="11"/>
      <c r="P917" s="108" t="s">
        <v>51</v>
      </c>
      <c r="Q917" s="12"/>
      <c r="R917" s="109"/>
      <c r="S917" s="11"/>
      <c r="T917" s="11"/>
      <c r="U917" s="11"/>
      <c r="V917" s="11"/>
      <c r="W917" s="11"/>
      <c r="X917" s="11"/>
      <c r="Y917" s="11"/>
      <c r="Z917" s="12"/>
      <c r="AA917" s="139">
        <f>SUM(AA908:AA916)</f>
        <v>0</v>
      </c>
      <c r="AB917" s="140" t="s">
        <v>219</v>
      </c>
      <c r="AG917" s="1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1"/>
      <c r="AA918" s="1"/>
      <c r="AB918" s="1"/>
      <c r="AC918" s="3"/>
      <c r="AD918" s="1"/>
      <c r="AE918" s="1"/>
      <c r="AF918" s="1"/>
      <c r="AG918" s="1"/>
    </row>
    <row r="919" ht="21.0" customHeight="1">
      <c r="A919" s="1"/>
      <c r="B919" s="4" t="s">
        <v>1</v>
      </c>
      <c r="C919" s="5"/>
      <c r="D919" s="6" t="s">
        <v>2</v>
      </c>
      <c r="E919" s="7"/>
      <c r="F919" s="7"/>
      <c r="G919" s="5"/>
      <c r="H919" s="8" t="s">
        <v>3</v>
      </c>
      <c r="I919" s="8" t="s">
        <v>4</v>
      </c>
      <c r="J919" s="9" t="s">
        <v>5</v>
      </c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5"/>
      <c r="AA919" s="117" t="s">
        <v>6</v>
      </c>
      <c r="AB919" s="11"/>
      <c r="AC919" s="11"/>
      <c r="AD919" s="11"/>
      <c r="AE919" s="11"/>
      <c r="AF919" s="12"/>
      <c r="AG919" s="1"/>
    </row>
    <row r="920" ht="21.0" customHeight="1">
      <c r="A920" s="1"/>
      <c r="B920" s="149" t="s">
        <v>138</v>
      </c>
      <c r="C920" s="14" t="str">
        <f>if(B920="0/0","",choose(weekday(B920),"(일)","(월)","(화)","(수)","(목)","(금)","(토)"))</f>
        <v/>
      </c>
      <c r="D920" s="15" t="s">
        <v>7</v>
      </c>
      <c r="E920" s="16" t="s">
        <v>8</v>
      </c>
      <c r="F920" s="17"/>
      <c r="G920" s="18" t="s">
        <v>9</v>
      </c>
      <c r="H920" s="150" t="s">
        <v>139</v>
      </c>
      <c r="I920" s="151"/>
      <c r="J920" s="21" t="s">
        <v>12</v>
      </c>
      <c r="K920" s="22"/>
      <c r="L920" s="21" t="s">
        <v>13</v>
      </c>
      <c r="M920" s="22"/>
      <c r="N920" s="21" t="s">
        <v>14</v>
      </c>
      <c r="O920" s="22"/>
      <c r="P920" s="21" t="s">
        <v>15</v>
      </c>
      <c r="Q920" s="22"/>
      <c r="R920" s="23" t="s">
        <v>16</v>
      </c>
      <c r="S920" s="22"/>
      <c r="T920" s="23" t="s">
        <v>17</v>
      </c>
      <c r="U920" s="22"/>
      <c r="V920" s="23" t="s">
        <v>18</v>
      </c>
      <c r="W920" s="22"/>
      <c r="X920" s="23" t="s">
        <v>19</v>
      </c>
      <c r="Y920" s="22"/>
      <c r="Z920" s="24" t="s">
        <v>220</v>
      </c>
      <c r="AA920" s="118" t="s">
        <v>21</v>
      </c>
      <c r="AB920" s="119" t="s">
        <v>22</v>
      </c>
      <c r="AC920" s="7"/>
      <c r="AD920" s="22"/>
      <c r="AE920" s="120" t="s">
        <v>23</v>
      </c>
      <c r="AF920" s="22"/>
      <c r="AG920" s="1"/>
    </row>
    <row r="921" ht="21.0" customHeight="1">
      <c r="A921" s="1"/>
      <c r="B921" s="27">
        <f>iferror(B920-'현황'!$C$4+1,0)</f>
        <v>0</v>
      </c>
      <c r="C921" s="28"/>
      <c r="D921" s="29">
        <v>0.0</v>
      </c>
      <c r="E921" s="30">
        <v>0.0</v>
      </c>
      <c r="F921" s="31"/>
      <c r="G921" s="32">
        <v>0.0</v>
      </c>
      <c r="H921" s="33">
        <v>0.0</v>
      </c>
      <c r="I921" s="34"/>
      <c r="J921" s="35"/>
      <c r="K921" s="36"/>
      <c r="L921" s="35"/>
      <c r="M921" s="36"/>
      <c r="N921" s="35"/>
      <c r="O921" s="36"/>
      <c r="P921" s="35"/>
      <c r="Q921" s="36"/>
      <c r="R921" s="35"/>
      <c r="S921" s="36"/>
      <c r="T921" s="35"/>
      <c r="U921" s="36"/>
      <c r="V921" s="35"/>
      <c r="W921" s="36"/>
      <c r="X921" s="35"/>
      <c r="Y921" s="36"/>
      <c r="Z921" s="37"/>
      <c r="AA921" s="37"/>
      <c r="AB921" s="35"/>
      <c r="AC921" s="38"/>
      <c r="AD921" s="36"/>
      <c r="AE921" s="35"/>
      <c r="AF921" s="36"/>
      <c r="AG921" s="1"/>
    </row>
    <row r="922" ht="21.0" customHeight="1">
      <c r="A922" s="1"/>
      <c r="B922" s="39" t="s">
        <v>24</v>
      </c>
      <c r="C922" s="40"/>
      <c r="D922" s="41"/>
      <c r="E922" s="42" t="s">
        <v>25</v>
      </c>
      <c r="F922" s="40"/>
      <c r="G922" s="41"/>
      <c r="H922" s="43" t="s">
        <v>26</v>
      </c>
      <c r="J922" s="44" t="s">
        <v>27</v>
      </c>
      <c r="K922" s="45" t="s">
        <v>28</v>
      </c>
      <c r="L922" s="44" t="s">
        <v>27</v>
      </c>
      <c r="M922" s="45" t="s">
        <v>28</v>
      </c>
      <c r="N922" s="44" t="s">
        <v>27</v>
      </c>
      <c r="O922" s="45" t="s">
        <v>28</v>
      </c>
      <c r="P922" s="44" t="s">
        <v>27</v>
      </c>
      <c r="Q922" s="45" t="s">
        <v>28</v>
      </c>
      <c r="R922" s="44" t="s">
        <v>27</v>
      </c>
      <c r="S922" s="45" t="s">
        <v>28</v>
      </c>
      <c r="T922" s="44" t="s">
        <v>27</v>
      </c>
      <c r="U922" s="45" t="s">
        <v>28</v>
      </c>
      <c r="V922" s="44" t="s">
        <v>27</v>
      </c>
      <c r="W922" s="45" t="s">
        <v>28</v>
      </c>
      <c r="X922" s="44" t="s">
        <v>27</v>
      </c>
      <c r="Y922" s="45" t="s">
        <v>28</v>
      </c>
      <c r="Z922" s="46"/>
      <c r="AA922" s="46"/>
      <c r="AB922" s="121" t="s">
        <v>29</v>
      </c>
      <c r="AC922" s="122" t="s">
        <v>30</v>
      </c>
      <c r="AD922" s="123" t="s">
        <v>31</v>
      </c>
      <c r="AE922" s="121" t="s">
        <v>27</v>
      </c>
      <c r="AF922" s="123" t="s">
        <v>28</v>
      </c>
      <c r="AG922" s="1"/>
    </row>
    <row r="923" ht="21.0" customHeight="1">
      <c r="A923" s="1"/>
      <c r="B923" s="48" t="s">
        <v>32</v>
      </c>
      <c r="C923" s="49"/>
      <c r="D923" s="50"/>
      <c r="E923" s="51" t="s">
        <v>33</v>
      </c>
      <c r="F923" s="52" t="s">
        <v>34</v>
      </c>
      <c r="G923" s="53"/>
      <c r="H923" s="148"/>
      <c r="I923" s="55"/>
      <c r="J923" s="58"/>
      <c r="K923" s="59"/>
      <c r="L923" s="58"/>
      <c r="M923" s="59"/>
      <c r="N923" s="58"/>
      <c r="O923" s="59"/>
      <c r="P923" s="58"/>
      <c r="Q923" s="59"/>
      <c r="R923" s="58"/>
      <c r="S923" s="59"/>
      <c r="T923" s="58"/>
      <c r="U923" s="59"/>
      <c r="V923" s="58"/>
      <c r="W923" s="59"/>
      <c r="X923" s="58"/>
      <c r="Y923" s="59"/>
      <c r="Z923" s="60" t="b">
        <v>0</v>
      </c>
      <c r="AA923" s="125">
        <f t="shared" ref="AA923:AA931" si="367">(J923*K923+L923*M923+N923*O923+P923*Q923+R923*S923+T923*U923+V923*W923+X923*Y923)*if(Z923=true,0.453592,1)</f>
        <v>0</v>
      </c>
      <c r="AB923" s="126">
        <f t="shared" ref="AB923:AB931" si="368">SUM(AE923*AF923*0.025,AE923)</f>
        <v>0</v>
      </c>
      <c r="AC923" s="127">
        <f t="shared" ref="AC923:AC931" si="369">AB923*87%</f>
        <v>0</v>
      </c>
      <c r="AD923" s="128">
        <f t="shared" ref="AD923:AD931" si="370">AB923*67%</f>
        <v>0</v>
      </c>
      <c r="AE923" s="126">
        <f t="shared" ref="AE923:AE931" si="371">MAX(J923,L923,N923,P923,R923,T923,V923,X923)*if(Z923=true,0.453592,1)</f>
        <v>0</v>
      </c>
      <c r="AF923" s="128">
        <f t="shared" ref="AF923:AF931" si="372">MAX(IF(J923*if(Z923=true,0.453592,1)=$AE923,K923,0),IF(L923*if(Z923=true,0.453592,1)=$AE923,M923,0),IF(N923*if(Z923=true,0.453592,1)=$AE923,O923,0),IF(P923*if(Z923=true,0.453592,1)=$AE923,Q923,0),IF(R923*if(Z923=true,0.453592,1)=$AE923,S923,0),IF(T923*if(Z923=true,0.453592,1)=$AE923,U923,0),IF(V923*if(Z923=true,0.453592,1)=$AE923,W923,0),IF(X923*if(Z923=true,0.453592,1)=$AE923,Y923,0))</f>
        <v>0</v>
      </c>
      <c r="AG923" s="1"/>
    </row>
    <row r="924" ht="21.0" customHeight="1">
      <c r="A924" s="1"/>
      <c r="B924" s="48" t="s">
        <v>36</v>
      </c>
      <c r="C924" s="49"/>
      <c r="D924" s="65"/>
      <c r="E924" s="66"/>
      <c r="F924" s="52" t="s">
        <v>37</v>
      </c>
      <c r="G924" s="67"/>
      <c r="H924" s="129"/>
      <c r="I924" s="69"/>
      <c r="J924" s="72"/>
      <c r="K924" s="73"/>
      <c r="L924" s="72"/>
      <c r="M924" s="73"/>
      <c r="N924" s="72"/>
      <c r="O924" s="73"/>
      <c r="P924" s="72"/>
      <c r="Q924" s="73"/>
      <c r="R924" s="72"/>
      <c r="S924" s="73"/>
      <c r="T924" s="72"/>
      <c r="U924" s="73"/>
      <c r="V924" s="72"/>
      <c r="W924" s="73"/>
      <c r="X924" s="72"/>
      <c r="Y924" s="73"/>
      <c r="Z924" s="74" t="b">
        <v>0</v>
      </c>
      <c r="AA924" s="130">
        <f t="shared" si="367"/>
        <v>0</v>
      </c>
      <c r="AB924" s="131">
        <f t="shared" si="368"/>
        <v>0</v>
      </c>
      <c r="AC924" s="132">
        <f t="shared" si="369"/>
        <v>0</v>
      </c>
      <c r="AD924" s="133">
        <f t="shared" si="370"/>
        <v>0</v>
      </c>
      <c r="AE924" s="131">
        <f t="shared" si="371"/>
        <v>0</v>
      </c>
      <c r="AF924" s="133">
        <f t="shared" si="372"/>
        <v>0</v>
      </c>
      <c r="AG924" s="1"/>
    </row>
    <row r="925" ht="21.0" customHeight="1">
      <c r="A925" s="1"/>
      <c r="B925" s="48" t="s">
        <v>39</v>
      </c>
      <c r="C925" s="49"/>
      <c r="D925" s="65"/>
      <c r="E925" s="41"/>
      <c r="F925" s="52" t="s">
        <v>40</v>
      </c>
      <c r="G925" s="79"/>
      <c r="H925" s="80"/>
      <c r="I925" s="69"/>
      <c r="J925" s="72"/>
      <c r="K925" s="73"/>
      <c r="L925" s="72"/>
      <c r="M925" s="73"/>
      <c r="N925" s="72"/>
      <c r="O925" s="73"/>
      <c r="P925" s="72"/>
      <c r="Q925" s="73"/>
      <c r="R925" s="72"/>
      <c r="S925" s="73"/>
      <c r="T925" s="72"/>
      <c r="U925" s="73"/>
      <c r="V925" s="72"/>
      <c r="W925" s="73"/>
      <c r="X925" s="72"/>
      <c r="Y925" s="73"/>
      <c r="Z925" s="74" t="b">
        <v>0</v>
      </c>
      <c r="AA925" s="130">
        <f t="shared" si="367"/>
        <v>0</v>
      </c>
      <c r="AB925" s="131">
        <f t="shared" si="368"/>
        <v>0</v>
      </c>
      <c r="AC925" s="132">
        <f t="shared" si="369"/>
        <v>0</v>
      </c>
      <c r="AD925" s="133">
        <f t="shared" si="370"/>
        <v>0</v>
      </c>
      <c r="AE925" s="131">
        <f t="shared" si="371"/>
        <v>0</v>
      </c>
      <c r="AF925" s="133">
        <f t="shared" si="372"/>
        <v>0</v>
      </c>
      <c r="AG925" s="1"/>
    </row>
    <row r="926" ht="21.0" customHeight="1">
      <c r="A926" s="1"/>
      <c r="B926" s="48" t="s">
        <v>41</v>
      </c>
      <c r="C926" s="81"/>
      <c r="D926" s="82" t="b">
        <v>0</v>
      </c>
      <c r="E926" s="51" t="s">
        <v>42</v>
      </c>
      <c r="F926" s="52" t="s">
        <v>34</v>
      </c>
      <c r="G926" s="83"/>
      <c r="H926" s="84"/>
      <c r="I926" s="85"/>
      <c r="J926" s="72"/>
      <c r="K926" s="73"/>
      <c r="L926" s="72"/>
      <c r="M926" s="73"/>
      <c r="N926" s="72"/>
      <c r="O926" s="73"/>
      <c r="P926" s="72"/>
      <c r="Q926" s="73"/>
      <c r="R926" s="72"/>
      <c r="S926" s="73"/>
      <c r="T926" s="72"/>
      <c r="U926" s="73"/>
      <c r="V926" s="72"/>
      <c r="W926" s="73"/>
      <c r="X926" s="72"/>
      <c r="Y926" s="73"/>
      <c r="Z926" s="74" t="b">
        <v>0</v>
      </c>
      <c r="AA926" s="130">
        <f t="shared" si="367"/>
        <v>0</v>
      </c>
      <c r="AB926" s="131">
        <f t="shared" si="368"/>
        <v>0</v>
      </c>
      <c r="AC926" s="132">
        <f t="shared" si="369"/>
        <v>0</v>
      </c>
      <c r="AD926" s="133">
        <f t="shared" si="370"/>
        <v>0</v>
      </c>
      <c r="AE926" s="131">
        <f t="shared" si="371"/>
        <v>0</v>
      </c>
      <c r="AF926" s="133">
        <f t="shared" si="372"/>
        <v>0</v>
      </c>
      <c r="AG926" s="1"/>
    </row>
    <row r="927" ht="21.0" customHeight="1">
      <c r="A927" s="1"/>
      <c r="B927" s="48" t="s">
        <v>43</v>
      </c>
      <c r="C927" s="49"/>
      <c r="D927" s="86" t="b">
        <v>0</v>
      </c>
      <c r="E927" s="66"/>
      <c r="F927" s="52" t="s">
        <v>37</v>
      </c>
      <c r="G927" s="67"/>
      <c r="H927" s="80"/>
      <c r="I927" s="69"/>
      <c r="J927" s="72"/>
      <c r="K927" s="73"/>
      <c r="L927" s="72"/>
      <c r="M927" s="73"/>
      <c r="N927" s="72"/>
      <c r="O927" s="73"/>
      <c r="P927" s="72"/>
      <c r="Q927" s="73"/>
      <c r="R927" s="72"/>
      <c r="S927" s="73"/>
      <c r="T927" s="72"/>
      <c r="U927" s="73"/>
      <c r="V927" s="72"/>
      <c r="W927" s="73"/>
      <c r="X927" s="72"/>
      <c r="Y927" s="73"/>
      <c r="Z927" s="74" t="b">
        <v>0</v>
      </c>
      <c r="AA927" s="130">
        <f t="shared" si="367"/>
        <v>0</v>
      </c>
      <c r="AB927" s="131">
        <f t="shared" si="368"/>
        <v>0</v>
      </c>
      <c r="AC927" s="132">
        <f t="shared" si="369"/>
        <v>0</v>
      </c>
      <c r="AD927" s="133">
        <f t="shared" si="370"/>
        <v>0</v>
      </c>
      <c r="AE927" s="131">
        <f t="shared" si="371"/>
        <v>0</v>
      </c>
      <c r="AF927" s="133">
        <f t="shared" si="372"/>
        <v>0</v>
      </c>
      <c r="AG927" s="1"/>
    </row>
    <row r="928" ht="21.0" customHeight="1">
      <c r="A928" s="1"/>
      <c r="B928" s="87" t="str">
        <f t="array" ref="B928">"📌최근 인바디 결과 : "&amp;text(xlookup(B920,'현황'!O:O,'현황'!O:O,,-1,-1),"m/d(ddd)")</f>
        <v>#REF!</v>
      </c>
      <c r="C928" s="88"/>
      <c r="D928" s="49"/>
      <c r="E928" s="41"/>
      <c r="F928" s="52" t="s">
        <v>40</v>
      </c>
      <c r="G928" s="79"/>
      <c r="H928" s="80"/>
      <c r="I928" s="69"/>
      <c r="J928" s="72"/>
      <c r="K928" s="73"/>
      <c r="L928" s="72"/>
      <c r="M928" s="73"/>
      <c r="N928" s="72"/>
      <c r="O928" s="73"/>
      <c r="P928" s="72"/>
      <c r="Q928" s="73"/>
      <c r="R928" s="72"/>
      <c r="S928" s="73"/>
      <c r="T928" s="72"/>
      <c r="U928" s="73"/>
      <c r="V928" s="72"/>
      <c r="W928" s="73"/>
      <c r="X928" s="72"/>
      <c r="Y928" s="73"/>
      <c r="Z928" s="74" t="b">
        <v>0</v>
      </c>
      <c r="AA928" s="130">
        <f t="shared" si="367"/>
        <v>0</v>
      </c>
      <c r="AB928" s="131">
        <f t="shared" si="368"/>
        <v>0</v>
      </c>
      <c r="AC928" s="132">
        <f t="shared" si="369"/>
        <v>0</v>
      </c>
      <c r="AD928" s="133">
        <f t="shared" si="370"/>
        <v>0</v>
      </c>
      <c r="AE928" s="131">
        <f t="shared" si="371"/>
        <v>0</v>
      </c>
      <c r="AF928" s="133">
        <f t="shared" si="372"/>
        <v>0</v>
      </c>
      <c r="AG928" s="1"/>
    </row>
    <row r="929" ht="21.0" customHeight="1">
      <c r="A929" s="1"/>
      <c r="B929" s="89" t="s">
        <v>44</v>
      </c>
      <c r="C929" s="49"/>
      <c r="D929" s="90">
        <f t="array" ref="D929">iferror(vlookup(xlookup(B920,'현황'!O:O,'현황'!O:O,,-1,-1),'현황'!O:S,2,false),0)</f>
        <v>0</v>
      </c>
      <c r="E929" s="51" t="s">
        <v>45</v>
      </c>
      <c r="F929" s="52" t="s">
        <v>34</v>
      </c>
      <c r="G929" s="83"/>
      <c r="H929" s="84"/>
      <c r="I929" s="85"/>
      <c r="J929" s="72"/>
      <c r="K929" s="73"/>
      <c r="L929" s="72"/>
      <c r="M929" s="73"/>
      <c r="N929" s="72"/>
      <c r="O929" s="73"/>
      <c r="P929" s="72"/>
      <c r="Q929" s="73"/>
      <c r="R929" s="72"/>
      <c r="S929" s="73"/>
      <c r="T929" s="72"/>
      <c r="U929" s="73"/>
      <c r="V929" s="72"/>
      <c r="W929" s="73"/>
      <c r="X929" s="72"/>
      <c r="Y929" s="73"/>
      <c r="Z929" s="74" t="b">
        <v>0</v>
      </c>
      <c r="AA929" s="130">
        <f t="shared" si="367"/>
        <v>0</v>
      </c>
      <c r="AB929" s="131">
        <f t="shared" si="368"/>
        <v>0</v>
      </c>
      <c r="AC929" s="132">
        <f t="shared" si="369"/>
        <v>0</v>
      </c>
      <c r="AD929" s="133">
        <f t="shared" si="370"/>
        <v>0</v>
      </c>
      <c r="AE929" s="131">
        <f t="shared" si="371"/>
        <v>0</v>
      </c>
      <c r="AF929" s="133">
        <f t="shared" si="372"/>
        <v>0</v>
      </c>
      <c r="AG929" s="1"/>
    </row>
    <row r="930" ht="21.0" customHeight="1">
      <c r="A930" s="1"/>
      <c r="B930" s="48" t="s">
        <v>46</v>
      </c>
      <c r="C930" s="49"/>
      <c r="D930" s="91">
        <f t="array" ref="D930">iferror(vlookup(xlookup(B920,'현황'!O:O,'현황'!O:O,,-1,-1),'현황'!O:S,3,false),0)</f>
        <v>0</v>
      </c>
      <c r="E930" s="66"/>
      <c r="F930" s="52" t="s">
        <v>37</v>
      </c>
      <c r="G930" s="67"/>
      <c r="H930" s="80"/>
      <c r="I930" s="69"/>
      <c r="J930" s="72"/>
      <c r="K930" s="73"/>
      <c r="L930" s="72"/>
      <c r="M930" s="73"/>
      <c r="N930" s="72"/>
      <c r="O930" s="73"/>
      <c r="P930" s="72"/>
      <c r="Q930" s="73"/>
      <c r="R930" s="72"/>
      <c r="S930" s="73"/>
      <c r="T930" s="72"/>
      <c r="U930" s="73"/>
      <c r="V930" s="72"/>
      <c r="W930" s="73"/>
      <c r="X930" s="72"/>
      <c r="Y930" s="73"/>
      <c r="Z930" s="74" t="b">
        <v>0</v>
      </c>
      <c r="AA930" s="130">
        <f t="shared" si="367"/>
        <v>0</v>
      </c>
      <c r="AB930" s="131">
        <f t="shared" si="368"/>
        <v>0</v>
      </c>
      <c r="AC930" s="132">
        <f t="shared" si="369"/>
        <v>0</v>
      </c>
      <c r="AD930" s="133">
        <f t="shared" si="370"/>
        <v>0</v>
      </c>
      <c r="AE930" s="131">
        <f t="shared" si="371"/>
        <v>0</v>
      </c>
      <c r="AF930" s="133">
        <f t="shared" si="372"/>
        <v>0</v>
      </c>
      <c r="AG930" s="1"/>
    </row>
    <row r="931" ht="21.0" customHeight="1">
      <c r="A931" s="1"/>
      <c r="B931" s="48" t="s">
        <v>47</v>
      </c>
      <c r="C931" s="49"/>
      <c r="D931" s="91">
        <f t="array" ref="D931">iferror(vlookup(xlookup(B920,'현황'!O:O,'현황'!O:O,,-1,-1),'현황'!O:S,4,false),0)</f>
        <v>0</v>
      </c>
      <c r="E931" s="41"/>
      <c r="F931" s="92" t="s">
        <v>40</v>
      </c>
      <c r="G931" s="79"/>
      <c r="H931" s="93"/>
      <c r="I931" s="94"/>
      <c r="J931" s="95"/>
      <c r="K931" s="96"/>
      <c r="L931" s="95"/>
      <c r="M931" s="96"/>
      <c r="N931" s="95"/>
      <c r="O931" s="96"/>
      <c r="P931" s="95"/>
      <c r="Q931" s="96"/>
      <c r="R931" s="95"/>
      <c r="S931" s="96"/>
      <c r="T931" s="95"/>
      <c r="U931" s="96"/>
      <c r="V931" s="95"/>
      <c r="W931" s="96"/>
      <c r="X931" s="95"/>
      <c r="Y931" s="96"/>
      <c r="Z931" s="97" t="b">
        <v>0</v>
      </c>
      <c r="AA931" s="135">
        <f t="shared" si="367"/>
        <v>0</v>
      </c>
      <c r="AB931" s="136">
        <f t="shared" si="368"/>
        <v>0</v>
      </c>
      <c r="AC931" s="137">
        <f t="shared" si="369"/>
        <v>0</v>
      </c>
      <c r="AD931" s="138">
        <f t="shared" si="370"/>
        <v>0</v>
      </c>
      <c r="AE931" s="136">
        <f t="shared" si="371"/>
        <v>0</v>
      </c>
      <c r="AF931" s="138">
        <f t="shared" si="372"/>
        <v>0</v>
      </c>
      <c r="AG931" s="1"/>
    </row>
    <row r="932" ht="21.0" customHeight="1">
      <c r="A932" s="1"/>
      <c r="B932" s="102" t="s">
        <v>48</v>
      </c>
      <c r="C932" s="103"/>
      <c r="D932" s="104">
        <f>iferror(D931/D929,0)</f>
        <v>0</v>
      </c>
      <c r="E932" s="102" t="s">
        <v>49</v>
      </c>
      <c r="F932" s="103"/>
      <c r="G932" s="105"/>
      <c r="H932" s="106" t="s">
        <v>50</v>
      </c>
      <c r="I932" s="107"/>
      <c r="J932" s="11"/>
      <c r="K932" s="11"/>
      <c r="L932" s="11"/>
      <c r="M932" s="11"/>
      <c r="N932" s="11"/>
      <c r="O932" s="11"/>
      <c r="P932" s="108" t="s">
        <v>51</v>
      </c>
      <c r="Q932" s="12"/>
      <c r="R932" s="109"/>
      <c r="S932" s="11"/>
      <c r="T932" s="11"/>
      <c r="U932" s="11"/>
      <c r="V932" s="11"/>
      <c r="W932" s="11"/>
      <c r="X932" s="11"/>
      <c r="Y932" s="11"/>
      <c r="Z932" s="12"/>
      <c r="AA932" s="139">
        <f>SUM(AA923:AA931)</f>
        <v>0</v>
      </c>
      <c r="AB932" s="140" t="s">
        <v>221</v>
      </c>
      <c r="AG932" s="1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1"/>
      <c r="AA933" s="1"/>
      <c r="AB933" s="1"/>
      <c r="AC933" s="3"/>
      <c r="AD933" s="1"/>
      <c r="AE933" s="1"/>
      <c r="AF933" s="1"/>
      <c r="AG933" s="1"/>
    </row>
    <row r="934" ht="21.0" customHeight="1">
      <c r="A934" s="1"/>
      <c r="B934" s="4" t="s">
        <v>1</v>
      </c>
      <c r="C934" s="5"/>
      <c r="D934" s="6" t="s">
        <v>2</v>
      </c>
      <c r="E934" s="7"/>
      <c r="F934" s="7"/>
      <c r="G934" s="5"/>
      <c r="H934" s="8" t="s">
        <v>3</v>
      </c>
      <c r="I934" s="8" t="s">
        <v>4</v>
      </c>
      <c r="J934" s="9" t="s">
        <v>5</v>
      </c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5"/>
      <c r="AA934" s="117" t="s">
        <v>6</v>
      </c>
      <c r="AB934" s="11"/>
      <c r="AC934" s="11"/>
      <c r="AD934" s="11"/>
      <c r="AE934" s="11"/>
      <c r="AF934" s="12"/>
      <c r="AG934" s="1"/>
    </row>
    <row r="935" ht="21.0" customHeight="1">
      <c r="A935" s="1"/>
      <c r="B935" s="149" t="s">
        <v>138</v>
      </c>
      <c r="C935" s="14" t="str">
        <f>if(B935="0/0","",choose(weekday(B935),"(일)","(월)","(화)","(수)","(목)","(금)","(토)"))</f>
        <v/>
      </c>
      <c r="D935" s="15" t="s">
        <v>7</v>
      </c>
      <c r="E935" s="16" t="s">
        <v>8</v>
      </c>
      <c r="F935" s="17"/>
      <c r="G935" s="18" t="s">
        <v>9</v>
      </c>
      <c r="H935" s="150" t="s">
        <v>139</v>
      </c>
      <c r="I935" s="151"/>
      <c r="J935" s="21" t="s">
        <v>12</v>
      </c>
      <c r="K935" s="22"/>
      <c r="L935" s="21" t="s">
        <v>13</v>
      </c>
      <c r="M935" s="22"/>
      <c r="N935" s="21" t="s">
        <v>14</v>
      </c>
      <c r="O935" s="22"/>
      <c r="P935" s="21" t="s">
        <v>15</v>
      </c>
      <c r="Q935" s="22"/>
      <c r="R935" s="23" t="s">
        <v>16</v>
      </c>
      <c r="S935" s="22"/>
      <c r="T935" s="23" t="s">
        <v>17</v>
      </c>
      <c r="U935" s="22"/>
      <c r="V935" s="23" t="s">
        <v>18</v>
      </c>
      <c r="W935" s="22"/>
      <c r="X935" s="23" t="s">
        <v>19</v>
      </c>
      <c r="Y935" s="22"/>
      <c r="Z935" s="24" t="s">
        <v>222</v>
      </c>
      <c r="AA935" s="118" t="s">
        <v>21</v>
      </c>
      <c r="AB935" s="119" t="s">
        <v>22</v>
      </c>
      <c r="AC935" s="7"/>
      <c r="AD935" s="22"/>
      <c r="AE935" s="120" t="s">
        <v>23</v>
      </c>
      <c r="AF935" s="22"/>
      <c r="AG935" s="1"/>
    </row>
    <row r="936" ht="21.0" customHeight="1">
      <c r="A936" s="1"/>
      <c r="B936" s="27">
        <f>iferror(B935-'현황'!$C$4+1,0)</f>
        <v>0</v>
      </c>
      <c r="C936" s="28"/>
      <c r="D936" s="29">
        <v>0.0</v>
      </c>
      <c r="E936" s="30">
        <v>0.0</v>
      </c>
      <c r="F936" s="31"/>
      <c r="G936" s="32">
        <v>0.0</v>
      </c>
      <c r="H936" s="33">
        <v>0.0</v>
      </c>
      <c r="I936" s="34"/>
      <c r="J936" s="35"/>
      <c r="K936" s="36"/>
      <c r="L936" s="35"/>
      <c r="M936" s="36"/>
      <c r="N936" s="35"/>
      <c r="O936" s="36"/>
      <c r="P936" s="35"/>
      <c r="Q936" s="36"/>
      <c r="R936" s="35"/>
      <c r="S936" s="36"/>
      <c r="T936" s="35"/>
      <c r="U936" s="36"/>
      <c r="V936" s="35"/>
      <c r="W936" s="36"/>
      <c r="X936" s="35"/>
      <c r="Y936" s="36"/>
      <c r="Z936" s="37"/>
      <c r="AA936" s="37"/>
      <c r="AB936" s="35"/>
      <c r="AC936" s="38"/>
      <c r="AD936" s="36"/>
      <c r="AE936" s="35"/>
      <c r="AF936" s="36"/>
      <c r="AG936" s="1"/>
    </row>
    <row r="937" ht="21.0" customHeight="1">
      <c r="A937" s="1"/>
      <c r="B937" s="39" t="s">
        <v>24</v>
      </c>
      <c r="C937" s="40"/>
      <c r="D937" s="41"/>
      <c r="E937" s="42" t="s">
        <v>25</v>
      </c>
      <c r="F937" s="40"/>
      <c r="G937" s="41"/>
      <c r="H937" s="43" t="s">
        <v>26</v>
      </c>
      <c r="J937" s="44" t="s">
        <v>27</v>
      </c>
      <c r="K937" s="45" t="s">
        <v>28</v>
      </c>
      <c r="L937" s="44" t="s">
        <v>27</v>
      </c>
      <c r="M937" s="45" t="s">
        <v>28</v>
      </c>
      <c r="N937" s="44" t="s">
        <v>27</v>
      </c>
      <c r="O937" s="45" t="s">
        <v>28</v>
      </c>
      <c r="P937" s="44" t="s">
        <v>27</v>
      </c>
      <c r="Q937" s="45" t="s">
        <v>28</v>
      </c>
      <c r="R937" s="44" t="s">
        <v>27</v>
      </c>
      <c r="S937" s="45" t="s">
        <v>28</v>
      </c>
      <c r="T937" s="44" t="s">
        <v>27</v>
      </c>
      <c r="U937" s="45" t="s">
        <v>28</v>
      </c>
      <c r="V937" s="44" t="s">
        <v>27</v>
      </c>
      <c r="W937" s="45" t="s">
        <v>28</v>
      </c>
      <c r="X937" s="44" t="s">
        <v>27</v>
      </c>
      <c r="Y937" s="45" t="s">
        <v>28</v>
      </c>
      <c r="Z937" s="46"/>
      <c r="AA937" s="46"/>
      <c r="AB937" s="121" t="s">
        <v>29</v>
      </c>
      <c r="AC937" s="122" t="s">
        <v>30</v>
      </c>
      <c r="AD937" s="123" t="s">
        <v>31</v>
      </c>
      <c r="AE937" s="121" t="s">
        <v>27</v>
      </c>
      <c r="AF937" s="123" t="s">
        <v>28</v>
      </c>
      <c r="AG937" s="1"/>
    </row>
    <row r="938" ht="21.0" customHeight="1">
      <c r="A938" s="1"/>
      <c r="B938" s="48" t="s">
        <v>32</v>
      </c>
      <c r="C938" s="49"/>
      <c r="D938" s="50"/>
      <c r="E938" s="51" t="s">
        <v>33</v>
      </c>
      <c r="F938" s="52" t="s">
        <v>34</v>
      </c>
      <c r="G938" s="53"/>
      <c r="H938" s="148"/>
      <c r="I938" s="55"/>
      <c r="J938" s="58"/>
      <c r="K938" s="59"/>
      <c r="L938" s="58"/>
      <c r="M938" s="59"/>
      <c r="N938" s="58"/>
      <c r="O938" s="59"/>
      <c r="P938" s="58"/>
      <c r="Q938" s="59"/>
      <c r="R938" s="58"/>
      <c r="S938" s="59"/>
      <c r="T938" s="58"/>
      <c r="U938" s="59"/>
      <c r="V938" s="58"/>
      <c r="W938" s="59"/>
      <c r="X938" s="58"/>
      <c r="Y938" s="59"/>
      <c r="Z938" s="60" t="b">
        <v>0</v>
      </c>
      <c r="AA938" s="125">
        <f t="shared" ref="AA938:AA946" si="373">(J938*K938+L938*M938+N938*O938+P938*Q938+R938*S938+T938*U938+V938*W938+X938*Y938)*if(Z938=true,0.453592,1)</f>
        <v>0</v>
      </c>
      <c r="AB938" s="126">
        <f t="shared" ref="AB938:AB946" si="374">SUM(AE938*AF938*0.025,AE938)</f>
        <v>0</v>
      </c>
      <c r="AC938" s="127">
        <f t="shared" ref="AC938:AC946" si="375">AB938*87%</f>
        <v>0</v>
      </c>
      <c r="AD938" s="128">
        <f t="shared" ref="AD938:AD946" si="376">AB938*67%</f>
        <v>0</v>
      </c>
      <c r="AE938" s="126">
        <f t="shared" ref="AE938:AE946" si="377">MAX(J938,L938,N938,P938,R938,T938,V938,X938)*if(Z938=true,0.453592,1)</f>
        <v>0</v>
      </c>
      <c r="AF938" s="128">
        <f t="shared" ref="AF938:AF946" si="378">MAX(IF(J938*if(Z938=true,0.453592,1)=$AE938,K938,0),IF(L938*if(Z938=true,0.453592,1)=$AE938,M938,0),IF(N938*if(Z938=true,0.453592,1)=$AE938,O938,0),IF(P938*if(Z938=true,0.453592,1)=$AE938,Q938,0),IF(R938*if(Z938=true,0.453592,1)=$AE938,S938,0),IF(T938*if(Z938=true,0.453592,1)=$AE938,U938,0),IF(V938*if(Z938=true,0.453592,1)=$AE938,W938,0),IF(X938*if(Z938=true,0.453592,1)=$AE938,Y938,0))</f>
        <v>0</v>
      </c>
      <c r="AG938" s="1"/>
    </row>
    <row r="939" ht="21.0" customHeight="1">
      <c r="A939" s="1"/>
      <c r="B939" s="48" t="s">
        <v>36</v>
      </c>
      <c r="C939" s="49"/>
      <c r="D939" s="65"/>
      <c r="E939" s="66"/>
      <c r="F939" s="52" t="s">
        <v>37</v>
      </c>
      <c r="G939" s="67"/>
      <c r="H939" s="129"/>
      <c r="I939" s="69"/>
      <c r="J939" s="72"/>
      <c r="K939" s="73"/>
      <c r="L939" s="72"/>
      <c r="M939" s="73"/>
      <c r="N939" s="72"/>
      <c r="O939" s="73"/>
      <c r="P939" s="72"/>
      <c r="Q939" s="73"/>
      <c r="R939" s="72"/>
      <c r="S939" s="73"/>
      <c r="T939" s="72"/>
      <c r="U939" s="73"/>
      <c r="V939" s="72"/>
      <c r="W939" s="73"/>
      <c r="X939" s="72"/>
      <c r="Y939" s="73"/>
      <c r="Z939" s="74" t="b">
        <v>0</v>
      </c>
      <c r="AA939" s="130">
        <f t="shared" si="373"/>
        <v>0</v>
      </c>
      <c r="AB939" s="131">
        <f t="shared" si="374"/>
        <v>0</v>
      </c>
      <c r="AC939" s="132">
        <f t="shared" si="375"/>
        <v>0</v>
      </c>
      <c r="AD939" s="133">
        <f t="shared" si="376"/>
        <v>0</v>
      </c>
      <c r="AE939" s="131">
        <f t="shared" si="377"/>
        <v>0</v>
      </c>
      <c r="AF939" s="133">
        <f t="shared" si="378"/>
        <v>0</v>
      </c>
      <c r="AG939" s="1"/>
    </row>
    <row r="940" ht="21.0" customHeight="1">
      <c r="A940" s="1"/>
      <c r="B940" s="48" t="s">
        <v>39</v>
      </c>
      <c r="C940" s="49"/>
      <c r="D940" s="65"/>
      <c r="E940" s="41"/>
      <c r="F940" s="52" t="s">
        <v>40</v>
      </c>
      <c r="G940" s="79"/>
      <c r="H940" s="80"/>
      <c r="I940" s="69"/>
      <c r="J940" s="72"/>
      <c r="K940" s="73"/>
      <c r="L940" s="72"/>
      <c r="M940" s="73"/>
      <c r="N940" s="72"/>
      <c r="O940" s="73"/>
      <c r="P940" s="72"/>
      <c r="Q940" s="73"/>
      <c r="R940" s="72"/>
      <c r="S940" s="73"/>
      <c r="T940" s="72"/>
      <c r="U940" s="73"/>
      <c r="V940" s="72"/>
      <c r="W940" s="73"/>
      <c r="X940" s="72"/>
      <c r="Y940" s="73"/>
      <c r="Z940" s="74" t="b">
        <v>0</v>
      </c>
      <c r="AA940" s="130">
        <f t="shared" si="373"/>
        <v>0</v>
      </c>
      <c r="AB940" s="131">
        <f t="shared" si="374"/>
        <v>0</v>
      </c>
      <c r="AC940" s="132">
        <f t="shared" si="375"/>
        <v>0</v>
      </c>
      <c r="AD940" s="133">
        <f t="shared" si="376"/>
        <v>0</v>
      </c>
      <c r="AE940" s="131">
        <f t="shared" si="377"/>
        <v>0</v>
      </c>
      <c r="AF940" s="133">
        <f t="shared" si="378"/>
        <v>0</v>
      </c>
      <c r="AG940" s="1"/>
    </row>
    <row r="941" ht="21.0" customHeight="1">
      <c r="A941" s="1"/>
      <c r="B941" s="48" t="s">
        <v>41</v>
      </c>
      <c r="C941" s="81"/>
      <c r="D941" s="82" t="b">
        <v>0</v>
      </c>
      <c r="E941" s="51" t="s">
        <v>42</v>
      </c>
      <c r="F941" s="52" t="s">
        <v>34</v>
      </c>
      <c r="G941" s="83"/>
      <c r="H941" s="84"/>
      <c r="I941" s="85"/>
      <c r="J941" s="72"/>
      <c r="K941" s="73"/>
      <c r="L941" s="72"/>
      <c r="M941" s="73"/>
      <c r="N941" s="72"/>
      <c r="O941" s="73"/>
      <c r="P941" s="72"/>
      <c r="Q941" s="73"/>
      <c r="R941" s="72"/>
      <c r="S941" s="73"/>
      <c r="T941" s="72"/>
      <c r="U941" s="73"/>
      <c r="V941" s="72"/>
      <c r="W941" s="73"/>
      <c r="X941" s="72"/>
      <c r="Y941" s="73"/>
      <c r="Z941" s="74" t="b">
        <v>0</v>
      </c>
      <c r="AA941" s="130">
        <f t="shared" si="373"/>
        <v>0</v>
      </c>
      <c r="AB941" s="131">
        <f t="shared" si="374"/>
        <v>0</v>
      </c>
      <c r="AC941" s="132">
        <f t="shared" si="375"/>
        <v>0</v>
      </c>
      <c r="AD941" s="133">
        <f t="shared" si="376"/>
        <v>0</v>
      </c>
      <c r="AE941" s="131">
        <f t="shared" si="377"/>
        <v>0</v>
      </c>
      <c r="AF941" s="133">
        <f t="shared" si="378"/>
        <v>0</v>
      </c>
      <c r="AG941" s="1"/>
    </row>
    <row r="942" ht="21.0" customHeight="1">
      <c r="A942" s="1"/>
      <c r="B942" s="48" t="s">
        <v>43</v>
      </c>
      <c r="C942" s="49"/>
      <c r="D942" s="86" t="b">
        <v>0</v>
      </c>
      <c r="E942" s="66"/>
      <c r="F942" s="52" t="s">
        <v>37</v>
      </c>
      <c r="G942" s="67"/>
      <c r="H942" s="80"/>
      <c r="I942" s="69"/>
      <c r="J942" s="72"/>
      <c r="K942" s="73"/>
      <c r="L942" s="72"/>
      <c r="M942" s="73"/>
      <c r="N942" s="72"/>
      <c r="O942" s="73"/>
      <c r="P942" s="72"/>
      <c r="Q942" s="73"/>
      <c r="R942" s="72"/>
      <c r="S942" s="73"/>
      <c r="T942" s="72"/>
      <c r="U942" s="73"/>
      <c r="V942" s="72"/>
      <c r="W942" s="73"/>
      <c r="X942" s="72"/>
      <c r="Y942" s="73"/>
      <c r="Z942" s="74" t="b">
        <v>0</v>
      </c>
      <c r="AA942" s="130">
        <f t="shared" si="373"/>
        <v>0</v>
      </c>
      <c r="AB942" s="131">
        <f t="shared" si="374"/>
        <v>0</v>
      </c>
      <c r="AC942" s="132">
        <f t="shared" si="375"/>
        <v>0</v>
      </c>
      <c r="AD942" s="133">
        <f t="shared" si="376"/>
        <v>0</v>
      </c>
      <c r="AE942" s="131">
        <f t="shared" si="377"/>
        <v>0</v>
      </c>
      <c r="AF942" s="133">
        <f t="shared" si="378"/>
        <v>0</v>
      </c>
      <c r="AG942" s="1"/>
    </row>
    <row r="943" ht="21.0" customHeight="1">
      <c r="A943" s="1"/>
      <c r="B943" s="87" t="str">
        <f t="array" ref="B943">"📌최근 인바디 결과 : "&amp;text(xlookup(B935,'현황'!O:O,'현황'!O:O,,-1,-1),"m/d(ddd)")</f>
        <v>#REF!</v>
      </c>
      <c r="C943" s="88"/>
      <c r="D943" s="49"/>
      <c r="E943" s="41"/>
      <c r="F943" s="52" t="s">
        <v>40</v>
      </c>
      <c r="G943" s="79"/>
      <c r="H943" s="80"/>
      <c r="I943" s="69"/>
      <c r="J943" s="72"/>
      <c r="K943" s="73"/>
      <c r="L943" s="72"/>
      <c r="M943" s="73"/>
      <c r="N943" s="72"/>
      <c r="O943" s="73"/>
      <c r="P943" s="72"/>
      <c r="Q943" s="73"/>
      <c r="R943" s="72"/>
      <c r="S943" s="73"/>
      <c r="T943" s="72"/>
      <c r="U943" s="73"/>
      <c r="V943" s="72"/>
      <c r="W943" s="73"/>
      <c r="X943" s="72"/>
      <c r="Y943" s="73"/>
      <c r="Z943" s="74" t="b">
        <v>0</v>
      </c>
      <c r="AA943" s="130">
        <f t="shared" si="373"/>
        <v>0</v>
      </c>
      <c r="AB943" s="131">
        <f t="shared" si="374"/>
        <v>0</v>
      </c>
      <c r="AC943" s="132">
        <f t="shared" si="375"/>
        <v>0</v>
      </c>
      <c r="AD943" s="133">
        <f t="shared" si="376"/>
        <v>0</v>
      </c>
      <c r="AE943" s="131">
        <f t="shared" si="377"/>
        <v>0</v>
      </c>
      <c r="AF943" s="133">
        <f t="shared" si="378"/>
        <v>0</v>
      </c>
      <c r="AG943" s="1"/>
    </row>
    <row r="944" ht="21.0" customHeight="1">
      <c r="A944" s="1"/>
      <c r="B944" s="89" t="s">
        <v>44</v>
      </c>
      <c r="C944" s="49"/>
      <c r="D944" s="90">
        <f t="array" ref="D944">iferror(vlookup(xlookup(B935,'현황'!O:O,'현황'!O:O,,-1,-1),'현황'!O:S,2,false),0)</f>
        <v>0</v>
      </c>
      <c r="E944" s="51" t="s">
        <v>45</v>
      </c>
      <c r="F944" s="52" t="s">
        <v>34</v>
      </c>
      <c r="G944" s="83"/>
      <c r="H944" s="84"/>
      <c r="I944" s="85"/>
      <c r="J944" s="72"/>
      <c r="K944" s="73"/>
      <c r="L944" s="72"/>
      <c r="M944" s="73"/>
      <c r="N944" s="72"/>
      <c r="O944" s="73"/>
      <c r="P944" s="72"/>
      <c r="Q944" s="73"/>
      <c r="R944" s="72"/>
      <c r="S944" s="73"/>
      <c r="T944" s="72"/>
      <c r="U944" s="73"/>
      <c r="V944" s="72"/>
      <c r="W944" s="73"/>
      <c r="X944" s="72"/>
      <c r="Y944" s="73"/>
      <c r="Z944" s="74" t="b">
        <v>0</v>
      </c>
      <c r="AA944" s="130">
        <f t="shared" si="373"/>
        <v>0</v>
      </c>
      <c r="AB944" s="131">
        <f t="shared" si="374"/>
        <v>0</v>
      </c>
      <c r="AC944" s="132">
        <f t="shared" si="375"/>
        <v>0</v>
      </c>
      <c r="AD944" s="133">
        <f t="shared" si="376"/>
        <v>0</v>
      </c>
      <c r="AE944" s="131">
        <f t="shared" si="377"/>
        <v>0</v>
      </c>
      <c r="AF944" s="133">
        <f t="shared" si="378"/>
        <v>0</v>
      </c>
      <c r="AG944" s="1"/>
    </row>
    <row r="945" ht="21.0" customHeight="1">
      <c r="A945" s="1"/>
      <c r="B945" s="48" t="s">
        <v>46</v>
      </c>
      <c r="C945" s="49"/>
      <c r="D945" s="91">
        <f t="array" ref="D945">iferror(vlookup(xlookup(B935,'현황'!O:O,'현황'!O:O,,-1,-1),'현황'!O:S,3,false),0)</f>
        <v>0</v>
      </c>
      <c r="E945" s="66"/>
      <c r="F945" s="52" t="s">
        <v>37</v>
      </c>
      <c r="G945" s="67"/>
      <c r="H945" s="80"/>
      <c r="I945" s="69"/>
      <c r="J945" s="72"/>
      <c r="K945" s="73"/>
      <c r="L945" s="72"/>
      <c r="M945" s="73"/>
      <c r="N945" s="72"/>
      <c r="O945" s="73"/>
      <c r="P945" s="72"/>
      <c r="Q945" s="73"/>
      <c r="R945" s="72"/>
      <c r="S945" s="73"/>
      <c r="T945" s="72"/>
      <c r="U945" s="73"/>
      <c r="V945" s="72"/>
      <c r="W945" s="73"/>
      <c r="X945" s="72"/>
      <c r="Y945" s="73"/>
      <c r="Z945" s="74" t="b">
        <v>0</v>
      </c>
      <c r="AA945" s="130">
        <f t="shared" si="373"/>
        <v>0</v>
      </c>
      <c r="AB945" s="131">
        <f t="shared" si="374"/>
        <v>0</v>
      </c>
      <c r="AC945" s="132">
        <f t="shared" si="375"/>
        <v>0</v>
      </c>
      <c r="AD945" s="133">
        <f t="shared" si="376"/>
        <v>0</v>
      </c>
      <c r="AE945" s="131">
        <f t="shared" si="377"/>
        <v>0</v>
      </c>
      <c r="AF945" s="133">
        <f t="shared" si="378"/>
        <v>0</v>
      </c>
      <c r="AG945" s="1"/>
    </row>
    <row r="946" ht="21.0" customHeight="1">
      <c r="A946" s="1"/>
      <c r="B946" s="48" t="s">
        <v>47</v>
      </c>
      <c r="C946" s="49"/>
      <c r="D946" s="91">
        <f t="array" ref="D946">iferror(vlookup(xlookup(B935,'현황'!O:O,'현황'!O:O,,-1,-1),'현황'!O:S,4,false),0)</f>
        <v>0</v>
      </c>
      <c r="E946" s="41"/>
      <c r="F946" s="92" t="s">
        <v>40</v>
      </c>
      <c r="G946" s="79"/>
      <c r="H946" s="93"/>
      <c r="I946" s="94"/>
      <c r="J946" s="95"/>
      <c r="K946" s="96"/>
      <c r="L946" s="95"/>
      <c r="M946" s="96"/>
      <c r="N946" s="95"/>
      <c r="O946" s="96"/>
      <c r="P946" s="95"/>
      <c r="Q946" s="96"/>
      <c r="R946" s="95"/>
      <c r="S946" s="96"/>
      <c r="T946" s="95"/>
      <c r="U946" s="96"/>
      <c r="V946" s="95"/>
      <c r="W946" s="96"/>
      <c r="X946" s="95"/>
      <c r="Y946" s="96"/>
      <c r="Z946" s="97" t="b">
        <v>0</v>
      </c>
      <c r="AA946" s="135">
        <f t="shared" si="373"/>
        <v>0</v>
      </c>
      <c r="AB946" s="136">
        <f t="shared" si="374"/>
        <v>0</v>
      </c>
      <c r="AC946" s="137">
        <f t="shared" si="375"/>
        <v>0</v>
      </c>
      <c r="AD946" s="138">
        <f t="shared" si="376"/>
        <v>0</v>
      </c>
      <c r="AE946" s="136">
        <f t="shared" si="377"/>
        <v>0</v>
      </c>
      <c r="AF946" s="138">
        <f t="shared" si="378"/>
        <v>0</v>
      </c>
      <c r="AG946" s="1"/>
    </row>
    <row r="947" ht="21.0" customHeight="1">
      <c r="A947" s="1"/>
      <c r="B947" s="102" t="s">
        <v>48</v>
      </c>
      <c r="C947" s="103"/>
      <c r="D947" s="104">
        <f>iferror(D946/D944,0)</f>
        <v>0</v>
      </c>
      <c r="E947" s="102" t="s">
        <v>49</v>
      </c>
      <c r="F947" s="103"/>
      <c r="G947" s="105"/>
      <c r="H947" s="106" t="s">
        <v>50</v>
      </c>
      <c r="I947" s="107"/>
      <c r="J947" s="11"/>
      <c r="K947" s="11"/>
      <c r="L947" s="11"/>
      <c r="M947" s="11"/>
      <c r="N947" s="11"/>
      <c r="O947" s="11"/>
      <c r="P947" s="108" t="s">
        <v>51</v>
      </c>
      <c r="Q947" s="12"/>
      <c r="R947" s="109"/>
      <c r="S947" s="11"/>
      <c r="T947" s="11"/>
      <c r="U947" s="11"/>
      <c r="V947" s="11"/>
      <c r="W947" s="11"/>
      <c r="X947" s="11"/>
      <c r="Y947" s="11"/>
      <c r="Z947" s="12"/>
      <c r="AA947" s="139">
        <f>SUM(AA938:AA946)</f>
        <v>0</v>
      </c>
      <c r="AB947" s="140" t="s">
        <v>223</v>
      </c>
      <c r="AG947" s="1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1"/>
      <c r="AA948" s="1"/>
      <c r="AB948" s="1"/>
      <c r="AC948" s="3"/>
      <c r="AD948" s="1"/>
      <c r="AE948" s="1"/>
      <c r="AF948" s="1"/>
      <c r="AG948" s="1"/>
    </row>
    <row r="949" ht="21.0" customHeight="1">
      <c r="A949" s="1"/>
      <c r="B949" s="4" t="s">
        <v>1</v>
      </c>
      <c r="C949" s="5"/>
      <c r="D949" s="6" t="s">
        <v>2</v>
      </c>
      <c r="E949" s="7"/>
      <c r="F949" s="7"/>
      <c r="G949" s="5"/>
      <c r="H949" s="8" t="s">
        <v>3</v>
      </c>
      <c r="I949" s="8" t="s">
        <v>4</v>
      </c>
      <c r="J949" s="9" t="s">
        <v>5</v>
      </c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5"/>
      <c r="AA949" s="117" t="s">
        <v>6</v>
      </c>
      <c r="AB949" s="11"/>
      <c r="AC949" s="11"/>
      <c r="AD949" s="11"/>
      <c r="AE949" s="11"/>
      <c r="AF949" s="12"/>
      <c r="AG949" s="1"/>
    </row>
    <row r="950" ht="21.0" customHeight="1">
      <c r="A950" s="1"/>
      <c r="B950" s="149" t="s">
        <v>138</v>
      </c>
      <c r="C950" s="14" t="str">
        <f>if(B950="0/0","",choose(weekday(B950),"(일)","(월)","(화)","(수)","(목)","(금)","(토)"))</f>
        <v/>
      </c>
      <c r="D950" s="15" t="s">
        <v>7</v>
      </c>
      <c r="E950" s="16" t="s">
        <v>8</v>
      </c>
      <c r="F950" s="17"/>
      <c r="G950" s="18" t="s">
        <v>9</v>
      </c>
      <c r="H950" s="150" t="s">
        <v>139</v>
      </c>
      <c r="I950" s="151"/>
      <c r="J950" s="21" t="s">
        <v>12</v>
      </c>
      <c r="K950" s="22"/>
      <c r="L950" s="21" t="s">
        <v>13</v>
      </c>
      <c r="M950" s="22"/>
      <c r="N950" s="21" t="s">
        <v>14</v>
      </c>
      <c r="O950" s="22"/>
      <c r="P950" s="21" t="s">
        <v>15</v>
      </c>
      <c r="Q950" s="22"/>
      <c r="R950" s="23" t="s">
        <v>16</v>
      </c>
      <c r="S950" s="22"/>
      <c r="T950" s="23" t="s">
        <v>17</v>
      </c>
      <c r="U950" s="22"/>
      <c r="V950" s="23" t="s">
        <v>18</v>
      </c>
      <c r="W950" s="22"/>
      <c r="X950" s="23" t="s">
        <v>19</v>
      </c>
      <c r="Y950" s="22"/>
      <c r="Z950" s="24" t="s">
        <v>224</v>
      </c>
      <c r="AA950" s="118" t="s">
        <v>21</v>
      </c>
      <c r="AB950" s="119" t="s">
        <v>22</v>
      </c>
      <c r="AC950" s="7"/>
      <c r="AD950" s="22"/>
      <c r="AE950" s="120" t="s">
        <v>23</v>
      </c>
      <c r="AF950" s="22"/>
      <c r="AG950" s="1"/>
    </row>
    <row r="951" ht="21.0" customHeight="1">
      <c r="A951" s="1"/>
      <c r="B951" s="27">
        <f>iferror(B950-'현황'!$C$4+1,0)</f>
        <v>0</v>
      </c>
      <c r="C951" s="28"/>
      <c r="D951" s="29">
        <v>0.0</v>
      </c>
      <c r="E951" s="30">
        <v>0.0</v>
      </c>
      <c r="F951" s="31"/>
      <c r="G951" s="32">
        <v>0.0</v>
      </c>
      <c r="H951" s="33">
        <v>0.0</v>
      </c>
      <c r="I951" s="34"/>
      <c r="J951" s="35"/>
      <c r="K951" s="36"/>
      <c r="L951" s="35"/>
      <c r="M951" s="36"/>
      <c r="N951" s="35"/>
      <c r="O951" s="36"/>
      <c r="P951" s="35"/>
      <c r="Q951" s="36"/>
      <c r="R951" s="35"/>
      <c r="S951" s="36"/>
      <c r="T951" s="35"/>
      <c r="U951" s="36"/>
      <c r="V951" s="35"/>
      <c r="W951" s="36"/>
      <c r="X951" s="35"/>
      <c r="Y951" s="36"/>
      <c r="Z951" s="37"/>
      <c r="AA951" s="37"/>
      <c r="AB951" s="35"/>
      <c r="AC951" s="38"/>
      <c r="AD951" s="36"/>
      <c r="AE951" s="35"/>
      <c r="AF951" s="36"/>
      <c r="AG951" s="1"/>
    </row>
    <row r="952" ht="21.0" customHeight="1">
      <c r="A952" s="1"/>
      <c r="B952" s="39" t="s">
        <v>24</v>
      </c>
      <c r="C952" s="40"/>
      <c r="D952" s="41"/>
      <c r="E952" s="42" t="s">
        <v>25</v>
      </c>
      <c r="F952" s="40"/>
      <c r="G952" s="41"/>
      <c r="H952" s="43" t="s">
        <v>26</v>
      </c>
      <c r="J952" s="44" t="s">
        <v>27</v>
      </c>
      <c r="K952" s="45" t="s">
        <v>28</v>
      </c>
      <c r="L952" s="44" t="s">
        <v>27</v>
      </c>
      <c r="M952" s="45" t="s">
        <v>28</v>
      </c>
      <c r="N952" s="44" t="s">
        <v>27</v>
      </c>
      <c r="O952" s="45" t="s">
        <v>28</v>
      </c>
      <c r="P952" s="44" t="s">
        <v>27</v>
      </c>
      <c r="Q952" s="45" t="s">
        <v>28</v>
      </c>
      <c r="R952" s="44" t="s">
        <v>27</v>
      </c>
      <c r="S952" s="45" t="s">
        <v>28</v>
      </c>
      <c r="T952" s="44" t="s">
        <v>27</v>
      </c>
      <c r="U952" s="45" t="s">
        <v>28</v>
      </c>
      <c r="V952" s="44" t="s">
        <v>27</v>
      </c>
      <c r="W952" s="45" t="s">
        <v>28</v>
      </c>
      <c r="X952" s="44" t="s">
        <v>27</v>
      </c>
      <c r="Y952" s="45" t="s">
        <v>28</v>
      </c>
      <c r="Z952" s="46"/>
      <c r="AA952" s="46"/>
      <c r="AB952" s="121" t="s">
        <v>29</v>
      </c>
      <c r="AC952" s="122" t="s">
        <v>30</v>
      </c>
      <c r="AD952" s="123" t="s">
        <v>31</v>
      </c>
      <c r="AE952" s="121" t="s">
        <v>27</v>
      </c>
      <c r="AF952" s="123" t="s">
        <v>28</v>
      </c>
      <c r="AG952" s="1"/>
    </row>
    <row r="953" ht="21.0" customHeight="1">
      <c r="A953" s="1"/>
      <c r="B953" s="48" t="s">
        <v>32</v>
      </c>
      <c r="C953" s="49"/>
      <c r="D953" s="50"/>
      <c r="E953" s="51" t="s">
        <v>33</v>
      </c>
      <c r="F953" s="52" t="s">
        <v>34</v>
      </c>
      <c r="G953" s="53"/>
      <c r="H953" s="148"/>
      <c r="I953" s="55"/>
      <c r="J953" s="58"/>
      <c r="K953" s="59"/>
      <c r="L953" s="58"/>
      <c r="M953" s="59"/>
      <c r="N953" s="58"/>
      <c r="O953" s="59"/>
      <c r="P953" s="58"/>
      <c r="Q953" s="59"/>
      <c r="R953" s="58"/>
      <c r="S953" s="59"/>
      <c r="T953" s="58"/>
      <c r="U953" s="59"/>
      <c r="V953" s="58"/>
      <c r="W953" s="59"/>
      <c r="X953" s="58"/>
      <c r="Y953" s="59"/>
      <c r="Z953" s="60" t="b">
        <v>0</v>
      </c>
      <c r="AA953" s="125">
        <f t="shared" ref="AA953:AA961" si="379">(J953*K953+L953*M953+N953*O953+P953*Q953+R953*S953+T953*U953+V953*W953+X953*Y953)*if(Z953=true,0.453592,1)</f>
        <v>0</v>
      </c>
      <c r="AB953" s="126">
        <f t="shared" ref="AB953:AB961" si="380">SUM(AE953*AF953*0.025,AE953)</f>
        <v>0</v>
      </c>
      <c r="AC953" s="127">
        <f t="shared" ref="AC953:AC961" si="381">AB953*87%</f>
        <v>0</v>
      </c>
      <c r="AD953" s="128">
        <f t="shared" ref="AD953:AD961" si="382">AB953*67%</f>
        <v>0</v>
      </c>
      <c r="AE953" s="126">
        <f t="shared" ref="AE953:AE961" si="383">MAX(J953,L953,N953,P953,R953,T953,V953,X953)*if(Z953=true,0.453592,1)</f>
        <v>0</v>
      </c>
      <c r="AF953" s="128">
        <f t="shared" ref="AF953:AF961" si="384">MAX(IF(J953*if(Z953=true,0.453592,1)=$AE953,K953,0),IF(L953*if(Z953=true,0.453592,1)=$AE953,M953,0),IF(N953*if(Z953=true,0.453592,1)=$AE953,O953,0),IF(P953*if(Z953=true,0.453592,1)=$AE953,Q953,0),IF(R953*if(Z953=true,0.453592,1)=$AE953,S953,0),IF(T953*if(Z953=true,0.453592,1)=$AE953,U953,0),IF(V953*if(Z953=true,0.453592,1)=$AE953,W953,0),IF(X953*if(Z953=true,0.453592,1)=$AE953,Y953,0))</f>
        <v>0</v>
      </c>
      <c r="AG953" s="1"/>
    </row>
    <row r="954" ht="21.0" customHeight="1">
      <c r="A954" s="1"/>
      <c r="B954" s="48" t="s">
        <v>36</v>
      </c>
      <c r="C954" s="49"/>
      <c r="D954" s="65"/>
      <c r="E954" s="66"/>
      <c r="F954" s="52" t="s">
        <v>37</v>
      </c>
      <c r="G954" s="67"/>
      <c r="H954" s="129"/>
      <c r="I954" s="69"/>
      <c r="J954" s="72"/>
      <c r="K954" s="73"/>
      <c r="L954" s="72"/>
      <c r="M954" s="73"/>
      <c r="N954" s="72"/>
      <c r="O954" s="73"/>
      <c r="P954" s="72"/>
      <c r="Q954" s="73"/>
      <c r="R954" s="72"/>
      <c r="S954" s="73"/>
      <c r="T954" s="72"/>
      <c r="U954" s="73"/>
      <c r="V954" s="72"/>
      <c r="W954" s="73"/>
      <c r="X954" s="72"/>
      <c r="Y954" s="73"/>
      <c r="Z954" s="74" t="b">
        <v>0</v>
      </c>
      <c r="AA954" s="130">
        <f t="shared" si="379"/>
        <v>0</v>
      </c>
      <c r="AB954" s="131">
        <f t="shared" si="380"/>
        <v>0</v>
      </c>
      <c r="AC954" s="132">
        <f t="shared" si="381"/>
        <v>0</v>
      </c>
      <c r="AD954" s="133">
        <f t="shared" si="382"/>
        <v>0</v>
      </c>
      <c r="AE954" s="131">
        <f t="shared" si="383"/>
        <v>0</v>
      </c>
      <c r="AF954" s="133">
        <f t="shared" si="384"/>
        <v>0</v>
      </c>
      <c r="AG954" s="1"/>
    </row>
    <row r="955" ht="21.0" customHeight="1">
      <c r="A955" s="1"/>
      <c r="B955" s="48" t="s">
        <v>39</v>
      </c>
      <c r="C955" s="49"/>
      <c r="D955" s="65"/>
      <c r="E955" s="41"/>
      <c r="F955" s="52" t="s">
        <v>40</v>
      </c>
      <c r="G955" s="79"/>
      <c r="H955" s="80"/>
      <c r="I955" s="69"/>
      <c r="J955" s="72"/>
      <c r="K955" s="73"/>
      <c r="L955" s="72"/>
      <c r="M955" s="73"/>
      <c r="N955" s="72"/>
      <c r="O955" s="73"/>
      <c r="P955" s="72"/>
      <c r="Q955" s="73"/>
      <c r="R955" s="72"/>
      <c r="S955" s="73"/>
      <c r="T955" s="72"/>
      <c r="U955" s="73"/>
      <c r="V955" s="72"/>
      <c r="W955" s="73"/>
      <c r="X955" s="72"/>
      <c r="Y955" s="73"/>
      <c r="Z955" s="74" t="b">
        <v>0</v>
      </c>
      <c r="AA955" s="130">
        <f t="shared" si="379"/>
        <v>0</v>
      </c>
      <c r="AB955" s="131">
        <f t="shared" si="380"/>
        <v>0</v>
      </c>
      <c r="AC955" s="132">
        <f t="shared" si="381"/>
        <v>0</v>
      </c>
      <c r="AD955" s="133">
        <f t="shared" si="382"/>
        <v>0</v>
      </c>
      <c r="AE955" s="131">
        <f t="shared" si="383"/>
        <v>0</v>
      </c>
      <c r="AF955" s="133">
        <f t="shared" si="384"/>
        <v>0</v>
      </c>
      <c r="AG955" s="1"/>
    </row>
    <row r="956" ht="21.0" customHeight="1">
      <c r="A956" s="1"/>
      <c r="B956" s="48" t="s">
        <v>41</v>
      </c>
      <c r="C956" s="81"/>
      <c r="D956" s="82" t="b">
        <v>0</v>
      </c>
      <c r="E956" s="51" t="s">
        <v>42</v>
      </c>
      <c r="F956" s="52" t="s">
        <v>34</v>
      </c>
      <c r="G956" s="83"/>
      <c r="H956" s="84"/>
      <c r="I956" s="85"/>
      <c r="J956" s="72"/>
      <c r="K956" s="73"/>
      <c r="L956" s="72"/>
      <c r="M956" s="73"/>
      <c r="N956" s="72"/>
      <c r="O956" s="73"/>
      <c r="P956" s="72"/>
      <c r="Q956" s="73"/>
      <c r="R956" s="72"/>
      <c r="S956" s="73"/>
      <c r="T956" s="72"/>
      <c r="U956" s="73"/>
      <c r="V956" s="72"/>
      <c r="W956" s="73"/>
      <c r="X956" s="72"/>
      <c r="Y956" s="73"/>
      <c r="Z956" s="74" t="b">
        <v>0</v>
      </c>
      <c r="AA956" s="130">
        <f t="shared" si="379"/>
        <v>0</v>
      </c>
      <c r="AB956" s="131">
        <f t="shared" si="380"/>
        <v>0</v>
      </c>
      <c r="AC956" s="132">
        <f t="shared" si="381"/>
        <v>0</v>
      </c>
      <c r="AD956" s="133">
        <f t="shared" si="382"/>
        <v>0</v>
      </c>
      <c r="AE956" s="131">
        <f t="shared" si="383"/>
        <v>0</v>
      </c>
      <c r="AF956" s="133">
        <f t="shared" si="384"/>
        <v>0</v>
      </c>
      <c r="AG956" s="1"/>
    </row>
    <row r="957" ht="21.0" customHeight="1">
      <c r="A957" s="1"/>
      <c r="B957" s="48" t="s">
        <v>43</v>
      </c>
      <c r="C957" s="49"/>
      <c r="D957" s="86" t="b">
        <v>0</v>
      </c>
      <c r="E957" s="66"/>
      <c r="F957" s="52" t="s">
        <v>37</v>
      </c>
      <c r="G957" s="67"/>
      <c r="H957" s="80"/>
      <c r="I957" s="69"/>
      <c r="J957" s="72"/>
      <c r="K957" s="73"/>
      <c r="L957" s="72"/>
      <c r="M957" s="73"/>
      <c r="N957" s="72"/>
      <c r="O957" s="73"/>
      <c r="P957" s="72"/>
      <c r="Q957" s="73"/>
      <c r="R957" s="72"/>
      <c r="S957" s="73"/>
      <c r="T957" s="72"/>
      <c r="U957" s="73"/>
      <c r="V957" s="72"/>
      <c r="W957" s="73"/>
      <c r="X957" s="72"/>
      <c r="Y957" s="73"/>
      <c r="Z957" s="74" t="b">
        <v>0</v>
      </c>
      <c r="AA957" s="130">
        <f t="shared" si="379"/>
        <v>0</v>
      </c>
      <c r="AB957" s="131">
        <f t="shared" si="380"/>
        <v>0</v>
      </c>
      <c r="AC957" s="132">
        <f t="shared" si="381"/>
        <v>0</v>
      </c>
      <c r="AD957" s="133">
        <f t="shared" si="382"/>
        <v>0</v>
      </c>
      <c r="AE957" s="131">
        <f t="shared" si="383"/>
        <v>0</v>
      </c>
      <c r="AF957" s="133">
        <f t="shared" si="384"/>
        <v>0</v>
      </c>
      <c r="AG957" s="1"/>
    </row>
    <row r="958" ht="21.0" customHeight="1">
      <c r="A958" s="1"/>
      <c r="B958" s="87" t="str">
        <f t="array" ref="B958">"📌최근 인바디 결과 : "&amp;text(xlookup(B950,'현황'!O:O,'현황'!O:O,,-1,-1),"m/d(ddd)")</f>
        <v>#REF!</v>
      </c>
      <c r="C958" s="88"/>
      <c r="D958" s="49"/>
      <c r="E958" s="41"/>
      <c r="F958" s="52" t="s">
        <v>40</v>
      </c>
      <c r="G958" s="79"/>
      <c r="H958" s="80"/>
      <c r="I958" s="69"/>
      <c r="J958" s="72"/>
      <c r="K958" s="73"/>
      <c r="L958" s="72"/>
      <c r="M958" s="73"/>
      <c r="N958" s="72"/>
      <c r="O958" s="73"/>
      <c r="P958" s="72"/>
      <c r="Q958" s="73"/>
      <c r="R958" s="72"/>
      <c r="S958" s="73"/>
      <c r="T958" s="72"/>
      <c r="U958" s="73"/>
      <c r="V958" s="72"/>
      <c r="W958" s="73"/>
      <c r="X958" s="72"/>
      <c r="Y958" s="73"/>
      <c r="Z958" s="74" t="b">
        <v>0</v>
      </c>
      <c r="AA958" s="130">
        <f t="shared" si="379"/>
        <v>0</v>
      </c>
      <c r="AB958" s="131">
        <f t="shared" si="380"/>
        <v>0</v>
      </c>
      <c r="AC958" s="132">
        <f t="shared" si="381"/>
        <v>0</v>
      </c>
      <c r="AD958" s="133">
        <f t="shared" si="382"/>
        <v>0</v>
      </c>
      <c r="AE958" s="131">
        <f t="shared" si="383"/>
        <v>0</v>
      </c>
      <c r="AF958" s="133">
        <f t="shared" si="384"/>
        <v>0</v>
      </c>
      <c r="AG958" s="1"/>
    </row>
    <row r="959" ht="21.0" customHeight="1">
      <c r="A959" s="1"/>
      <c r="B959" s="89" t="s">
        <v>44</v>
      </c>
      <c r="C959" s="49"/>
      <c r="D959" s="90">
        <f t="array" ref="D959">iferror(vlookup(xlookup(B950,'현황'!O:O,'현황'!O:O,,-1,-1),'현황'!O:S,2,false),0)</f>
        <v>0</v>
      </c>
      <c r="E959" s="51" t="s">
        <v>45</v>
      </c>
      <c r="F959" s="52" t="s">
        <v>34</v>
      </c>
      <c r="G959" s="83"/>
      <c r="H959" s="84"/>
      <c r="I959" s="85"/>
      <c r="J959" s="72"/>
      <c r="K959" s="73"/>
      <c r="L959" s="72"/>
      <c r="M959" s="73"/>
      <c r="N959" s="72"/>
      <c r="O959" s="73"/>
      <c r="P959" s="72"/>
      <c r="Q959" s="73"/>
      <c r="R959" s="72"/>
      <c r="S959" s="73"/>
      <c r="T959" s="72"/>
      <c r="U959" s="73"/>
      <c r="V959" s="72"/>
      <c r="W959" s="73"/>
      <c r="X959" s="72"/>
      <c r="Y959" s="73"/>
      <c r="Z959" s="74" t="b">
        <v>0</v>
      </c>
      <c r="AA959" s="130">
        <f t="shared" si="379"/>
        <v>0</v>
      </c>
      <c r="AB959" s="131">
        <f t="shared" si="380"/>
        <v>0</v>
      </c>
      <c r="AC959" s="132">
        <f t="shared" si="381"/>
        <v>0</v>
      </c>
      <c r="AD959" s="133">
        <f t="shared" si="382"/>
        <v>0</v>
      </c>
      <c r="AE959" s="131">
        <f t="shared" si="383"/>
        <v>0</v>
      </c>
      <c r="AF959" s="133">
        <f t="shared" si="384"/>
        <v>0</v>
      </c>
      <c r="AG959" s="1"/>
    </row>
    <row r="960" ht="21.0" customHeight="1">
      <c r="A960" s="1"/>
      <c r="B960" s="48" t="s">
        <v>46</v>
      </c>
      <c r="C960" s="49"/>
      <c r="D960" s="91">
        <f t="array" ref="D960">iferror(vlookup(xlookup(B950,'현황'!O:O,'현황'!O:O,,-1,-1),'현황'!O:S,3,false),0)</f>
        <v>0</v>
      </c>
      <c r="E960" s="66"/>
      <c r="F960" s="52" t="s">
        <v>37</v>
      </c>
      <c r="G960" s="67"/>
      <c r="H960" s="80"/>
      <c r="I960" s="69"/>
      <c r="J960" s="72"/>
      <c r="K960" s="73"/>
      <c r="L960" s="72"/>
      <c r="M960" s="73"/>
      <c r="N960" s="72"/>
      <c r="O960" s="73"/>
      <c r="P960" s="72"/>
      <c r="Q960" s="73"/>
      <c r="R960" s="72"/>
      <c r="S960" s="73"/>
      <c r="T960" s="72"/>
      <c r="U960" s="73"/>
      <c r="V960" s="72"/>
      <c r="W960" s="73"/>
      <c r="X960" s="72"/>
      <c r="Y960" s="73"/>
      <c r="Z960" s="74" t="b">
        <v>0</v>
      </c>
      <c r="AA960" s="130">
        <f t="shared" si="379"/>
        <v>0</v>
      </c>
      <c r="AB960" s="131">
        <f t="shared" si="380"/>
        <v>0</v>
      </c>
      <c r="AC960" s="132">
        <f t="shared" si="381"/>
        <v>0</v>
      </c>
      <c r="AD960" s="133">
        <f t="shared" si="382"/>
        <v>0</v>
      </c>
      <c r="AE960" s="131">
        <f t="shared" si="383"/>
        <v>0</v>
      </c>
      <c r="AF960" s="133">
        <f t="shared" si="384"/>
        <v>0</v>
      </c>
      <c r="AG960" s="1"/>
    </row>
    <row r="961" ht="21.0" customHeight="1">
      <c r="A961" s="1"/>
      <c r="B961" s="48" t="s">
        <v>47</v>
      </c>
      <c r="C961" s="49"/>
      <c r="D961" s="91">
        <f t="array" ref="D961">iferror(vlookup(xlookup(B950,'현황'!O:O,'현황'!O:O,,-1,-1),'현황'!O:S,4,false),0)</f>
        <v>0</v>
      </c>
      <c r="E961" s="41"/>
      <c r="F961" s="92" t="s">
        <v>40</v>
      </c>
      <c r="G961" s="79"/>
      <c r="H961" s="93"/>
      <c r="I961" s="94"/>
      <c r="J961" s="95"/>
      <c r="K961" s="96"/>
      <c r="L961" s="95"/>
      <c r="M961" s="96"/>
      <c r="N961" s="95"/>
      <c r="O961" s="96"/>
      <c r="P961" s="95"/>
      <c r="Q961" s="96"/>
      <c r="R961" s="95"/>
      <c r="S961" s="96"/>
      <c r="T961" s="95"/>
      <c r="U961" s="96"/>
      <c r="V961" s="95"/>
      <c r="W961" s="96"/>
      <c r="X961" s="95"/>
      <c r="Y961" s="96"/>
      <c r="Z961" s="97" t="b">
        <v>0</v>
      </c>
      <c r="AA961" s="135">
        <f t="shared" si="379"/>
        <v>0</v>
      </c>
      <c r="AB961" s="136">
        <f t="shared" si="380"/>
        <v>0</v>
      </c>
      <c r="AC961" s="137">
        <f t="shared" si="381"/>
        <v>0</v>
      </c>
      <c r="AD961" s="138">
        <f t="shared" si="382"/>
        <v>0</v>
      </c>
      <c r="AE961" s="136">
        <f t="shared" si="383"/>
        <v>0</v>
      </c>
      <c r="AF961" s="138">
        <f t="shared" si="384"/>
        <v>0</v>
      </c>
      <c r="AG961" s="1"/>
    </row>
    <row r="962" ht="21.0" customHeight="1">
      <c r="A962" s="1"/>
      <c r="B962" s="102" t="s">
        <v>48</v>
      </c>
      <c r="C962" s="103"/>
      <c r="D962" s="104">
        <f>iferror(D961/D959,0)</f>
        <v>0</v>
      </c>
      <c r="E962" s="102" t="s">
        <v>49</v>
      </c>
      <c r="F962" s="103"/>
      <c r="G962" s="105"/>
      <c r="H962" s="143" t="s">
        <v>50</v>
      </c>
      <c r="I962" s="144"/>
      <c r="J962" s="11"/>
      <c r="K962" s="11"/>
      <c r="L962" s="11"/>
      <c r="M962" s="11"/>
      <c r="N962" s="11"/>
      <c r="O962" s="11"/>
      <c r="P962" s="145" t="s">
        <v>51</v>
      </c>
      <c r="Q962" s="12"/>
      <c r="R962" s="146"/>
      <c r="S962" s="11"/>
      <c r="T962" s="11"/>
      <c r="U962" s="11"/>
      <c r="V962" s="11"/>
      <c r="W962" s="11"/>
      <c r="X962" s="11"/>
      <c r="Y962" s="11"/>
      <c r="Z962" s="12"/>
      <c r="AA962" s="139">
        <f>SUM(AA953:AA961)</f>
        <v>0</v>
      </c>
      <c r="AB962" s="140" t="s">
        <v>225</v>
      </c>
      <c r="AG962" s="1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1"/>
      <c r="AA963" s="1"/>
      <c r="AB963" s="1"/>
      <c r="AC963" s="3"/>
      <c r="AD963" s="1"/>
      <c r="AE963" s="1"/>
      <c r="AF963" s="1"/>
      <c r="AG963" s="1"/>
    </row>
    <row r="964" ht="21.0" customHeight="1">
      <c r="A964" s="1"/>
      <c r="B964" s="4" t="s">
        <v>1</v>
      </c>
      <c r="C964" s="5"/>
      <c r="D964" s="6" t="s">
        <v>2</v>
      </c>
      <c r="E964" s="7"/>
      <c r="F964" s="7"/>
      <c r="G964" s="5"/>
      <c r="H964" s="8" t="s">
        <v>3</v>
      </c>
      <c r="I964" s="8" t="s">
        <v>4</v>
      </c>
      <c r="J964" s="9" t="s">
        <v>5</v>
      </c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5"/>
      <c r="AA964" s="117" t="s">
        <v>6</v>
      </c>
      <c r="AB964" s="11"/>
      <c r="AC964" s="11"/>
      <c r="AD964" s="11"/>
      <c r="AE964" s="11"/>
      <c r="AF964" s="12"/>
      <c r="AG964" s="1"/>
    </row>
    <row r="965" ht="21.0" customHeight="1">
      <c r="A965" s="1"/>
      <c r="B965" s="149" t="s">
        <v>138</v>
      </c>
      <c r="C965" s="14" t="str">
        <f>if(B965="0/0","",choose(weekday(B965),"(일)","(월)","(화)","(수)","(목)","(금)","(토)"))</f>
        <v/>
      </c>
      <c r="D965" s="15" t="s">
        <v>7</v>
      </c>
      <c r="E965" s="16" t="s">
        <v>8</v>
      </c>
      <c r="F965" s="17"/>
      <c r="G965" s="18" t="s">
        <v>9</v>
      </c>
      <c r="H965" s="150" t="s">
        <v>139</v>
      </c>
      <c r="I965" s="151"/>
      <c r="J965" s="21" t="s">
        <v>12</v>
      </c>
      <c r="K965" s="22"/>
      <c r="L965" s="21" t="s">
        <v>13</v>
      </c>
      <c r="M965" s="22"/>
      <c r="N965" s="21" t="s">
        <v>14</v>
      </c>
      <c r="O965" s="22"/>
      <c r="P965" s="21" t="s">
        <v>15</v>
      </c>
      <c r="Q965" s="22"/>
      <c r="R965" s="23" t="s">
        <v>16</v>
      </c>
      <c r="S965" s="22"/>
      <c r="T965" s="23" t="s">
        <v>17</v>
      </c>
      <c r="U965" s="22"/>
      <c r="V965" s="23" t="s">
        <v>18</v>
      </c>
      <c r="W965" s="22"/>
      <c r="X965" s="23" t="s">
        <v>19</v>
      </c>
      <c r="Y965" s="22"/>
      <c r="Z965" s="24" t="s">
        <v>226</v>
      </c>
      <c r="AA965" s="118" t="s">
        <v>21</v>
      </c>
      <c r="AB965" s="119" t="s">
        <v>22</v>
      </c>
      <c r="AC965" s="7"/>
      <c r="AD965" s="22"/>
      <c r="AE965" s="120" t="s">
        <v>23</v>
      </c>
      <c r="AF965" s="22"/>
      <c r="AG965" s="1"/>
    </row>
    <row r="966" ht="21.0" customHeight="1">
      <c r="A966" s="1"/>
      <c r="B966" s="27">
        <f>iferror(B965-'현황'!$C$4+1,0)</f>
        <v>0</v>
      </c>
      <c r="C966" s="28"/>
      <c r="D966" s="29">
        <v>0.0</v>
      </c>
      <c r="E966" s="30">
        <v>0.0</v>
      </c>
      <c r="F966" s="31"/>
      <c r="G966" s="32">
        <v>0.0</v>
      </c>
      <c r="H966" s="33">
        <v>0.0</v>
      </c>
      <c r="I966" s="34"/>
      <c r="J966" s="35"/>
      <c r="K966" s="36"/>
      <c r="L966" s="35"/>
      <c r="M966" s="36"/>
      <c r="N966" s="35"/>
      <c r="O966" s="36"/>
      <c r="P966" s="35"/>
      <c r="Q966" s="36"/>
      <c r="R966" s="35"/>
      <c r="S966" s="36"/>
      <c r="T966" s="35"/>
      <c r="U966" s="36"/>
      <c r="V966" s="35"/>
      <c r="W966" s="36"/>
      <c r="X966" s="35"/>
      <c r="Y966" s="36"/>
      <c r="Z966" s="37"/>
      <c r="AA966" s="37"/>
      <c r="AB966" s="35"/>
      <c r="AC966" s="38"/>
      <c r="AD966" s="36"/>
      <c r="AE966" s="35"/>
      <c r="AF966" s="36"/>
      <c r="AG966" s="1"/>
    </row>
    <row r="967" ht="21.0" customHeight="1">
      <c r="A967" s="1"/>
      <c r="B967" s="39" t="s">
        <v>24</v>
      </c>
      <c r="C967" s="40"/>
      <c r="D967" s="41"/>
      <c r="E967" s="42" t="s">
        <v>25</v>
      </c>
      <c r="F967" s="40"/>
      <c r="G967" s="41"/>
      <c r="H967" s="43" t="s">
        <v>26</v>
      </c>
      <c r="J967" s="44" t="s">
        <v>27</v>
      </c>
      <c r="K967" s="45" t="s">
        <v>28</v>
      </c>
      <c r="L967" s="44" t="s">
        <v>27</v>
      </c>
      <c r="M967" s="45" t="s">
        <v>28</v>
      </c>
      <c r="N967" s="44" t="s">
        <v>27</v>
      </c>
      <c r="O967" s="45" t="s">
        <v>28</v>
      </c>
      <c r="P967" s="44" t="s">
        <v>27</v>
      </c>
      <c r="Q967" s="45" t="s">
        <v>28</v>
      </c>
      <c r="R967" s="44" t="s">
        <v>27</v>
      </c>
      <c r="S967" s="45" t="s">
        <v>28</v>
      </c>
      <c r="T967" s="44" t="s">
        <v>27</v>
      </c>
      <c r="U967" s="45" t="s">
        <v>28</v>
      </c>
      <c r="V967" s="44" t="s">
        <v>27</v>
      </c>
      <c r="W967" s="45" t="s">
        <v>28</v>
      </c>
      <c r="X967" s="44" t="s">
        <v>27</v>
      </c>
      <c r="Y967" s="45" t="s">
        <v>28</v>
      </c>
      <c r="Z967" s="46"/>
      <c r="AA967" s="46"/>
      <c r="AB967" s="121" t="s">
        <v>29</v>
      </c>
      <c r="AC967" s="122" t="s">
        <v>30</v>
      </c>
      <c r="AD967" s="123" t="s">
        <v>31</v>
      </c>
      <c r="AE967" s="121" t="s">
        <v>27</v>
      </c>
      <c r="AF967" s="123" t="s">
        <v>28</v>
      </c>
      <c r="AG967" s="1"/>
    </row>
    <row r="968" ht="21.0" customHeight="1">
      <c r="A968" s="1"/>
      <c r="B968" s="48" t="s">
        <v>32</v>
      </c>
      <c r="C968" s="49"/>
      <c r="D968" s="50"/>
      <c r="E968" s="51" t="s">
        <v>33</v>
      </c>
      <c r="F968" s="52" t="s">
        <v>34</v>
      </c>
      <c r="G968" s="53"/>
      <c r="H968" s="148"/>
      <c r="I968" s="55"/>
      <c r="J968" s="58"/>
      <c r="K968" s="59"/>
      <c r="L968" s="58"/>
      <c r="M968" s="59"/>
      <c r="N968" s="58"/>
      <c r="O968" s="59"/>
      <c r="P968" s="58"/>
      <c r="Q968" s="59"/>
      <c r="R968" s="58"/>
      <c r="S968" s="59"/>
      <c r="T968" s="58"/>
      <c r="U968" s="59"/>
      <c r="V968" s="58"/>
      <c r="W968" s="59"/>
      <c r="X968" s="58"/>
      <c r="Y968" s="59"/>
      <c r="Z968" s="60" t="b">
        <v>0</v>
      </c>
      <c r="AA968" s="125">
        <f t="shared" ref="AA968:AA976" si="385">(J968*K968+L968*M968+N968*O968+P968*Q968+R968*S968+T968*U968+V968*W968+X968*Y968)*if(Z968=true,0.453592,1)</f>
        <v>0</v>
      </c>
      <c r="AB968" s="126">
        <f t="shared" ref="AB968:AB976" si="386">SUM(AE968*AF968*0.025,AE968)</f>
        <v>0</v>
      </c>
      <c r="AC968" s="127">
        <f t="shared" ref="AC968:AC976" si="387">AB968*87%</f>
        <v>0</v>
      </c>
      <c r="AD968" s="128">
        <f t="shared" ref="AD968:AD976" si="388">AB968*67%</f>
        <v>0</v>
      </c>
      <c r="AE968" s="126">
        <f t="shared" ref="AE968:AE976" si="389">MAX(J968,L968,N968,P968,R968,T968,V968,X968)*if(Z968=true,0.453592,1)</f>
        <v>0</v>
      </c>
      <c r="AF968" s="128">
        <f t="shared" ref="AF968:AF976" si="390">MAX(IF(J968*if(Z968=true,0.453592,1)=$AE968,K968,0),IF(L968*if(Z968=true,0.453592,1)=$AE968,M968,0),IF(N968*if(Z968=true,0.453592,1)=$AE968,O968,0),IF(P968*if(Z968=true,0.453592,1)=$AE968,Q968,0),IF(R968*if(Z968=true,0.453592,1)=$AE968,S968,0),IF(T968*if(Z968=true,0.453592,1)=$AE968,U968,0),IF(V968*if(Z968=true,0.453592,1)=$AE968,W968,0),IF(X968*if(Z968=true,0.453592,1)=$AE968,Y968,0))</f>
        <v>0</v>
      </c>
      <c r="AG968" s="1"/>
    </row>
    <row r="969" ht="21.0" customHeight="1">
      <c r="A969" s="1"/>
      <c r="B969" s="48" t="s">
        <v>36</v>
      </c>
      <c r="C969" s="49"/>
      <c r="D969" s="65"/>
      <c r="E969" s="66"/>
      <c r="F969" s="52" t="s">
        <v>37</v>
      </c>
      <c r="G969" s="67"/>
      <c r="H969" s="129"/>
      <c r="I969" s="69"/>
      <c r="J969" s="72"/>
      <c r="K969" s="73"/>
      <c r="L969" s="72"/>
      <c r="M969" s="73"/>
      <c r="N969" s="72"/>
      <c r="O969" s="73"/>
      <c r="P969" s="72"/>
      <c r="Q969" s="73"/>
      <c r="R969" s="72"/>
      <c r="S969" s="73"/>
      <c r="T969" s="72"/>
      <c r="U969" s="73"/>
      <c r="V969" s="72"/>
      <c r="W969" s="73"/>
      <c r="X969" s="72"/>
      <c r="Y969" s="73"/>
      <c r="Z969" s="74" t="b">
        <v>0</v>
      </c>
      <c r="AA969" s="130">
        <f t="shared" si="385"/>
        <v>0</v>
      </c>
      <c r="AB969" s="131">
        <f t="shared" si="386"/>
        <v>0</v>
      </c>
      <c r="AC969" s="132">
        <f t="shared" si="387"/>
        <v>0</v>
      </c>
      <c r="AD969" s="133">
        <f t="shared" si="388"/>
        <v>0</v>
      </c>
      <c r="AE969" s="131">
        <f t="shared" si="389"/>
        <v>0</v>
      </c>
      <c r="AF969" s="133">
        <f t="shared" si="390"/>
        <v>0</v>
      </c>
      <c r="AG969" s="1"/>
    </row>
    <row r="970" ht="21.0" customHeight="1">
      <c r="A970" s="1"/>
      <c r="B970" s="48" t="s">
        <v>39</v>
      </c>
      <c r="C970" s="49"/>
      <c r="D970" s="65"/>
      <c r="E970" s="41"/>
      <c r="F970" s="52" t="s">
        <v>40</v>
      </c>
      <c r="G970" s="79"/>
      <c r="H970" s="80"/>
      <c r="I970" s="69"/>
      <c r="J970" s="72"/>
      <c r="K970" s="73"/>
      <c r="L970" s="72"/>
      <c r="M970" s="73"/>
      <c r="N970" s="72"/>
      <c r="O970" s="73"/>
      <c r="P970" s="72"/>
      <c r="Q970" s="73"/>
      <c r="R970" s="72"/>
      <c r="S970" s="73"/>
      <c r="T970" s="72"/>
      <c r="U970" s="73"/>
      <c r="V970" s="72"/>
      <c r="W970" s="73"/>
      <c r="X970" s="72"/>
      <c r="Y970" s="73"/>
      <c r="Z970" s="74" t="b">
        <v>0</v>
      </c>
      <c r="AA970" s="130">
        <f t="shared" si="385"/>
        <v>0</v>
      </c>
      <c r="AB970" s="131">
        <f t="shared" si="386"/>
        <v>0</v>
      </c>
      <c r="AC970" s="132">
        <f t="shared" si="387"/>
        <v>0</v>
      </c>
      <c r="AD970" s="133">
        <f t="shared" si="388"/>
        <v>0</v>
      </c>
      <c r="AE970" s="131">
        <f t="shared" si="389"/>
        <v>0</v>
      </c>
      <c r="AF970" s="133">
        <f t="shared" si="390"/>
        <v>0</v>
      </c>
      <c r="AG970" s="1"/>
    </row>
    <row r="971" ht="21.0" customHeight="1">
      <c r="A971" s="1"/>
      <c r="B971" s="48" t="s">
        <v>41</v>
      </c>
      <c r="C971" s="81"/>
      <c r="D971" s="82" t="b">
        <v>0</v>
      </c>
      <c r="E971" s="51" t="s">
        <v>42</v>
      </c>
      <c r="F971" s="52" t="s">
        <v>34</v>
      </c>
      <c r="G971" s="83"/>
      <c r="H971" s="84"/>
      <c r="I971" s="85"/>
      <c r="J971" s="72"/>
      <c r="K971" s="73"/>
      <c r="L971" s="72"/>
      <c r="M971" s="73"/>
      <c r="N971" s="72"/>
      <c r="O971" s="73"/>
      <c r="P971" s="72"/>
      <c r="Q971" s="73"/>
      <c r="R971" s="72"/>
      <c r="S971" s="73"/>
      <c r="T971" s="72"/>
      <c r="U971" s="73"/>
      <c r="V971" s="72"/>
      <c r="W971" s="73"/>
      <c r="X971" s="72"/>
      <c r="Y971" s="73"/>
      <c r="Z971" s="74" t="b">
        <v>0</v>
      </c>
      <c r="AA971" s="130">
        <f t="shared" si="385"/>
        <v>0</v>
      </c>
      <c r="AB971" s="131">
        <f t="shared" si="386"/>
        <v>0</v>
      </c>
      <c r="AC971" s="132">
        <f t="shared" si="387"/>
        <v>0</v>
      </c>
      <c r="AD971" s="133">
        <f t="shared" si="388"/>
        <v>0</v>
      </c>
      <c r="AE971" s="131">
        <f t="shared" si="389"/>
        <v>0</v>
      </c>
      <c r="AF971" s="133">
        <f t="shared" si="390"/>
        <v>0</v>
      </c>
      <c r="AG971" s="1"/>
    </row>
    <row r="972" ht="21.0" customHeight="1">
      <c r="A972" s="1"/>
      <c r="B972" s="48" t="s">
        <v>43</v>
      </c>
      <c r="C972" s="49"/>
      <c r="D972" s="86" t="b">
        <v>0</v>
      </c>
      <c r="E972" s="66"/>
      <c r="F972" s="52" t="s">
        <v>37</v>
      </c>
      <c r="G972" s="67"/>
      <c r="H972" s="80"/>
      <c r="I972" s="69"/>
      <c r="J972" s="72"/>
      <c r="K972" s="73"/>
      <c r="L972" s="72"/>
      <c r="M972" s="73"/>
      <c r="N972" s="72"/>
      <c r="O972" s="73"/>
      <c r="P972" s="72"/>
      <c r="Q972" s="73"/>
      <c r="R972" s="72"/>
      <c r="S972" s="73"/>
      <c r="T972" s="72"/>
      <c r="U972" s="73"/>
      <c r="V972" s="72"/>
      <c r="W972" s="73"/>
      <c r="X972" s="72"/>
      <c r="Y972" s="73"/>
      <c r="Z972" s="74" t="b">
        <v>0</v>
      </c>
      <c r="AA972" s="130">
        <f t="shared" si="385"/>
        <v>0</v>
      </c>
      <c r="AB972" s="131">
        <f t="shared" si="386"/>
        <v>0</v>
      </c>
      <c r="AC972" s="132">
        <f t="shared" si="387"/>
        <v>0</v>
      </c>
      <c r="AD972" s="133">
        <f t="shared" si="388"/>
        <v>0</v>
      </c>
      <c r="AE972" s="131">
        <f t="shared" si="389"/>
        <v>0</v>
      </c>
      <c r="AF972" s="133">
        <f t="shared" si="390"/>
        <v>0</v>
      </c>
      <c r="AG972" s="1"/>
    </row>
    <row r="973" ht="21.0" customHeight="1">
      <c r="A973" s="1"/>
      <c r="B973" s="87" t="str">
        <f t="array" ref="B973">"📌최근 인바디 결과 : "&amp;text(xlookup(B965,'현황'!O:O,'현황'!O:O,,-1,-1),"m/d(ddd)")</f>
        <v>#REF!</v>
      </c>
      <c r="C973" s="88"/>
      <c r="D973" s="49"/>
      <c r="E973" s="41"/>
      <c r="F973" s="52" t="s">
        <v>40</v>
      </c>
      <c r="G973" s="79"/>
      <c r="H973" s="80"/>
      <c r="I973" s="69"/>
      <c r="J973" s="72"/>
      <c r="K973" s="73"/>
      <c r="L973" s="72"/>
      <c r="M973" s="73"/>
      <c r="N973" s="72"/>
      <c r="O973" s="73"/>
      <c r="P973" s="72"/>
      <c r="Q973" s="73"/>
      <c r="R973" s="72"/>
      <c r="S973" s="73"/>
      <c r="T973" s="72"/>
      <c r="U973" s="73"/>
      <c r="V973" s="72"/>
      <c r="W973" s="73"/>
      <c r="X973" s="72"/>
      <c r="Y973" s="73"/>
      <c r="Z973" s="74" t="b">
        <v>0</v>
      </c>
      <c r="AA973" s="130">
        <f t="shared" si="385"/>
        <v>0</v>
      </c>
      <c r="AB973" s="131">
        <f t="shared" si="386"/>
        <v>0</v>
      </c>
      <c r="AC973" s="132">
        <f t="shared" si="387"/>
        <v>0</v>
      </c>
      <c r="AD973" s="133">
        <f t="shared" si="388"/>
        <v>0</v>
      </c>
      <c r="AE973" s="131">
        <f t="shared" si="389"/>
        <v>0</v>
      </c>
      <c r="AF973" s="133">
        <f t="shared" si="390"/>
        <v>0</v>
      </c>
      <c r="AG973" s="1"/>
    </row>
    <row r="974" ht="21.0" customHeight="1">
      <c r="A974" s="1"/>
      <c r="B974" s="89" t="s">
        <v>44</v>
      </c>
      <c r="C974" s="49"/>
      <c r="D974" s="90">
        <f t="array" ref="D974">iferror(vlookup(xlookup(B965,'현황'!O:O,'현황'!O:O,,-1,-1),'현황'!O:S,2,false),0)</f>
        <v>0</v>
      </c>
      <c r="E974" s="51" t="s">
        <v>45</v>
      </c>
      <c r="F974" s="52" t="s">
        <v>34</v>
      </c>
      <c r="G974" s="83"/>
      <c r="H974" s="84"/>
      <c r="I974" s="85"/>
      <c r="J974" s="72"/>
      <c r="K974" s="73"/>
      <c r="L974" s="72"/>
      <c r="M974" s="73"/>
      <c r="N974" s="72"/>
      <c r="O974" s="73"/>
      <c r="P974" s="72"/>
      <c r="Q974" s="73"/>
      <c r="R974" s="72"/>
      <c r="S974" s="73"/>
      <c r="T974" s="72"/>
      <c r="U974" s="73"/>
      <c r="V974" s="72"/>
      <c r="W974" s="73"/>
      <c r="X974" s="72"/>
      <c r="Y974" s="73"/>
      <c r="Z974" s="74" t="b">
        <v>0</v>
      </c>
      <c r="AA974" s="130">
        <f t="shared" si="385"/>
        <v>0</v>
      </c>
      <c r="AB974" s="131">
        <f t="shared" si="386"/>
        <v>0</v>
      </c>
      <c r="AC974" s="132">
        <f t="shared" si="387"/>
        <v>0</v>
      </c>
      <c r="AD974" s="133">
        <f t="shared" si="388"/>
        <v>0</v>
      </c>
      <c r="AE974" s="131">
        <f t="shared" si="389"/>
        <v>0</v>
      </c>
      <c r="AF974" s="133">
        <f t="shared" si="390"/>
        <v>0</v>
      </c>
      <c r="AG974" s="1"/>
    </row>
    <row r="975" ht="21.0" customHeight="1">
      <c r="A975" s="1"/>
      <c r="B975" s="48" t="s">
        <v>46</v>
      </c>
      <c r="C975" s="49"/>
      <c r="D975" s="91">
        <f t="array" ref="D975">iferror(vlookup(xlookup(B965,'현황'!O:O,'현황'!O:O,,-1,-1),'현황'!O:S,3,false),0)</f>
        <v>0</v>
      </c>
      <c r="E975" s="66"/>
      <c r="F975" s="52" t="s">
        <v>37</v>
      </c>
      <c r="G975" s="67"/>
      <c r="H975" s="80"/>
      <c r="I975" s="69"/>
      <c r="J975" s="72"/>
      <c r="K975" s="73"/>
      <c r="L975" s="72"/>
      <c r="M975" s="73"/>
      <c r="N975" s="72"/>
      <c r="O975" s="73"/>
      <c r="P975" s="72"/>
      <c r="Q975" s="73"/>
      <c r="R975" s="72"/>
      <c r="S975" s="73"/>
      <c r="T975" s="72"/>
      <c r="U975" s="73"/>
      <c r="V975" s="72"/>
      <c r="W975" s="73"/>
      <c r="X975" s="72"/>
      <c r="Y975" s="73"/>
      <c r="Z975" s="74" t="b">
        <v>0</v>
      </c>
      <c r="AA975" s="130">
        <f t="shared" si="385"/>
        <v>0</v>
      </c>
      <c r="AB975" s="131">
        <f t="shared" si="386"/>
        <v>0</v>
      </c>
      <c r="AC975" s="132">
        <f t="shared" si="387"/>
        <v>0</v>
      </c>
      <c r="AD975" s="133">
        <f t="shared" si="388"/>
        <v>0</v>
      </c>
      <c r="AE975" s="131">
        <f t="shared" si="389"/>
        <v>0</v>
      </c>
      <c r="AF975" s="133">
        <f t="shared" si="390"/>
        <v>0</v>
      </c>
      <c r="AG975" s="1"/>
    </row>
    <row r="976" ht="21.0" customHeight="1">
      <c r="A976" s="1"/>
      <c r="B976" s="48" t="s">
        <v>47</v>
      </c>
      <c r="C976" s="49"/>
      <c r="D976" s="91">
        <f t="array" ref="D976">iferror(vlookup(xlookup(B965,'현황'!O:O,'현황'!O:O,,-1,-1),'현황'!O:S,4,false),0)</f>
        <v>0</v>
      </c>
      <c r="E976" s="41"/>
      <c r="F976" s="92" t="s">
        <v>40</v>
      </c>
      <c r="G976" s="79"/>
      <c r="H976" s="93"/>
      <c r="I976" s="94"/>
      <c r="J976" s="95"/>
      <c r="K976" s="96"/>
      <c r="L976" s="95"/>
      <c r="M976" s="96"/>
      <c r="N976" s="95"/>
      <c r="O976" s="96"/>
      <c r="P976" s="95"/>
      <c r="Q976" s="96"/>
      <c r="R976" s="95"/>
      <c r="S976" s="96"/>
      <c r="T976" s="95"/>
      <c r="U976" s="96"/>
      <c r="V976" s="95"/>
      <c r="W976" s="96"/>
      <c r="X976" s="95"/>
      <c r="Y976" s="96"/>
      <c r="Z976" s="97" t="b">
        <v>0</v>
      </c>
      <c r="AA976" s="135">
        <f t="shared" si="385"/>
        <v>0</v>
      </c>
      <c r="AB976" s="136">
        <f t="shared" si="386"/>
        <v>0</v>
      </c>
      <c r="AC976" s="137">
        <f t="shared" si="387"/>
        <v>0</v>
      </c>
      <c r="AD976" s="138">
        <f t="shared" si="388"/>
        <v>0</v>
      </c>
      <c r="AE976" s="136">
        <f t="shared" si="389"/>
        <v>0</v>
      </c>
      <c r="AF976" s="138">
        <f t="shared" si="390"/>
        <v>0</v>
      </c>
      <c r="AG976" s="1"/>
    </row>
    <row r="977" ht="21.0" customHeight="1">
      <c r="A977" s="1"/>
      <c r="B977" s="102" t="s">
        <v>48</v>
      </c>
      <c r="C977" s="103"/>
      <c r="D977" s="104">
        <f>iferror(D976/D974,0)</f>
        <v>0</v>
      </c>
      <c r="E977" s="102" t="s">
        <v>49</v>
      </c>
      <c r="F977" s="103"/>
      <c r="G977" s="105"/>
      <c r="H977" s="106" t="s">
        <v>50</v>
      </c>
      <c r="I977" s="107"/>
      <c r="J977" s="11"/>
      <c r="K977" s="11"/>
      <c r="L977" s="11"/>
      <c r="M977" s="11"/>
      <c r="N977" s="11"/>
      <c r="O977" s="11"/>
      <c r="P977" s="108" t="s">
        <v>51</v>
      </c>
      <c r="Q977" s="12"/>
      <c r="R977" s="109"/>
      <c r="S977" s="11"/>
      <c r="T977" s="11"/>
      <c r="U977" s="11"/>
      <c r="V977" s="11"/>
      <c r="W977" s="11"/>
      <c r="X977" s="11"/>
      <c r="Y977" s="11"/>
      <c r="Z977" s="12"/>
      <c r="AA977" s="139">
        <f>SUM(AA968:AA976)</f>
        <v>0</v>
      </c>
      <c r="AB977" s="140" t="s">
        <v>227</v>
      </c>
      <c r="AG977" s="1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1"/>
      <c r="AA978" s="1"/>
      <c r="AB978" s="1"/>
      <c r="AC978" s="3"/>
      <c r="AD978" s="1"/>
      <c r="AE978" s="1"/>
      <c r="AF978" s="1"/>
      <c r="AG978" s="1"/>
    </row>
    <row r="979" ht="21.0" customHeight="1">
      <c r="A979" s="1"/>
      <c r="B979" s="4" t="s">
        <v>1</v>
      </c>
      <c r="C979" s="5"/>
      <c r="D979" s="6" t="s">
        <v>2</v>
      </c>
      <c r="E979" s="7"/>
      <c r="F979" s="7"/>
      <c r="G979" s="5"/>
      <c r="H979" s="8" t="s">
        <v>3</v>
      </c>
      <c r="I979" s="8" t="s">
        <v>4</v>
      </c>
      <c r="J979" s="9" t="s">
        <v>5</v>
      </c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5"/>
      <c r="AA979" s="117" t="s">
        <v>6</v>
      </c>
      <c r="AB979" s="11"/>
      <c r="AC979" s="11"/>
      <c r="AD979" s="11"/>
      <c r="AE979" s="11"/>
      <c r="AF979" s="12"/>
      <c r="AG979" s="1"/>
    </row>
    <row r="980" ht="21.0" customHeight="1">
      <c r="A980" s="1"/>
      <c r="B980" s="149" t="s">
        <v>138</v>
      </c>
      <c r="C980" s="14" t="str">
        <f>if(B980="0/0","",choose(weekday(B980),"(일)","(월)","(화)","(수)","(목)","(금)","(토)"))</f>
        <v/>
      </c>
      <c r="D980" s="15" t="s">
        <v>7</v>
      </c>
      <c r="E980" s="16" t="s">
        <v>8</v>
      </c>
      <c r="F980" s="17"/>
      <c r="G980" s="18" t="s">
        <v>9</v>
      </c>
      <c r="H980" s="150" t="s">
        <v>139</v>
      </c>
      <c r="I980" s="151"/>
      <c r="J980" s="21" t="s">
        <v>12</v>
      </c>
      <c r="K980" s="22"/>
      <c r="L980" s="21" t="s">
        <v>13</v>
      </c>
      <c r="M980" s="22"/>
      <c r="N980" s="21" t="s">
        <v>14</v>
      </c>
      <c r="O980" s="22"/>
      <c r="P980" s="21" t="s">
        <v>15</v>
      </c>
      <c r="Q980" s="22"/>
      <c r="R980" s="23" t="s">
        <v>16</v>
      </c>
      <c r="S980" s="22"/>
      <c r="T980" s="23" t="s">
        <v>17</v>
      </c>
      <c r="U980" s="22"/>
      <c r="V980" s="23" t="s">
        <v>18</v>
      </c>
      <c r="W980" s="22"/>
      <c r="X980" s="23" t="s">
        <v>19</v>
      </c>
      <c r="Y980" s="22"/>
      <c r="Z980" s="24" t="s">
        <v>228</v>
      </c>
      <c r="AA980" s="118" t="s">
        <v>21</v>
      </c>
      <c r="AB980" s="119" t="s">
        <v>22</v>
      </c>
      <c r="AC980" s="7"/>
      <c r="AD980" s="22"/>
      <c r="AE980" s="120" t="s">
        <v>23</v>
      </c>
      <c r="AF980" s="22"/>
      <c r="AG980" s="1"/>
    </row>
    <row r="981" ht="21.0" customHeight="1">
      <c r="A981" s="1"/>
      <c r="B981" s="27">
        <f>iferror(B980-'현황'!$C$4+1,0)</f>
        <v>0</v>
      </c>
      <c r="C981" s="28"/>
      <c r="D981" s="29">
        <v>0.0</v>
      </c>
      <c r="E981" s="30">
        <v>0.0</v>
      </c>
      <c r="F981" s="31"/>
      <c r="G981" s="32">
        <v>0.0</v>
      </c>
      <c r="H981" s="33">
        <v>0.0</v>
      </c>
      <c r="I981" s="34"/>
      <c r="J981" s="35"/>
      <c r="K981" s="36"/>
      <c r="L981" s="35"/>
      <c r="M981" s="36"/>
      <c r="N981" s="35"/>
      <c r="O981" s="36"/>
      <c r="P981" s="35"/>
      <c r="Q981" s="36"/>
      <c r="R981" s="35"/>
      <c r="S981" s="36"/>
      <c r="T981" s="35"/>
      <c r="U981" s="36"/>
      <c r="V981" s="35"/>
      <c r="W981" s="36"/>
      <c r="X981" s="35"/>
      <c r="Y981" s="36"/>
      <c r="Z981" s="37"/>
      <c r="AA981" s="37"/>
      <c r="AB981" s="35"/>
      <c r="AC981" s="38"/>
      <c r="AD981" s="36"/>
      <c r="AE981" s="35"/>
      <c r="AF981" s="36"/>
      <c r="AG981" s="1"/>
    </row>
    <row r="982" ht="21.0" customHeight="1">
      <c r="A982" s="1"/>
      <c r="B982" s="39" t="s">
        <v>24</v>
      </c>
      <c r="C982" s="40"/>
      <c r="D982" s="41"/>
      <c r="E982" s="42" t="s">
        <v>25</v>
      </c>
      <c r="F982" s="40"/>
      <c r="G982" s="41"/>
      <c r="H982" s="43" t="s">
        <v>26</v>
      </c>
      <c r="J982" s="44" t="s">
        <v>27</v>
      </c>
      <c r="K982" s="45" t="s">
        <v>28</v>
      </c>
      <c r="L982" s="44" t="s">
        <v>27</v>
      </c>
      <c r="M982" s="45" t="s">
        <v>28</v>
      </c>
      <c r="N982" s="44" t="s">
        <v>27</v>
      </c>
      <c r="O982" s="45" t="s">
        <v>28</v>
      </c>
      <c r="P982" s="44" t="s">
        <v>27</v>
      </c>
      <c r="Q982" s="45" t="s">
        <v>28</v>
      </c>
      <c r="R982" s="44" t="s">
        <v>27</v>
      </c>
      <c r="S982" s="45" t="s">
        <v>28</v>
      </c>
      <c r="T982" s="44" t="s">
        <v>27</v>
      </c>
      <c r="U982" s="45" t="s">
        <v>28</v>
      </c>
      <c r="V982" s="44" t="s">
        <v>27</v>
      </c>
      <c r="W982" s="45" t="s">
        <v>28</v>
      </c>
      <c r="X982" s="44" t="s">
        <v>27</v>
      </c>
      <c r="Y982" s="45" t="s">
        <v>28</v>
      </c>
      <c r="Z982" s="46"/>
      <c r="AA982" s="46"/>
      <c r="AB982" s="121" t="s">
        <v>29</v>
      </c>
      <c r="AC982" s="122" t="s">
        <v>30</v>
      </c>
      <c r="AD982" s="123" t="s">
        <v>31</v>
      </c>
      <c r="AE982" s="121" t="s">
        <v>27</v>
      </c>
      <c r="AF982" s="123" t="s">
        <v>28</v>
      </c>
      <c r="AG982" s="1"/>
    </row>
    <row r="983" ht="21.0" customHeight="1">
      <c r="A983" s="1"/>
      <c r="B983" s="48" t="s">
        <v>32</v>
      </c>
      <c r="C983" s="49"/>
      <c r="D983" s="50"/>
      <c r="E983" s="51" t="s">
        <v>33</v>
      </c>
      <c r="F983" s="52" t="s">
        <v>34</v>
      </c>
      <c r="G983" s="53"/>
      <c r="H983" s="148"/>
      <c r="I983" s="55"/>
      <c r="J983" s="58"/>
      <c r="K983" s="59"/>
      <c r="L983" s="58"/>
      <c r="M983" s="59"/>
      <c r="N983" s="58"/>
      <c r="O983" s="59"/>
      <c r="P983" s="58"/>
      <c r="Q983" s="59"/>
      <c r="R983" s="58"/>
      <c r="S983" s="59"/>
      <c r="T983" s="58"/>
      <c r="U983" s="59"/>
      <c r="V983" s="58"/>
      <c r="W983" s="59"/>
      <c r="X983" s="58"/>
      <c r="Y983" s="59"/>
      <c r="Z983" s="60" t="b">
        <v>0</v>
      </c>
      <c r="AA983" s="125">
        <f t="shared" ref="AA983:AA991" si="391">(J983*K983+L983*M983+N983*O983+P983*Q983+R983*S983+T983*U983+V983*W983+X983*Y983)*if(Z983=true,0.453592,1)</f>
        <v>0</v>
      </c>
      <c r="AB983" s="126">
        <f t="shared" ref="AB983:AB991" si="392">SUM(AE983*AF983*0.025,AE983)</f>
        <v>0</v>
      </c>
      <c r="AC983" s="127">
        <f t="shared" ref="AC983:AC991" si="393">AB983*87%</f>
        <v>0</v>
      </c>
      <c r="AD983" s="128">
        <f t="shared" ref="AD983:AD991" si="394">AB983*67%</f>
        <v>0</v>
      </c>
      <c r="AE983" s="126">
        <f t="shared" ref="AE983:AE991" si="395">MAX(J983,L983,N983,P983,R983,T983,V983,X983)*if(Z983=true,0.453592,1)</f>
        <v>0</v>
      </c>
      <c r="AF983" s="128">
        <f t="shared" ref="AF983:AF991" si="396">MAX(IF(J983*if(Z983=true,0.453592,1)=$AE983,K983,0),IF(L983*if(Z983=true,0.453592,1)=$AE983,M983,0),IF(N983*if(Z983=true,0.453592,1)=$AE983,O983,0),IF(P983*if(Z983=true,0.453592,1)=$AE983,Q983,0),IF(R983*if(Z983=true,0.453592,1)=$AE983,S983,0),IF(T983*if(Z983=true,0.453592,1)=$AE983,U983,0),IF(V983*if(Z983=true,0.453592,1)=$AE983,W983,0),IF(X983*if(Z983=true,0.453592,1)=$AE983,Y983,0))</f>
        <v>0</v>
      </c>
      <c r="AG983" s="1"/>
    </row>
    <row r="984" ht="21.0" customHeight="1">
      <c r="A984" s="1"/>
      <c r="B984" s="48" t="s">
        <v>36</v>
      </c>
      <c r="C984" s="49"/>
      <c r="D984" s="65"/>
      <c r="E984" s="66"/>
      <c r="F984" s="52" t="s">
        <v>37</v>
      </c>
      <c r="G984" s="67"/>
      <c r="H984" s="129"/>
      <c r="I984" s="69"/>
      <c r="J984" s="72"/>
      <c r="K984" s="73"/>
      <c r="L984" s="72"/>
      <c r="M984" s="73"/>
      <c r="N984" s="72"/>
      <c r="O984" s="73"/>
      <c r="P984" s="72"/>
      <c r="Q984" s="73"/>
      <c r="R984" s="72"/>
      <c r="S984" s="73"/>
      <c r="T984" s="72"/>
      <c r="U984" s="73"/>
      <c r="V984" s="72"/>
      <c r="W984" s="73"/>
      <c r="X984" s="72"/>
      <c r="Y984" s="73"/>
      <c r="Z984" s="74" t="b">
        <v>0</v>
      </c>
      <c r="AA984" s="130">
        <f t="shared" si="391"/>
        <v>0</v>
      </c>
      <c r="AB984" s="131">
        <f t="shared" si="392"/>
        <v>0</v>
      </c>
      <c r="AC984" s="132">
        <f t="shared" si="393"/>
        <v>0</v>
      </c>
      <c r="AD984" s="133">
        <f t="shared" si="394"/>
        <v>0</v>
      </c>
      <c r="AE984" s="131">
        <f t="shared" si="395"/>
        <v>0</v>
      </c>
      <c r="AF984" s="133">
        <f t="shared" si="396"/>
        <v>0</v>
      </c>
      <c r="AG984" s="1"/>
    </row>
    <row r="985" ht="21.0" customHeight="1">
      <c r="A985" s="1"/>
      <c r="B985" s="48" t="s">
        <v>39</v>
      </c>
      <c r="C985" s="49"/>
      <c r="D985" s="65"/>
      <c r="E985" s="41"/>
      <c r="F985" s="52" t="s">
        <v>40</v>
      </c>
      <c r="G985" s="79"/>
      <c r="H985" s="80"/>
      <c r="I985" s="69"/>
      <c r="J985" s="72"/>
      <c r="K985" s="73"/>
      <c r="L985" s="72"/>
      <c r="M985" s="73"/>
      <c r="N985" s="72"/>
      <c r="O985" s="73"/>
      <c r="P985" s="72"/>
      <c r="Q985" s="73"/>
      <c r="R985" s="72"/>
      <c r="S985" s="73"/>
      <c r="T985" s="72"/>
      <c r="U985" s="73"/>
      <c r="V985" s="72"/>
      <c r="W985" s="73"/>
      <c r="X985" s="72"/>
      <c r="Y985" s="73"/>
      <c r="Z985" s="74" t="b">
        <v>0</v>
      </c>
      <c r="AA985" s="130">
        <f t="shared" si="391"/>
        <v>0</v>
      </c>
      <c r="AB985" s="131">
        <f t="shared" si="392"/>
        <v>0</v>
      </c>
      <c r="AC985" s="132">
        <f t="shared" si="393"/>
        <v>0</v>
      </c>
      <c r="AD985" s="133">
        <f t="shared" si="394"/>
        <v>0</v>
      </c>
      <c r="AE985" s="131">
        <f t="shared" si="395"/>
        <v>0</v>
      </c>
      <c r="AF985" s="133">
        <f t="shared" si="396"/>
        <v>0</v>
      </c>
      <c r="AG985" s="1"/>
    </row>
    <row r="986" ht="21.0" customHeight="1">
      <c r="A986" s="1"/>
      <c r="B986" s="48" t="s">
        <v>41</v>
      </c>
      <c r="C986" s="81"/>
      <c r="D986" s="82" t="b">
        <v>0</v>
      </c>
      <c r="E986" s="51" t="s">
        <v>42</v>
      </c>
      <c r="F986" s="52" t="s">
        <v>34</v>
      </c>
      <c r="G986" s="83"/>
      <c r="H986" s="84"/>
      <c r="I986" s="85"/>
      <c r="J986" s="72"/>
      <c r="K986" s="73"/>
      <c r="L986" s="72"/>
      <c r="M986" s="73"/>
      <c r="N986" s="72"/>
      <c r="O986" s="73"/>
      <c r="P986" s="72"/>
      <c r="Q986" s="73"/>
      <c r="R986" s="72"/>
      <c r="S986" s="73"/>
      <c r="T986" s="72"/>
      <c r="U986" s="73"/>
      <c r="V986" s="72"/>
      <c r="W986" s="73"/>
      <c r="X986" s="72"/>
      <c r="Y986" s="73"/>
      <c r="Z986" s="74" t="b">
        <v>0</v>
      </c>
      <c r="AA986" s="130">
        <f t="shared" si="391"/>
        <v>0</v>
      </c>
      <c r="AB986" s="131">
        <f t="shared" si="392"/>
        <v>0</v>
      </c>
      <c r="AC986" s="132">
        <f t="shared" si="393"/>
        <v>0</v>
      </c>
      <c r="AD986" s="133">
        <f t="shared" si="394"/>
        <v>0</v>
      </c>
      <c r="AE986" s="131">
        <f t="shared" si="395"/>
        <v>0</v>
      </c>
      <c r="AF986" s="133">
        <f t="shared" si="396"/>
        <v>0</v>
      </c>
      <c r="AG986" s="1"/>
    </row>
    <row r="987" ht="21.0" customHeight="1">
      <c r="A987" s="1"/>
      <c r="B987" s="48" t="s">
        <v>43</v>
      </c>
      <c r="C987" s="49"/>
      <c r="D987" s="86" t="b">
        <v>0</v>
      </c>
      <c r="E987" s="66"/>
      <c r="F987" s="52" t="s">
        <v>37</v>
      </c>
      <c r="G987" s="67"/>
      <c r="H987" s="80"/>
      <c r="I987" s="69"/>
      <c r="J987" s="72"/>
      <c r="K987" s="73"/>
      <c r="L987" s="72"/>
      <c r="M987" s="73"/>
      <c r="N987" s="72"/>
      <c r="O987" s="73"/>
      <c r="P987" s="72"/>
      <c r="Q987" s="73"/>
      <c r="R987" s="72"/>
      <c r="S987" s="73"/>
      <c r="T987" s="72"/>
      <c r="U987" s="73"/>
      <c r="V987" s="72"/>
      <c r="W987" s="73"/>
      <c r="X987" s="72"/>
      <c r="Y987" s="73"/>
      <c r="Z987" s="74" t="b">
        <v>0</v>
      </c>
      <c r="AA987" s="130">
        <f t="shared" si="391"/>
        <v>0</v>
      </c>
      <c r="AB987" s="131">
        <f t="shared" si="392"/>
        <v>0</v>
      </c>
      <c r="AC987" s="132">
        <f t="shared" si="393"/>
        <v>0</v>
      </c>
      <c r="AD987" s="133">
        <f t="shared" si="394"/>
        <v>0</v>
      </c>
      <c r="AE987" s="131">
        <f t="shared" si="395"/>
        <v>0</v>
      </c>
      <c r="AF987" s="133">
        <f t="shared" si="396"/>
        <v>0</v>
      </c>
      <c r="AG987" s="1"/>
    </row>
    <row r="988" ht="21.0" customHeight="1">
      <c r="A988" s="1"/>
      <c r="B988" s="87" t="str">
        <f t="array" ref="B988">"📌최근 인바디 결과 : "&amp;text(xlookup(B980,'현황'!O:O,'현황'!O:O,,-1,-1),"m/d(ddd)")</f>
        <v>#REF!</v>
      </c>
      <c r="C988" s="88"/>
      <c r="D988" s="49"/>
      <c r="E988" s="41"/>
      <c r="F988" s="52" t="s">
        <v>40</v>
      </c>
      <c r="G988" s="79"/>
      <c r="H988" s="80"/>
      <c r="I988" s="69"/>
      <c r="J988" s="72"/>
      <c r="K988" s="73"/>
      <c r="L988" s="72"/>
      <c r="M988" s="73"/>
      <c r="N988" s="72"/>
      <c r="O988" s="73"/>
      <c r="P988" s="72"/>
      <c r="Q988" s="73"/>
      <c r="R988" s="72"/>
      <c r="S988" s="73"/>
      <c r="T988" s="72"/>
      <c r="U988" s="73"/>
      <c r="V988" s="72"/>
      <c r="W988" s="73"/>
      <c r="X988" s="72"/>
      <c r="Y988" s="73"/>
      <c r="Z988" s="74" t="b">
        <v>0</v>
      </c>
      <c r="AA988" s="130">
        <f t="shared" si="391"/>
        <v>0</v>
      </c>
      <c r="AB988" s="131">
        <f t="shared" si="392"/>
        <v>0</v>
      </c>
      <c r="AC988" s="132">
        <f t="shared" si="393"/>
        <v>0</v>
      </c>
      <c r="AD988" s="133">
        <f t="shared" si="394"/>
        <v>0</v>
      </c>
      <c r="AE988" s="131">
        <f t="shared" si="395"/>
        <v>0</v>
      </c>
      <c r="AF988" s="133">
        <f t="shared" si="396"/>
        <v>0</v>
      </c>
      <c r="AG988" s="1"/>
    </row>
    <row r="989" ht="21.0" customHeight="1">
      <c r="A989" s="1"/>
      <c r="B989" s="89" t="s">
        <v>44</v>
      </c>
      <c r="C989" s="49"/>
      <c r="D989" s="90">
        <f t="array" ref="D989">iferror(vlookup(xlookup(B980,'현황'!O:O,'현황'!O:O,,-1,-1),'현황'!O:S,2,false),0)</f>
        <v>0</v>
      </c>
      <c r="E989" s="51" t="s">
        <v>45</v>
      </c>
      <c r="F989" s="52" t="s">
        <v>34</v>
      </c>
      <c r="G989" s="83"/>
      <c r="H989" s="84"/>
      <c r="I989" s="85"/>
      <c r="J989" s="72"/>
      <c r="K989" s="73"/>
      <c r="L989" s="72"/>
      <c r="M989" s="73"/>
      <c r="N989" s="72"/>
      <c r="O989" s="73"/>
      <c r="P989" s="72"/>
      <c r="Q989" s="73"/>
      <c r="R989" s="72"/>
      <c r="S989" s="73"/>
      <c r="T989" s="72"/>
      <c r="U989" s="73"/>
      <c r="V989" s="72"/>
      <c r="W989" s="73"/>
      <c r="X989" s="72"/>
      <c r="Y989" s="73"/>
      <c r="Z989" s="74" t="b">
        <v>0</v>
      </c>
      <c r="AA989" s="130">
        <f t="shared" si="391"/>
        <v>0</v>
      </c>
      <c r="AB989" s="131">
        <f t="shared" si="392"/>
        <v>0</v>
      </c>
      <c r="AC989" s="132">
        <f t="shared" si="393"/>
        <v>0</v>
      </c>
      <c r="AD989" s="133">
        <f t="shared" si="394"/>
        <v>0</v>
      </c>
      <c r="AE989" s="131">
        <f t="shared" si="395"/>
        <v>0</v>
      </c>
      <c r="AF989" s="133">
        <f t="shared" si="396"/>
        <v>0</v>
      </c>
      <c r="AG989" s="1"/>
    </row>
    <row r="990" ht="21.0" customHeight="1">
      <c r="A990" s="1"/>
      <c r="B990" s="48" t="s">
        <v>46</v>
      </c>
      <c r="C990" s="49"/>
      <c r="D990" s="91">
        <f t="array" ref="D990">iferror(vlookup(xlookup(B980,'현황'!O:O,'현황'!O:O,,-1,-1),'현황'!O:S,3,false),0)</f>
        <v>0</v>
      </c>
      <c r="E990" s="66"/>
      <c r="F990" s="52" t="s">
        <v>37</v>
      </c>
      <c r="G990" s="67"/>
      <c r="H990" s="80"/>
      <c r="I990" s="69"/>
      <c r="J990" s="72"/>
      <c r="K990" s="73"/>
      <c r="L990" s="72"/>
      <c r="M990" s="73"/>
      <c r="N990" s="72"/>
      <c r="O990" s="73"/>
      <c r="P990" s="72"/>
      <c r="Q990" s="73"/>
      <c r="R990" s="72"/>
      <c r="S990" s="73"/>
      <c r="T990" s="72"/>
      <c r="U990" s="73"/>
      <c r="V990" s="72"/>
      <c r="W990" s="73"/>
      <c r="X990" s="72"/>
      <c r="Y990" s="73"/>
      <c r="Z990" s="74" t="b">
        <v>0</v>
      </c>
      <c r="AA990" s="130">
        <f t="shared" si="391"/>
        <v>0</v>
      </c>
      <c r="AB990" s="131">
        <f t="shared" si="392"/>
        <v>0</v>
      </c>
      <c r="AC990" s="132">
        <f t="shared" si="393"/>
        <v>0</v>
      </c>
      <c r="AD990" s="133">
        <f t="shared" si="394"/>
        <v>0</v>
      </c>
      <c r="AE990" s="131">
        <f t="shared" si="395"/>
        <v>0</v>
      </c>
      <c r="AF990" s="133">
        <f t="shared" si="396"/>
        <v>0</v>
      </c>
      <c r="AG990" s="1"/>
    </row>
    <row r="991" ht="21.0" customHeight="1">
      <c r="A991" s="1"/>
      <c r="B991" s="48" t="s">
        <v>47</v>
      </c>
      <c r="C991" s="49"/>
      <c r="D991" s="91">
        <f t="array" ref="D991">iferror(vlookup(xlookup(B980,'현황'!O:O,'현황'!O:O,,-1,-1),'현황'!O:S,4,false),0)</f>
        <v>0</v>
      </c>
      <c r="E991" s="41"/>
      <c r="F991" s="92" t="s">
        <v>40</v>
      </c>
      <c r="G991" s="79"/>
      <c r="H991" s="93"/>
      <c r="I991" s="94"/>
      <c r="J991" s="95"/>
      <c r="K991" s="96"/>
      <c r="L991" s="95"/>
      <c r="M991" s="96"/>
      <c r="N991" s="95"/>
      <c r="O991" s="96"/>
      <c r="P991" s="95"/>
      <c r="Q991" s="96"/>
      <c r="R991" s="95"/>
      <c r="S991" s="96"/>
      <c r="T991" s="95"/>
      <c r="U991" s="96"/>
      <c r="V991" s="95"/>
      <c r="W991" s="96"/>
      <c r="X991" s="95"/>
      <c r="Y991" s="96"/>
      <c r="Z991" s="97" t="b">
        <v>0</v>
      </c>
      <c r="AA991" s="135">
        <f t="shared" si="391"/>
        <v>0</v>
      </c>
      <c r="AB991" s="136">
        <f t="shared" si="392"/>
        <v>0</v>
      </c>
      <c r="AC991" s="137">
        <f t="shared" si="393"/>
        <v>0</v>
      </c>
      <c r="AD991" s="138">
        <f t="shared" si="394"/>
        <v>0</v>
      </c>
      <c r="AE991" s="136">
        <f t="shared" si="395"/>
        <v>0</v>
      </c>
      <c r="AF991" s="138">
        <f t="shared" si="396"/>
        <v>0</v>
      </c>
      <c r="AG991" s="1"/>
    </row>
    <row r="992" ht="21.0" customHeight="1">
      <c r="A992" s="1"/>
      <c r="B992" s="102" t="s">
        <v>48</v>
      </c>
      <c r="C992" s="103"/>
      <c r="D992" s="104">
        <f>iferror(D991/D989,0)</f>
        <v>0</v>
      </c>
      <c r="E992" s="102" t="s">
        <v>49</v>
      </c>
      <c r="F992" s="103"/>
      <c r="G992" s="105"/>
      <c r="H992" s="106" t="s">
        <v>50</v>
      </c>
      <c r="I992" s="107"/>
      <c r="J992" s="11"/>
      <c r="K992" s="11"/>
      <c r="L992" s="11"/>
      <c r="M992" s="11"/>
      <c r="N992" s="11"/>
      <c r="O992" s="11"/>
      <c r="P992" s="108" t="s">
        <v>51</v>
      </c>
      <c r="Q992" s="12"/>
      <c r="R992" s="109"/>
      <c r="S992" s="11"/>
      <c r="T992" s="11"/>
      <c r="U992" s="11"/>
      <c r="V992" s="11"/>
      <c r="W992" s="11"/>
      <c r="X992" s="11"/>
      <c r="Y992" s="11"/>
      <c r="Z992" s="12"/>
      <c r="AA992" s="139">
        <f>SUM(AA983:AA991)</f>
        <v>0</v>
      </c>
      <c r="AB992" s="140" t="s">
        <v>229</v>
      </c>
      <c r="AG992" s="1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1"/>
      <c r="AA993" s="1"/>
      <c r="AB993" s="1"/>
      <c r="AC993" s="3"/>
      <c r="AD993" s="1"/>
      <c r="AE993" s="1"/>
      <c r="AF993" s="1"/>
      <c r="AG993" s="1"/>
    </row>
    <row r="994" ht="21.0" customHeight="1">
      <c r="A994" s="1"/>
      <c r="B994" s="4" t="s">
        <v>1</v>
      </c>
      <c r="C994" s="5"/>
      <c r="D994" s="6" t="s">
        <v>2</v>
      </c>
      <c r="E994" s="7"/>
      <c r="F994" s="7"/>
      <c r="G994" s="5"/>
      <c r="H994" s="8" t="s">
        <v>3</v>
      </c>
      <c r="I994" s="8" t="s">
        <v>4</v>
      </c>
      <c r="J994" s="9" t="s">
        <v>5</v>
      </c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5"/>
      <c r="AA994" s="117" t="s">
        <v>6</v>
      </c>
      <c r="AB994" s="11"/>
      <c r="AC994" s="11"/>
      <c r="AD994" s="11"/>
      <c r="AE994" s="11"/>
      <c r="AF994" s="12"/>
      <c r="AG994" s="1"/>
    </row>
    <row r="995" ht="21.0" customHeight="1">
      <c r="A995" s="1"/>
      <c r="B995" s="149" t="s">
        <v>138</v>
      </c>
      <c r="C995" s="14" t="str">
        <f>if(B995="0/0","",choose(weekday(B995),"(일)","(월)","(화)","(수)","(목)","(금)","(토)"))</f>
        <v/>
      </c>
      <c r="D995" s="15" t="s">
        <v>7</v>
      </c>
      <c r="E995" s="16" t="s">
        <v>8</v>
      </c>
      <c r="F995" s="17"/>
      <c r="G995" s="18" t="s">
        <v>9</v>
      </c>
      <c r="H995" s="150" t="s">
        <v>139</v>
      </c>
      <c r="I995" s="151"/>
      <c r="J995" s="21" t="s">
        <v>12</v>
      </c>
      <c r="K995" s="22"/>
      <c r="L995" s="21" t="s">
        <v>13</v>
      </c>
      <c r="M995" s="22"/>
      <c r="N995" s="21" t="s">
        <v>14</v>
      </c>
      <c r="O995" s="22"/>
      <c r="P995" s="21" t="s">
        <v>15</v>
      </c>
      <c r="Q995" s="22"/>
      <c r="R995" s="23" t="s">
        <v>16</v>
      </c>
      <c r="S995" s="22"/>
      <c r="T995" s="23" t="s">
        <v>17</v>
      </c>
      <c r="U995" s="22"/>
      <c r="V995" s="23" t="s">
        <v>18</v>
      </c>
      <c r="W995" s="22"/>
      <c r="X995" s="23" t="s">
        <v>19</v>
      </c>
      <c r="Y995" s="22"/>
      <c r="Z995" s="24" t="s">
        <v>230</v>
      </c>
      <c r="AA995" s="118" t="s">
        <v>21</v>
      </c>
      <c r="AB995" s="119" t="s">
        <v>22</v>
      </c>
      <c r="AC995" s="7"/>
      <c r="AD995" s="22"/>
      <c r="AE995" s="120" t="s">
        <v>23</v>
      </c>
      <c r="AF995" s="22"/>
      <c r="AG995" s="1"/>
    </row>
    <row r="996" ht="21.0" customHeight="1">
      <c r="A996" s="1"/>
      <c r="B996" s="27">
        <f>iferror(B995-'현황'!$C$4+1,0)</f>
        <v>0</v>
      </c>
      <c r="C996" s="28"/>
      <c r="D996" s="29">
        <v>0.0</v>
      </c>
      <c r="E996" s="30">
        <v>0.0</v>
      </c>
      <c r="F996" s="31"/>
      <c r="G996" s="32">
        <v>0.0</v>
      </c>
      <c r="H996" s="33">
        <v>0.0</v>
      </c>
      <c r="I996" s="34"/>
      <c r="J996" s="35"/>
      <c r="K996" s="36"/>
      <c r="L996" s="35"/>
      <c r="M996" s="36"/>
      <c r="N996" s="35"/>
      <c r="O996" s="36"/>
      <c r="P996" s="35"/>
      <c r="Q996" s="36"/>
      <c r="R996" s="35"/>
      <c r="S996" s="36"/>
      <c r="T996" s="35"/>
      <c r="U996" s="36"/>
      <c r="V996" s="35"/>
      <c r="W996" s="36"/>
      <c r="X996" s="35"/>
      <c r="Y996" s="36"/>
      <c r="Z996" s="37"/>
      <c r="AA996" s="37"/>
      <c r="AB996" s="35"/>
      <c r="AC996" s="38"/>
      <c r="AD996" s="36"/>
      <c r="AE996" s="35"/>
      <c r="AF996" s="36"/>
      <c r="AG996" s="1"/>
    </row>
    <row r="997" ht="21.0" customHeight="1">
      <c r="A997" s="1"/>
      <c r="B997" s="39" t="s">
        <v>24</v>
      </c>
      <c r="C997" s="40"/>
      <c r="D997" s="41"/>
      <c r="E997" s="42" t="s">
        <v>25</v>
      </c>
      <c r="F997" s="40"/>
      <c r="G997" s="41"/>
      <c r="H997" s="43" t="s">
        <v>26</v>
      </c>
      <c r="J997" s="44" t="s">
        <v>27</v>
      </c>
      <c r="K997" s="45" t="s">
        <v>28</v>
      </c>
      <c r="L997" s="44" t="s">
        <v>27</v>
      </c>
      <c r="M997" s="45" t="s">
        <v>28</v>
      </c>
      <c r="N997" s="44" t="s">
        <v>27</v>
      </c>
      <c r="O997" s="45" t="s">
        <v>28</v>
      </c>
      <c r="P997" s="44" t="s">
        <v>27</v>
      </c>
      <c r="Q997" s="45" t="s">
        <v>28</v>
      </c>
      <c r="R997" s="44" t="s">
        <v>27</v>
      </c>
      <c r="S997" s="45" t="s">
        <v>28</v>
      </c>
      <c r="T997" s="44" t="s">
        <v>27</v>
      </c>
      <c r="U997" s="45" t="s">
        <v>28</v>
      </c>
      <c r="V997" s="44" t="s">
        <v>27</v>
      </c>
      <c r="W997" s="45" t="s">
        <v>28</v>
      </c>
      <c r="X997" s="44" t="s">
        <v>27</v>
      </c>
      <c r="Y997" s="45" t="s">
        <v>28</v>
      </c>
      <c r="Z997" s="46"/>
      <c r="AA997" s="46"/>
      <c r="AB997" s="121" t="s">
        <v>29</v>
      </c>
      <c r="AC997" s="122" t="s">
        <v>30</v>
      </c>
      <c r="AD997" s="123" t="s">
        <v>31</v>
      </c>
      <c r="AE997" s="121" t="s">
        <v>27</v>
      </c>
      <c r="AF997" s="123" t="s">
        <v>28</v>
      </c>
      <c r="AG997" s="1"/>
    </row>
    <row r="998" ht="21.0" customHeight="1">
      <c r="A998" s="1"/>
      <c r="B998" s="48" t="s">
        <v>32</v>
      </c>
      <c r="C998" s="49"/>
      <c r="D998" s="50"/>
      <c r="E998" s="51" t="s">
        <v>33</v>
      </c>
      <c r="F998" s="52" t="s">
        <v>34</v>
      </c>
      <c r="G998" s="53"/>
      <c r="H998" s="148"/>
      <c r="I998" s="55"/>
      <c r="J998" s="58"/>
      <c r="K998" s="59"/>
      <c r="L998" s="58"/>
      <c r="M998" s="59"/>
      <c r="N998" s="58"/>
      <c r="O998" s="59"/>
      <c r="P998" s="58"/>
      <c r="Q998" s="59"/>
      <c r="R998" s="58"/>
      <c r="S998" s="59"/>
      <c r="T998" s="58"/>
      <c r="U998" s="59"/>
      <c r="V998" s="58"/>
      <c r="W998" s="59"/>
      <c r="X998" s="58"/>
      <c r="Y998" s="59"/>
      <c r="Z998" s="60" t="b">
        <v>0</v>
      </c>
      <c r="AA998" s="125">
        <f t="shared" ref="AA998:AA1006" si="397">(J998*K998+L998*M998+N998*O998+P998*Q998+R998*S998+T998*U998+V998*W998+X998*Y998)*if(Z998=true,0.453592,1)</f>
        <v>0</v>
      </c>
      <c r="AB998" s="126">
        <f t="shared" ref="AB998:AB1006" si="398">SUM(AE998*AF998*0.025,AE998)</f>
        <v>0</v>
      </c>
      <c r="AC998" s="127">
        <f t="shared" ref="AC998:AC1006" si="399">AB998*87%</f>
        <v>0</v>
      </c>
      <c r="AD998" s="128">
        <f t="shared" ref="AD998:AD1006" si="400">AB998*67%</f>
        <v>0</v>
      </c>
      <c r="AE998" s="126">
        <f t="shared" ref="AE998:AE1006" si="401">MAX(J998,L998,N998,P998,R998,T998,V998,X998)*if(Z998=true,0.453592,1)</f>
        <v>0</v>
      </c>
      <c r="AF998" s="128">
        <f t="shared" ref="AF998:AF1006" si="402">MAX(IF(J998*if(Z998=true,0.453592,1)=$AE998,K998,0),IF(L998*if(Z998=true,0.453592,1)=$AE998,M998,0),IF(N998*if(Z998=true,0.453592,1)=$AE998,O998,0),IF(P998*if(Z998=true,0.453592,1)=$AE998,Q998,0),IF(R998*if(Z998=true,0.453592,1)=$AE998,S998,0),IF(T998*if(Z998=true,0.453592,1)=$AE998,U998,0),IF(V998*if(Z998=true,0.453592,1)=$AE998,W998,0),IF(X998*if(Z998=true,0.453592,1)=$AE998,Y998,0))</f>
        <v>0</v>
      </c>
      <c r="AG998" s="1"/>
    </row>
    <row r="999" ht="21.0" customHeight="1">
      <c r="A999" s="1"/>
      <c r="B999" s="48" t="s">
        <v>36</v>
      </c>
      <c r="C999" s="49"/>
      <c r="D999" s="65"/>
      <c r="E999" s="66"/>
      <c r="F999" s="52" t="s">
        <v>37</v>
      </c>
      <c r="G999" s="67"/>
      <c r="H999" s="129"/>
      <c r="I999" s="69"/>
      <c r="J999" s="72"/>
      <c r="K999" s="73"/>
      <c r="L999" s="72"/>
      <c r="M999" s="73"/>
      <c r="N999" s="72"/>
      <c r="O999" s="73"/>
      <c r="P999" s="72"/>
      <c r="Q999" s="73"/>
      <c r="R999" s="72"/>
      <c r="S999" s="73"/>
      <c r="T999" s="72"/>
      <c r="U999" s="73"/>
      <c r="V999" s="72"/>
      <c r="W999" s="73"/>
      <c r="X999" s="72"/>
      <c r="Y999" s="73"/>
      <c r="Z999" s="74" t="b">
        <v>0</v>
      </c>
      <c r="AA999" s="130">
        <f t="shared" si="397"/>
        <v>0</v>
      </c>
      <c r="AB999" s="131">
        <f t="shared" si="398"/>
        <v>0</v>
      </c>
      <c r="AC999" s="132">
        <f t="shared" si="399"/>
        <v>0</v>
      </c>
      <c r="AD999" s="133">
        <f t="shared" si="400"/>
        <v>0</v>
      </c>
      <c r="AE999" s="131">
        <f t="shared" si="401"/>
        <v>0</v>
      </c>
      <c r="AF999" s="133">
        <f t="shared" si="402"/>
        <v>0</v>
      </c>
      <c r="AG999" s="1"/>
    </row>
    <row r="1000" ht="21.0" customHeight="1">
      <c r="A1000" s="1"/>
      <c r="B1000" s="48" t="s">
        <v>39</v>
      </c>
      <c r="C1000" s="49"/>
      <c r="D1000" s="65"/>
      <c r="E1000" s="41"/>
      <c r="F1000" s="52" t="s">
        <v>40</v>
      </c>
      <c r="G1000" s="79"/>
      <c r="H1000" s="80"/>
      <c r="I1000" s="69"/>
      <c r="J1000" s="72"/>
      <c r="K1000" s="73"/>
      <c r="L1000" s="72"/>
      <c r="M1000" s="73"/>
      <c r="N1000" s="72"/>
      <c r="O1000" s="73"/>
      <c r="P1000" s="72"/>
      <c r="Q1000" s="73"/>
      <c r="R1000" s="72"/>
      <c r="S1000" s="73"/>
      <c r="T1000" s="72"/>
      <c r="U1000" s="73"/>
      <c r="V1000" s="72"/>
      <c r="W1000" s="73"/>
      <c r="X1000" s="72"/>
      <c r="Y1000" s="73"/>
      <c r="Z1000" s="74" t="b">
        <v>0</v>
      </c>
      <c r="AA1000" s="130">
        <f t="shared" si="397"/>
        <v>0</v>
      </c>
      <c r="AB1000" s="131">
        <f t="shared" si="398"/>
        <v>0</v>
      </c>
      <c r="AC1000" s="132">
        <f t="shared" si="399"/>
        <v>0</v>
      </c>
      <c r="AD1000" s="133">
        <f t="shared" si="400"/>
        <v>0</v>
      </c>
      <c r="AE1000" s="131">
        <f t="shared" si="401"/>
        <v>0</v>
      </c>
      <c r="AF1000" s="133">
        <f t="shared" si="402"/>
        <v>0</v>
      </c>
      <c r="AG1000" s="1"/>
    </row>
    <row r="1001" ht="21.0" customHeight="1">
      <c r="A1001" s="1"/>
      <c r="B1001" s="48" t="s">
        <v>41</v>
      </c>
      <c r="C1001" s="81"/>
      <c r="D1001" s="82" t="b">
        <v>0</v>
      </c>
      <c r="E1001" s="51" t="s">
        <v>42</v>
      </c>
      <c r="F1001" s="52" t="s">
        <v>34</v>
      </c>
      <c r="G1001" s="83"/>
      <c r="H1001" s="84"/>
      <c r="I1001" s="85"/>
      <c r="J1001" s="72"/>
      <c r="K1001" s="73"/>
      <c r="L1001" s="72"/>
      <c r="M1001" s="73"/>
      <c r="N1001" s="72"/>
      <c r="O1001" s="73"/>
      <c r="P1001" s="72"/>
      <c r="Q1001" s="73"/>
      <c r="R1001" s="72"/>
      <c r="S1001" s="73"/>
      <c r="T1001" s="72"/>
      <c r="U1001" s="73"/>
      <c r="V1001" s="72"/>
      <c r="W1001" s="73"/>
      <c r="X1001" s="72"/>
      <c r="Y1001" s="73"/>
      <c r="Z1001" s="74" t="b">
        <v>0</v>
      </c>
      <c r="AA1001" s="130">
        <f t="shared" si="397"/>
        <v>0</v>
      </c>
      <c r="AB1001" s="131">
        <f t="shared" si="398"/>
        <v>0</v>
      </c>
      <c r="AC1001" s="132">
        <f t="shared" si="399"/>
        <v>0</v>
      </c>
      <c r="AD1001" s="133">
        <f t="shared" si="400"/>
        <v>0</v>
      </c>
      <c r="AE1001" s="131">
        <f t="shared" si="401"/>
        <v>0</v>
      </c>
      <c r="AF1001" s="133">
        <f t="shared" si="402"/>
        <v>0</v>
      </c>
      <c r="AG1001" s="1"/>
    </row>
    <row r="1002" ht="21.0" customHeight="1">
      <c r="A1002" s="1"/>
      <c r="B1002" s="48" t="s">
        <v>43</v>
      </c>
      <c r="C1002" s="49"/>
      <c r="D1002" s="86" t="b">
        <v>0</v>
      </c>
      <c r="E1002" s="66"/>
      <c r="F1002" s="52" t="s">
        <v>37</v>
      </c>
      <c r="G1002" s="67"/>
      <c r="H1002" s="80"/>
      <c r="I1002" s="69"/>
      <c r="J1002" s="72"/>
      <c r="K1002" s="73"/>
      <c r="L1002" s="72"/>
      <c r="M1002" s="73"/>
      <c r="N1002" s="72"/>
      <c r="O1002" s="73"/>
      <c r="P1002" s="72"/>
      <c r="Q1002" s="73"/>
      <c r="R1002" s="72"/>
      <c r="S1002" s="73"/>
      <c r="T1002" s="72"/>
      <c r="U1002" s="73"/>
      <c r="V1002" s="72"/>
      <c r="W1002" s="73"/>
      <c r="X1002" s="72"/>
      <c r="Y1002" s="73"/>
      <c r="Z1002" s="74" t="b">
        <v>0</v>
      </c>
      <c r="AA1002" s="130">
        <f t="shared" si="397"/>
        <v>0</v>
      </c>
      <c r="AB1002" s="131">
        <f t="shared" si="398"/>
        <v>0</v>
      </c>
      <c r="AC1002" s="132">
        <f t="shared" si="399"/>
        <v>0</v>
      </c>
      <c r="AD1002" s="133">
        <f t="shared" si="400"/>
        <v>0</v>
      </c>
      <c r="AE1002" s="131">
        <f t="shared" si="401"/>
        <v>0</v>
      </c>
      <c r="AF1002" s="133">
        <f t="shared" si="402"/>
        <v>0</v>
      </c>
      <c r="AG1002" s="1"/>
    </row>
    <row r="1003" ht="21.0" customHeight="1">
      <c r="A1003" s="1"/>
      <c r="B1003" s="87" t="str">
        <f t="array" ref="B1003">"📌최근 인바디 결과 : "&amp;text(xlookup(B995,'현황'!O:O,'현황'!O:O,,-1,-1),"m/d(ddd)")</f>
        <v>#REF!</v>
      </c>
      <c r="C1003" s="88"/>
      <c r="D1003" s="49"/>
      <c r="E1003" s="41"/>
      <c r="F1003" s="52" t="s">
        <v>40</v>
      </c>
      <c r="G1003" s="79"/>
      <c r="H1003" s="80"/>
      <c r="I1003" s="69"/>
      <c r="J1003" s="72"/>
      <c r="K1003" s="73"/>
      <c r="L1003" s="72"/>
      <c r="M1003" s="73"/>
      <c r="N1003" s="72"/>
      <c r="O1003" s="73"/>
      <c r="P1003" s="72"/>
      <c r="Q1003" s="73"/>
      <c r="R1003" s="72"/>
      <c r="S1003" s="73"/>
      <c r="T1003" s="72"/>
      <c r="U1003" s="73"/>
      <c r="V1003" s="72"/>
      <c r="W1003" s="73"/>
      <c r="X1003" s="72"/>
      <c r="Y1003" s="73"/>
      <c r="Z1003" s="74" t="b">
        <v>0</v>
      </c>
      <c r="AA1003" s="130">
        <f t="shared" si="397"/>
        <v>0</v>
      </c>
      <c r="AB1003" s="131">
        <f t="shared" si="398"/>
        <v>0</v>
      </c>
      <c r="AC1003" s="132">
        <f t="shared" si="399"/>
        <v>0</v>
      </c>
      <c r="AD1003" s="133">
        <f t="shared" si="400"/>
        <v>0</v>
      </c>
      <c r="AE1003" s="131">
        <f t="shared" si="401"/>
        <v>0</v>
      </c>
      <c r="AF1003" s="133">
        <f t="shared" si="402"/>
        <v>0</v>
      </c>
      <c r="AG1003" s="1"/>
    </row>
    <row r="1004" ht="21.0" customHeight="1">
      <c r="A1004" s="1"/>
      <c r="B1004" s="89" t="s">
        <v>44</v>
      </c>
      <c r="C1004" s="49"/>
      <c r="D1004" s="90">
        <f t="array" ref="D1004">iferror(vlookup(xlookup(B995,'현황'!O:O,'현황'!O:O,,-1,-1),'현황'!O:S,2,false),0)</f>
        <v>0</v>
      </c>
      <c r="E1004" s="51" t="s">
        <v>45</v>
      </c>
      <c r="F1004" s="52" t="s">
        <v>34</v>
      </c>
      <c r="G1004" s="83"/>
      <c r="H1004" s="84"/>
      <c r="I1004" s="85"/>
      <c r="J1004" s="72"/>
      <c r="K1004" s="73"/>
      <c r="L1004" s="72"/>
      <c r="M1004" s="73"/>
      <c r="N1004" s="72"/>
      <c r="O1004" s="73"/>
      <c r="P1004" s="72"/>
      <c r="Q1004" s="73"/>
      <c r="R1004" s="72"/>
      <c r="S1004" s="73"/>
      <c r="T1004" s="72"/>
      <c r="U1004" s="73"/>
      <c r="V1004" s="72"/>
      <c r="W1004" s="73"/>
      <c r="X1004" s="72"/>
      <c r="Y1004" s="73"/>
      <c r="Z1004" s="74" t="b">
        <v>0</v>
      </c>
      <c r="AA1004" s="130">
        <f t="shared" si="397"/>
        <v>0</v>
      </c>
      <c r="AB1004" s="131">
        <f t="shared" si="398"/>
        <v>0</v>
      </c>
      <c r="AC1004" s="132">
        <f t="shared" si="399"/>
        <v>0</v>
      </c>
      <c r="AD1004" s="133">
        <f t="shared" si="400"/>
        <v>0</v>
      </c>
      <c r="AE1004" s="131">
        <f t="shared" si="401"/>
        <v>0</v>
      </c>
      <c r="AF1004" s="133">
        <f t="shared" si="402"/>
        <v>0</v>
      </c>
      <c r="AG1004" s="1"/>
    </row>
    <row r="1005" ht="21.0" customHeight="1">
      <c r="A1005" s="1"/>
      <c r="B1005" s="48" t="s">
        <v>46</v>
      </c>
      <c r="C1005" s="49"/>
      <c r="D1005" s="91">
        <f t="array" ref="D1005">iferror(vlookup(xlookup(B995,'현황'!O:O,'현황'!O:O,,-1,-1),'현황'!O:S,3,false),0)</f>
        <v>0</v>
      </c>
      <c r="E1005" s="66"/>
      <c r="F1005" s="52" t="s">
        <v>37</v>
      </c>
      <c r="G1005" s="67"/>
      <c r="H1005" s="80"/>
      <c r="I1005" s="69"/>
      <c r="J1005" s="72"/>
      <c r="K1005" s="73"/>
      <c r="L1005" s="72"/>
      <c r="M1005" s="73"/>
      <c r="N1005" s="72"/>
      <c r="O1005" s="73"/>
      <c r="P1005" s="72"/>
      <c r="Q1005" s="73"/>
      <c r="R1005" s="72"/>
      <c r="S1005" s="73"/>
      <c r="T1005" s="72"/>
      <c r="U1005" s="73"/>
      <c r="V1005" s="72"/>
      <c r="W1005" s="73"/>
      <c r="X1005" s="72"/>
      <c r="Y1005" s="73"/>
      <c r="Z1005" s="74" t="b">
        <v>0</v>
      </c>
      <c r="AA1005" s="130">
        <f t="shared" si="397"/>
        <v>0</v>
      </c>
      <c r="AB1005" s="131">
        <f t="shared" si="398"/>
        <v>0</v>
      </c>
      <c r="AC1005" s="132">
        <f t="shared" si="399"/>
        <v>0</v>
      </c>
      <c r="AD1005" s="133">
        <f t="shared" si="400"/>
        <v>0</v>
      </c>
      <c r="AE1005" s="131">
        <f t="shared" si="401"/>
        <v>0</v>
      </c>
      <c r="AF1005" s="133">
        <f t="shared" si="402"/>
        <v>0</v>
      </c>
      <c r="AG1005" s="1"/>
    </row>
    <row r="1006" ht="21.0" customHeight="1">
      <c r="A1006" s="1"/>
      <c r="B1006" s="48" t="s">
        <v>47</v>
      </c>
      <c r="C1006" s="49"/>
      <c r="D1006" s="91">
        <f t="array" ref="D1006">iferror(vlookup(xlookup(B995,'현황'!O:O,'현황'!O:O,,-1,-1),'현황'!O:S,4,false),0)</f>
        <v>0</v>
      </c>
      <c r="E1006" s="41"/>
      <c r="F1006" s="92" t="s">
        <v>40</v>
      </c>
      <c r="G1006" s="79"/>
      <c r="H1006" s="93"/>
      <c r="I1006" s="94"/>
      <c r="J1006" s="95"/>
      <c r="K1006" s="96"/>
      <c r="L1006" s="95"/>
      <c r="M1006" s="96"/>
      <c r="N1006" s="95"/>
      <c r="O1006" s="96"/>
      <c r="P1006" s="95"/>
      <c r="Q1006" s="96"/>
      <c r="R1006" s="95"/>
      <c r="S1006" s="96"/>
      <c r="T1006" s="95"/>
      <c r="U1006" s="96"/>
      <c r="V1006" s="95"/>
      <c r="W1006" s="96"/>
      <c r="X1006" s="95"/>
      <c r="Y1006" s="96"/>
      <c r="Z1006" s="97" t="b">
        <v>0</v>
      </c>
      <c r="AA1006" s="135">
        <f t="shared" si="397"/>
        <v>0</v>
      </c>
      <c r="AB1006" s="136">
        <f t="shared" si="398"/>
        <v>0</v>
      </c>
      <c r="AC1006" s="137">
        <f t="shared" si="399"/>
        <v>0</v>
      </c>
      <c r="AD1006" s="138">
        <f t="shared" si="400"/>
        <v>0</v>
      </c>
      <c r="AE1006" s="136">
        <f t="shared" si="401"/>
        <v>0</v>
      </c>
      <c r="AF1006" s="138">
        <f t="shared" si="402"/>
        <v>0</v>
      </c>
      <c r="AG1006" s="1"/>
    </row>
    <row r="1007" ht="21.0" customHeight="1">
      <c r="A1007" s="1"/>
      <c r="B1007" s="102" t="s">
        <v>48</v>
      </c>
      <c r="C1007" s="103"/>
      <c r="D1007" s="104">
        <f>iferror(D1006/D1004,0)</f>
        <v>0</v>
      </c>
      <c r="E1007" s="102" t="s">
        <v>49</v>
      </c>
      <c r="F1007" s="103"/>
      <c r="G1007" s="105"/>
      <c r="H1007" s="106" t="s">
        <v>50</v>
      </c>
      <c r="I1007" s="107"/>
      <c r="J1007" s="11"/>
      <c r="K1007" s="11"/>
      <c r="L1007" s="11"/>
      <c r="M1007" s="11"/>
      <c r="N1007" s="11"/>
      <c r="O1007" s="11"/>
      <c r="P1007" s="108" t="s">
        <v>51</v>
      </c>
      <c r="Q1007" s="12"/>
      <c r="R1007" s="109"/>
      <c r="S1007" s="11"/>
      <c r="T1007" s="11"/>
      <c r="U1007" s="11"/>
      <c r="V1007" s="11"/>
      <c r="W1007" s="11"/>
      <c r="X1007" s="11"/>
      <c r="Y1007" s="11"/>
      <c r="Z1007" s="12"/>
      <c r="AA1007" s="139">
        <f>SUM(AA998:AA1006)</f>
        <v>0</v>
      </c>
      <c r="AB1007" s="140" t="s">
        <v>231</v>
      </c>
      <c r="AG1007" s="1"/>
    </row>
    <row r="1008" ht="21.0" customHeight="1">
      <c r="A1008" s="1"/>
      <c r="B1008" s="1"/>
      <c r="C1008" s="1"/>
      <c r="D1008" s="1"/>
      <c r="E1008" s="1"/>
      <c r="F1008" s="1"/>
      <c r="G1008" s="1"/>
      <c r="H1008" s="1"/>
      <c r="I1008" s="1"/>
      <c r="AA1008" s="1"/>
      <c r="AB1008" s="1"/>
      <c r="AC1008" s="3"/>
      <c r="AD1008" s="1"/>
      <c r="AE1008" s="1"/>
      <c r="AF1008" s="1"/>
      <c r="AG1008" s="1"/>
    </row>
    <row r="1009" ht="21.0" customHeight="1">
      <c r="A1009" s="1"/>
      <c r="B1009" s="4" t="s">
        <v>1</v>
      </c>
      <c r="C1009" s="5"/>
      <c r="D1009" s="6" t="s">
        <v>2</v>
      </c>
      <c r="E1009" s="7"/>
      <c r="F1009" s="7"/>
      <c r="G1009" s="5"/>
      <c r="H1009" s="8" t="s">
        <v>3</v>
      </c>
      <c r="I1009" s="8" t="s">
        <v>4</v>
      </c>
      <c r="J1009" s="9" t="s">
        <v>5</v>
      </c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5"/>
      <c r="AA1009" s="117" t="s">
        <v>6</v>
      </c>
      <c r="AB1009" s="11"/>
      <c r="AC1009" s="11"/>
      <c r="AD1009" s="11"/>
      <c r="AE1009" s="11"/>
      <c r="AF1009" s="12"/>
      <c r="AG1009" s="1"/>
    </row>
    <row r="1010" ht="21.0" customHeight="1">
      <c r="A1010" s="1"/>
      <c r="B1010" s="149" t="s">
        <v>138</v>
      </c>
      <c r="C1010" s="14" t="str">
        <f>if(B1010="0/0","",choose(weekday(B1010),"(일)","(월)","(화)","(수)","(목)","(금)","(토)"))</f>
        <v/>
      </c>
      <c r="D1010" s="15" t="s">
        <v>7</v>
      </c>
      <c r="E1010" s="16" t="s">
        <v>8</v>
      </c>
      <c r="F1010" s="17"/>
      <c r="G1010" s="18" t="s">
        <v>9</v>
      </c>
      <c r="H1010" s="150" t="s">
        <v>139</v>
      </c>
      <c r="I1010" s="151"/>
      <c r="J1010" s="21" t="s">
        <v>12</v>
      </c>
      <c r="K1010" s="22"/>
      <c r="L1010" s="21" t="s">
        <v>13</v>
      </c>
      <c r="M1010" s="22"/>
      <c r="N1010" s="21" t="s">
        <v>14</v>
      </c>
      <c r="O1010" s="22"/>
      <c r="P1010" s="21" t="s">
        <v>15</v>
      </c>
      <c r="Q1010" s="22"/>
      <c r="R1010" s="23" t="s">
        <v>16</v>
      </c>
      <c r="S1010" s="22"/>
      <c r="T1010" s="23" t="s">
        <v>17</v>
      </c>
      <c r="U1010" s="22"/>
      <c r="V1010" s="23" t="s">
        <v>18</v>
      </c>
      <c r="W1010" s="22"/>
      <c r="X1010" s="23" t="s">
        <v>19</v>
      </c>
      <c r="Y1010" s="22"/>
      <c r="Z1010" s="24" t="s">
        <v>232</v>
      </c>
      <c r="AA1010" s="118" t="s">
        <v>21</v>
      </c>
      <c r="AB1010" s="119" t="s">
        <v>22</v>
      </c>
      <c r="AC1010" s="7"/>
      <c r="AD1010" s="22"/>
      <c r="AE1010" s="120" t="s">
        <v>23</v>
      </c>
      <c r="AF1010" s="22"/>
      <c r="AG1010" s="1"/>
    </row>
    <row r="1011" ht="21.0" customHeight="1">
      <c r="A1011" s="1"/>
      <c r="B1011" s="27">
        <f>iferror(B1010-'현황'!$C$4+1,0)</f>
        <v>0</v>
      </c>
      <c r="C1011" s="28"/>
      <c r="D1011" s="29">
        <v>0.0</v>
      </c>
      <c r="E1011" s="30">
        <v>0.0</v>
      </c>
      <c r="F1011" s="31"/>
      <c r="G1011" s="32">
        <v>0.0</v>
      </c>
      <c r="H1011" s="33">
        <v>0.0</v>
      </c>
      <c r="I1011" s="34"/>
      <c r="J1011" s="35"/>
      <c r="K1011" s="36"/>
      <c r="L1011" s="35"/>
      <c r="M1011" s="36"/>
      <c r="N1011" s="35"/>
      <c r="O1011" s="36"/>
      <c r="P1011" s="35"/>
      <c r="Q1011" s="36"/>
      <c r="R1011" s="35"/>
      <c r="S1011" s="36"/>
      <c r="T1011" s="35"/>
      <c r="U1011" s="36"/>
      <c r="V1011" s="35"/>
      <c r="W1011" s="36"/>
      <c r="X1011" s="35"/>
      <c r="Y1011" s="36"/>
      <c r="Z1011" s="37"/>
      <c r="AA1011" s="37"/>
      <c r="AB1011" s="35"/>
      <c r="AC1011" s="38"/>
      <c r="AD1011" s="36"/>
      <c r="AE1011" s="35"/>
      <c r="AF1011" s="36"/>
      <c r="AG1011" s="1"/>
    </row>
    <row r="1012" ht="21.0" customHeight="1">
      <c r="A1012" s="1"/>
      <c r="B1012" s="39" t="s">
        <v>24</v>
      </c>
      <c r="C1012" s="40"/>
      <c r="D1012" s="41"/>
      <c r="E1012" s="42" t="s">
        <v>25</v>
      </c>
      <c r="F1012" s="40"/>
      <c r="G1012" s="41"/>
      <c r="H1012" s="43" t="s">
        <v>26</v>
      </c>
      <c r="J1012" s="44" t="s">
        <v>27</v>
      </c>
      <c r="K1012" s="45" t="s">
        <v>28</v>
      </c>
      <c r="L1012" s="44" t="s">
        <v>27</v>
      </c>
      <c r="M1012" s="45" t="s">
        <v>28</v>
      </c>
      <c r="N1012" s="44" t="s">
        <v>27</v>
      </c>
      <c r="O1012" s="45" t="s">
        <v>28</v>
      </c>
      <c r="P1012" s="44" t="s">
        <v>27</v>
      </c>
      <c r="Q1012" s="45" t="s">
        <v>28</v>
      </c>
      <c r="R1012" s="44" t="s">
        <v>27</v>
      </c>
      <c r="S1012" s="45" t="s">
        <v>28</v>
      </c>
      <c r="T1012" s="44" t="s">
        <v>27</v>
      </c>
      <c r="U1012" s="45" t="s">
        <v>28</v>
      </c>
      <c r="V1012" s="44" t="s">
        <v>27</v>
      </c>
      <c r="W1012" s="45" t="s">
        <v>28</v>
      </c>
      <c r="X1012" s="44" t="s">
        <v>27</v>
      </c>
      <c r="Y1012" s="45" t="s">
        <v>28</v>
      </c>
      <c r="Z1012" s="46"/>
      <c r="AA1012" s="46"/>
      <c r="AB1012" s="121" t="s">
        <v>29</v>
      </c>
      <c r="AC1012" s="122" t="s">
        <v>30</v>
      </c>
      <c r="AD1012" s="123" t="s">
        <v>31</v>
      </c>
      <c r="AE1012" s="121" t="s">
        <v>27</v>
      </c>
      <c r="AF1012" s="123" t="s">
        <v>28</v>
      </c>
      <c r="AG1012" s="1"/>
    </row>
    <row r="1013" ht="21.0" customHeight="1">
      <c r="A1013" s="1"/>
      <c r="B1013" s="48" t="s">
        <v>32</v>
      </c>
      <c r="C1013" s="49"/>
      <c r="D1013" s="50"/>
      <c r="E1013" s="51" t="s">
        <v>33</v>
      </c>
      <c r="F1013" s="52" t="s">
        <v>34</v>
      </c>
      <c r="G1013" s="53"/>
      <c r="H1013" s="148"/>
      <c r="I1013" s="55"/>
      <c r="J1013" s="58"/>
      <c r="K1013" s="59"/>
      <c r="L1013" s="58"/>
      <c r="M1013" s="59"/>
      <c r="N1013" s="58"/>
      <c r="O1013" s="59"/>
      <c r="P1013" s="58"/>
      <c r="Q1013" s="59"/>
      <c r="R1013" s="58"/>
      <c r="S1013" s="59"/>
      <c r="T1013" s="58"/>
      <c r="U1013" s="59"/>
      <c r="V1013" s="58"/>
      <c r="W1013" s="59"/>
      <c r="X1013" s="58"/>
      <c r="Y1013" s="59"/>
      <c r="Z1013" s="60" t="b">
        <v>0</v>
      </c>
      <c r="AA1013" s="125">
        <f t="shared" ref="AA1013:AA1021" si="403">(J1013*K1013+L1013*M1013+N1013*O1013+P1013*Q1013+R1013*S1013+T1013*U1013+V1013*W1013+X1013*Y1013)*if(Z1013=true,0.453592,1)</f>
        <v>0</v>
      </c>
      <c r="AB1013" s="126">
        <f t="shared" ref="AB1013:AB1021" si="404">SUM(AE1013*AF1013*0.025,AE1013)</f>
        <v>0</v>
      </c>
      <c r="AC1013" s="127">
        <f t="shared" ref="AC1013:AC1021" si="405">AB1013*87%</f>
        <v>0</v>
      </c>
      <c r="AD1013" s="128">
        <f t="shared" ref="AD1013:AD1021" si="406">AB1013*67%</f>
        <v>0</v>
      </c>
      <c r="AE1013" s="126">
        <f t="shared" ref="AE1013:AE1021" si="407">MAX(J1013,L1013,N1013,P1013,R1013,T1013,V1013,X1013)*if(Z1013=true,0.453592,1)</f>
        <v>0</v>
      </c>
      <c r="AF1013" s="128">
        <f t="shared" ref="AF1013:AF1021" si="408">MAX(IF(J1013*if(Z1013=true,0.453592,1)=$AE1013,K1013,0),IF(L1013*if(Z1013=true,0.453592,1)=$AE1013,M1013,0),IF(N1013*if(Z1013=true,0.453592,1)=$AE1013,O1013,0),IF(P1013*if(Z1013=true,0.453592,1)=$AE1013,Q1013,0),IF(R1013*if(Z1013=true,0.453592,1)=$AE1013,S1013,0),IF(T1013*if(Z1013=true,0.453592,1)=$AE1013,U1013,0),IF(V1013*if(Z1013=true,0.453592,1)=$AE1013,W1013,0),IF(X1013*if(Z1013=true,0.453592,1)=$AE1013,Y1013,0))</f>
        <v>0</v>
      </c>
      <c r="AG1013" s="1"/>
    </row>
    <row r="1014" ht="21.0" customHeight="1">
      <c r="A1014" s="1"/>
      <c r="B1014" s="48" t="s">
        <v>36</v>
      </c>
      <c r="C1014" s="49"/>
      <c r="D1014" s="65"/>
      <c r="E1014" s="66"/>
      <c r="F1014" s="52" t="s">
        <v>37</v>
      </c>
      <c r="G1014" s="67"/>
      <c r="H1014" s="129"/>
      <c r="I1014" s="69"/>
      <c r="J1014" s="72"/>
      <c r="K1014" s="73"/>
      <c r="L1014" s="72"/>
      <c r="M1014" s="73"/>
      <c r="N1014" s="72"/>
      <c r="O1014" s="73"/>
      <c r="P1014" s="72"/>
      <c r="Q1014" s="73"/>
      <c r="R1014" s="72"/>
      <c r="S1014" s="73"/>
      <c r="T1014" s="72"/>
      <c r="U1014" s="73"/>
      <c r="V1014" s="72"/>
      <c r="W1014" s="73"/>
      <c r="X1014" s="72"/>
      <c r="Y1014" s="73"/>
      <c r="Z1014" s="74" t="b">
        <v>0</v>
      </c>
      <c r="AA1014" s="130">
        <f t="shared" si="403"/>
        <v>0</v>
      </c>
      <c r="AB1014" s="131">
        <f t="shared" si="404"/>
        <v>0</v>
      </c>
      <c r="AC1014" s="132">
        <f t="shared" si="405"/>
        <v>0</v>
      </c>
      <c r="AD1014" s="133">
        <f t="shared" si="406"/>
        <v>0</v>
      </c>
      <c r="AE1014" s="131">
        <f t="shared" si="407"/>
        <v>0</v>
      </c>
      <c r="AF1014" s="133">
        <f t="shared" si="408"/>
        <v>0</v>
      </c>
      <c r="AG1014" s="1"/>
    </row>
    <row r="1015" ht="21.0" customHeight="1">
      <c r="A1015" s="1"/>
      <c r="B1015" s="48" t="s">
        <v>39</v>
      </c>
      <c r="C1015" s="49"/>
      <c r="D1015" s="65"/>
      <c r="E1015" s="41"/>
      <c r="F1015" s="52" t="s">
        <v>40</v>
      </c>
      <c r="G1015" s="79"/>
      <c r="H1015" s="80"/>
      <c r="I1015" s="69"/>
      <c r="J1015" s="72"/>
      <c r="K1015" s="73"/>
      <c r="L1015" s="72"/>
      <c r="M1015" s="73"/>
      <c r="N1015" s="72"/>
      <c r="O1015" s="73"/>
      <c r="P1015" s="72"/>
      <c r="Q1015" s="73"/>
      <c r="R1015" s="72"/>
      <c r="S1015" s="73"/>
      <c r="T1015" s="72"/>
      <c r="U1015" s="73"/>
      <c r="V1015" s="72"/>
      <c r="W1015" s="73"/>
      <c r="X1015" s="72"/>
      <c r="Y1015" s="73"/>
      <c r="Z1015" s="74" t="b">
        <v>0</v>
      </c>
      <c r="AA1015" s="130">
        <f t="shared" si="403"/>
        <v>0</v>
      </c>
      <c r="AB1015" s="131">
        <f t="shared" si="404"/>
        <v>0</v>
      </c>
      <c r="AC1015" s="132">
        <f t="shared" si="405"/>
        <v>0</v>
      </c>
      <c r="AD1015" s="133">
        <f t="shared" si="406"/>
        <v>0</v>
      </c>
      <c r="AE1015" s="131">
        <f t="shared" si="407"/>
        <v>0</v>
      </c>
      <c r="AF1015" s="133">
        <f t="shared" si="408"/>
        <v>0</v>
      </c>
      <c r="AG1015" s="1"/>
    </row>
    <row r="1016" ht="21.0" customHeight="1">
      <c r="A1016" s="1"/>
      <c r="B1016" s="48" t="s">
        <v>41</v>
      </c>
      <c r="C1016" s="81"/>
      <c r="D1016" s="82" t="b">
        <v>0</v>
      </c>
      <c r="E1016" s="51" t="s">
        <v>42</v>
      </c>
      <c r="F1016" s="52" t="s">
        <v>34</v>
      </c>
      <c r="G1016" s="83"/>
      <c r="H1016" s="84"/>
      <c r="I1016" s="85"/>
      <c r="J1016" s="72"/>
      <c r="K1016" s="73"/>
      <c r="L1016" s="72"/>
      <c r="M1016" s="73"/>
      <c r="N1016" s="72"/>
      <c r="O1016" s="73"/>
      <c r="P1016" s="72"/>
      <c r="Q1016" s="73"/>
      <c r="R1016" s="72"/>
      <c r="S1016" s="73"/>
      <c r="T1016" s="72"/>
      <c r="U1016" s="73"/>
      <c r="V1016" s="72"/>
      <c r="W1016" s="73"/>
      <c r="X1016" s="72"/>
      <c r="Y1016" s="73"/>
      <c r="Z1016" s="74" t="b">
        <v>0</v>
      </c>
      <c r="AA1016" s="130">
        <f t="shared" si="403"/>
        <v>0</v>
      </c>
      <c r="AB1016" s="131">
        <f t="shared" si="404"/>
        <v>0</v>
      </c>
      <c r="AC1016" s="132">
        <f t="shared" si="405"/>
        <v>0</v>
      </c>
      <c r="AD1016" s="133">
        <f t="shared" si="406"/>
        <v>0</v>
      </c>
      <c r="AE1016" s="131">
        <f t="shared" si="407"/>
        <v>0</v>
      </c>
      <c r="AF1016" s="133">
        <f t="shared" si="408"/>
        <v>0</v>
      </c>
      <c r="AG1016" s="1"/>
    </row>
    <row r="1017" ht="21.0" customHeight="1">
      <c r="A1017" s="1"/>
      <c r="B1017" s="48" t="s">
        <v>43</v>
      </c>
      <c r="C1017" s="49"/>
      <c r="D1017" s="86" t="b">
        <v>0</v>
      </c>
      <c r="E1017" s="66"/>
      <c r="F1017" s="52" t="s">
        <v>37</v>
      </c>
      <c r="G1017" s="67"/>
      <c r="H1017" s="80"/>
      <c r="I1017" s="69"/>
      <c r="J1017" s="72"/>
      <c r="K1017" s="73"/>
      <c r="L1017" s="72"/>
      <c r="M1017" s="73"/>
      <c r="N1017" s="72"/>
      <c r="O1017" s="73"/>
      <c r="P1017" s="72"/>
      <c r="Q1017" s="73"/>
      <c r="R1017" s="72"/>
      <c r="S1017" s="73"/>
      <c r="T1017" s="72"/>
      <c r="U1017" s="73"/>
      <c r="V1017" s="72"/>
      <c r="W1017" s="73"/>
      <c r="X1017" s="72"/>
      <c r="Y1017" s="73"/>
      <c r="Z1017" s="74" t="b">
        <v>0</v>
      </c>
      <c r="AA1017" s="130">
        <f t="shared" si="403"/>
        <v>0</v>
      </c>
      <c r="AB1017" s="131">
        <f t="shared" si="404"/>
        <v>0</v>
      </c>
      <c r="AC1017" s="132">
        <f t="shared" si="405"/>
        <v>0</v>
      </c>
      <c r="AD1017" s="133">
        <f t="shared" si="406"/>
        <v>0</v>
      </c>
      <c r="AE1017" s="131">
        <f t="shared" si="407"/>
        <v>0</v>
      </c>
      <c r="AF1017" s="133">
        <f t="shared" si="408"/>
        <v>0</v>
      </c>
      <c r="AG1017" s="1"/>
    </row>
    <row r="1018" ht="21.0" customHeight="1">
      <c r="A1018" s="1"/>
      <c r="B1018" s="87" t="str">
        <f t="array" ref="B1018">"📌최근 인바디 결과 : "&amp;text(xlookup(B1010,'현황'!O:O,'현황'!O:O,,-1,-1),"m/d(ddd)")</f>
        <v>#REF!</v>
      </c>
      <c r="C1018" s="88"/>
      <c r="D1018" s="49"/>
      <c r="E1018" s="41"/>
      <c r="F1018" s="52" t="s">
        <v>40</v>
      </c>
      <c r="G1018" s="79"/>
      <c r="H1018" s="80"/>
      <c r="I1018" s="69"/>
      <c r="J1018" s="72"/>
      <c r="K1018" s="73"/>
      <c r="L1018" s="72"/>
      <c r="M1018" s="73"/>
      <c r="N1018" s="72"/>
      <c r="O1018" s="73"/>
      <c r="P1018" s="72"/>
      <c r="Q1018" s="73"/>
      <c r="R1018" s="72"/>
      <c r="S1018" s="73"/>
      <c r="T1018" s="72"/>
      <c r="U1018" s="73"/>
      <c r="V1018" s="72"/>
      <c r="W1018" s="73"/>
      <c r="X1018" s="72"/>
      <c r="Y1018" s="73"/>
      <c r="Z1018" s="74" t="b">
        <v>0</v>
      </c>
      <c r="AA1018" s="130">
        <f t="shared" si="403"/>
        <v>0</v>
      </c>
      <c r="AB1018" s="131">
        <f t="shared" si="404"/>
        <v>0</v>
      </c>
      <c r="AC1018" s="132">
        <f t="shared" si="405"/>
        <v>0</v>
      </c>
      <c r="AD1018" s="133">
        <f t="shared" si="406"/>
        <v>0</v>
      </c>
      <c r="AE1018" s="131">
        <f t="shared" si="407"/>
        <v>0</v>
      </c>
      <c r="AF1018" s="133">
        <f t="shared" si="408"/>
        <v>0</v>
      </c>
      <c r="AG1018" s="1"/>
    </row>
    <row r="1019" ht="21.0" customHeight="1">
      <c r="A1019" s="1"/>
      <c r="B1019" s="89" t="s">
        <v>44</v>
      </c>
      <c r="C1019" s="49"/>
      <c r="D1019" s="90">
        <f t="array" ref="D1019">iferror(vlookup(xlookup(B1010,'현황'!O:O,'현황'!O:O,,-1,-1),'현황'!O:S,2,false),0)</f>
        <v>0</v>
      </c>
      <c r="E1019" s="51" t="s">
        <v>45</v>
      </c>
      <c r="F1019" s="52" t="s">
        <v>34</v>
      </c>
      <c r="G1019" s="83"/>
      <c r="H1019" s="84"/>
      <c r="I1019" s="85"/>
      <c r="J1019" s="72"/>
      <c r="K1019" s="73"/>
      <c r="L1019" s="72"/>
      <c r="M1019" s="73"/>
      <c r="N1019" s="72"/>
      <c r="O1019" s="73"/>
      <c r="P1019" s="72"/>
      <c r="Q1019" s="73"/>
      <c r="R1019" s="72"/>
      <c r="S1019" s="73"/>
      <c r="T1019" s="72"/>
      <c r="U1019" s="73"/>
      <c r="V1019" s="72"/>
      <c r="W1019" s="73"/>
      <c r="X1019" s="72"/>
      <c r="Y1019" s="73"/>
      <c r="Z1019" s="74" t="b">
        <v>0</v>
      </c>
      <c r="AA1019" s="130">
        <f t="shared" si="403"/>
        <v>0</v>
      </c>
      <c r="AB1019" s="131">
        <f t="shared" si="404"/>
        <v>0</v>
      </c>
      <c r="AC1019" s="132">
        <f t="shared" si="405"/>
        <v>0</v>
      </c>
      <c r="AD1019" s="133">
        <f t="shared" si="406"/>
        <v>0</v>
      </c>
      <c r="AE1019" s="131">
        <f t="shared" si="407"/>
        <v>0</v>
      </c>
      <c r="AF1019" s="133">
        <f t="shared" si="408"/>
        <v>0</v>
      </c>
      <c r="AG1019" s="1"/>
    </row>
    <row r="1020" ht="21.0" customHeight="1">
      <c r="A1020" s="1"/>
      <c r="B1020" s="48" t="s">
        <v>46</v>
      </c>
      <c r="C1020" s="49"/>
      <c r="D1020" s="91">
        <f t="array" ref="D1020">iferror(vlookup(xlookup(B1010,'현황'!O:O,'현황'!O:O,,-1,-1),'현황'!O:S,3,false),0)</f>
        <v>0</v>
      </c>
      <c r="E1020" s="66"/>
      <c r="F1020" s="52" t="s">
        <v>37</v>
      </c>
      <c r="G1020" s="67"/>
      <c r="H1020" s="80"/>
      <c r="I1020" s="69"/>
      <c r="J1020" s="72"/>
      <c r="K1020" s="73"/>
      <c r="L1020" s="72"/>
      <c r="M1020" s="73"/>
      <c r="N1020" s="72"/>
      <c r="O1020" s="73"/>
      <c r="P1020" s="72"/>
      <c r="Q1020" s="73"/>
      <c r="R1020" s="72"/>
      <c r="S1020" s="73"/>
      <c r="T1020" s="72"/>
      <c r="U1020" s="73"/>
      <c r="V1020" s="72"/>
      <c r="W1020" s="73"/>
      <c r="X1020" s="72"/>
      <c r="Y1020" s="73"/>
      <c r="Z1020" s="74" t="b">
        <v>0</v>
      </c>
      <c r="AA1020" s="130">
        <f t="shared" si="403"/>
        <v>0</v>
      </c>
      <c r="AB1020" s="131">
        <f t="shared" si="404"/>
        <v>0</v>
      </c>
      <c r="AC1020" s="132">
        <f t="shared" si="405"/>
        <v>0</v>
      </c>
      <c r="AD1020" s="133">
        <f t="shared" si="406"/>
        <v>0</v>
      </c>
      <c r="AE1020" s="131">
        <f t="shared" si="407"/>
        <v>0</v>
      </c>
      <c r="AF1020" s="133">
        <f t="shared" si="408"/>
        <v>0</v>
      </c>
      <c r="AG1020" s="1"/>
    </row>
    <row r="1021" ht="21.0" customHeight="1">
      <c r="A1021" s="1"/>
      <c r="B1021" s="48" t="s">
        <v>47</v>
      </c>
      <c r="C1021" s="49"/>
      <c r="D1021" s="91">
        <f t="array" ref="D1021">iferror(vlookup(xlookup(B1010,'현황'!O:O,'현황'!O:O,,-1,-1),'현황'!O:S,4,false),0)</f>
        <v>0</v>
      </c>
      <c r="E1021" s="41"/>
      <c r="F1021" s="92" t="s">
        <v>40</v>
      </c>
      <c r="G1021" s="79"/>
      <c r="H1021" s="93"/>
      <c r="I1021" s="94"/>
      <c r="J1021" s="95"/>
      <c r="K1021" s="96"/>
      <c r="L1021" s="95"/>
      <c r="M1021" s="96"/>
      <c r="N1021" s="95"/>
      <c r="O1021" s="96"/>
      <c r="P1021" s="95"/>
      <c r="Q1021" s="96"/>
      <c r="R1021" s="95"/>
      <c r="S1021" s="96"/>
      <c r="T1021" s="95"/>
      <c r="U1021" s="96"/>
      <c r="V1021" s="95"/>
      <c r="W1021" s="96"/>
      <c r="X1021" s="95"/>
      <c r="Y1021" s="96"/>
      <c r="Z1021" s="97" t="b">
        <v>0</v>
      </c>
      <c r="AA1021" s="135">
        <f t="shared" si="403"/>
        <v>0</v>
      </c>
      <c r="AB1021" s="136">
        <f t="shared" si="404"/>
        <v>0</v>
      </c>
      <c r="AC1021" s="137">
        <f t="shared" si="405"/>
        <v>0</v>
      </c>
      <c r="AD1021" s="138">
        <f t="shared" si="406"/>
        <v>0</v>
      </c>
      <c r="AE1021" s="136">
        <f t="shared" si="407"/>
        <v>0</v>
      </c>
      <c r="AF1021" s="138">
        <f t="shared" si="408"/>
        <v>0</v>
      </c>
      <c r="AG1021" s="1"/>
    </row>
    <row r="1022" ht="21.0" customHeight="1">
      <c r="A1022" s="1"/>
      <c r="B1022" s="102" t="s">
        <v>48</v>
      </c>
      <c r="C1022" s="103"/>
      <c r="D1022" s="104">
        <f>iferror(D1021/D1019,0)</f>
        <v>0</v>
      </c>
      <c r="E1022" s="102" t="s">
        <v>49</v>
      </c>
      <c r="F1022" s="103"/>
      <c r="G1022" s="105"/>
      <c r="H1022" s="143" t="s">
        <v>50</v>
      </c>
      <c r="I1022" s="144"/>
      <c r="J1022" s="11"/>
      <c r="K1022" s="11"/>
      <c r="L1022" s="11"/>
      <c r="M1022" s="11"/>
      <c r="N1022" s="11"/>
      <c r="O1022" s="11"/>
      <c r="P1022" s="145" t="s">
        <v>51</v>
      </c>
      <c r="Q1022" s="12"/>
      <c r="R1022" s="146"/>
      <c r="S1022" s="11"/>
      <c r="T1022" s="11"/>
      <c r="U1022" s="11"/>
      <c r="V1022" s="11"/>
      <c r="W1022" s="11"/>
      <c r="X1022" s="11"/>
      <c r="Y1022" s="11"/>
      <c r="Z1022" s="12"/>
      <c r="AA1022" s="139">
        <f>SUM(AA1013:AA1021)</f>
        <v>0</v>
      </c>
      <c r="AB1022" s="140" t="s">
        <v>233</v>
      </c>
      <c r="AG1022" s="1"/>
    </row>
    <row r="1023" ht="21.0" customHeight="1">
      <c r="A1023" s="1"/>
      <c r="B1023" s="1"/>
      <c r="C1023" s="1"/>
      <c r="D1023" s="1"/>
      <c r="E1023" s="1"/>
      <c r="F1023" s="1"/>
      <c r="G1023" s="1"/>
      <c r="H1023" s="1"/>
      <c r="I1023" s="1"/>
      <c r="AA1023" s="1"/>
      <c r="AB1023" s="1"/>
      <c r="AC1023" s="3"/>
      <c r="AD1023" s="1"/>
      <c r="AE1023" s="1"/>
      <c r="AF1023" s="1"/>
      <c r="AG1023" s="1"/>
    </row>
    <row r="1024" ht="21.0" customHeight="1">
      <c r="A1024" s="1"/>
      <c r="B1024" s="4" t="s">
        <v>1</v>
      </c>
      <c r="C1024" s="5"/>
      <c r="D1024" s="6" t="s">
        <v>2</v>
      </c>
      <c r="E1024" s="7"/>
      <c r="F1024" s="7"/>
      <c r="G1024" s="5"/>
      <c r="H1024" s="8" t="s">
        <v>3</v>
      </c>
      <c r="I1024" s="8" t="s">
        <v>4</v>
      </c>
      <c r="J1024" s="9" t="s">
        <v>5</v>
      </c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5"/>
      <c r="AA1024" s="117" t="s">
        <v>6</v>
      </c>
      <c r="AB1024" s="11"/>
      <c r="AC1024" s="11"/>
      <c r="AD1024" s="11"/>
      <c r="AE1024" s="11"/>
      <c r="AF1024" s="12"/>
      <c r="AG1024" s="1"/>
    </row>
    <row r="1025" ht="21.0" customHeight="1">
      <c r="A1025" s="1"/>
      <c r="B1025" s="149" t="s">
        <v>138</v>
      </c>
      <c r="C1025" s="14" t="str">
        <f>if(B1025="0/0","",choose(weekday(B1025),"(일)","(월)","(화)","(수)","(목)","(금)","(토)"))</f>
        <v/>
      </c>
      <c r="D1025" s="15" t="s">
        <v>7</v>
      </c>
      <c r="E1025" s="16" t="s">
        <v>8</v>
      </c>
      <c r="F1025" s="17"/>
      <c r="G1025" s="18" t="s">
        <v>9</v>
      </c>
      <c r="H1025" s="150" t="s">
        <v>139</v>
      </c>
      <c r="I1025" s="151"/>
      <c r="J1025" s="21" t="s">
        <v>12</v>
      </c>
      <c r="K1025" s="22"/>
      <c r="L1025" s="21" t="s">
        <v>13</v>
      </c>
      <c r="M1025" s="22"/>
      <c r="N1025" s="21" t="s">
        <v>14</v>
      </c>
      <c r="O1025" s="22"/>
      <c r="P1025" s="21" t="s">
        <v>15</v>
      </c>
      <c r="Q1025" s="22"/>
      <c r="R1025" s="23" t="s">
        <v>16</v>
      </c>
      <c r="S1025" s="22"/>
      <c r="T1025" s="23" t="s">
        <v>17</v>
      </c>
      <c r="U1025" s="22"/>
      <c r="V1025" s="23" t="s">
        <v>18</v>
      </c>
      <c r="W1025" s="22"/>
      <c r="X1025" s="23" t="s">
        <v>19</v>
      </c>
      <c r="Y1025" s="22"/>
      <c r="Z1025" s="24" t="s">
        <v>234</v>
      </c>
      <c r="AA1025" s="118" t="s">
        <v>21</v>
      </c>
      <c r="AB1025" s="119" t="s">
        <v>22</v>
      </c>
      <c r="AC1025" s="7"/>
      <c r="AD1025" s="22"/>
      <c r="AE1025" s="120" t="s">
        <v>23</v>
      </c>
      <c r="AF1025" s="22"/>
      <c r="AG1025" s="1"/>
    </row>
    <row r="1026" ht="21.0" customHeight="1">
      <c r="A1026" s="1"/>
      <c r="B1026" s="27">
        <f>iferror(B1025-'현황'!$C$4+1,0)</f>
        <v>0</v>
      </c>
      <c r="C1026" s="28"/>
      <c r="D1026" s="29">
        <v>0.0</v>
      </c>
      <c r="E1026" s="30">
        <v>0.0</v>
      </c>
      <c r="F1026" s="31"/>
      <c r="G1026" s="32">
        <v>0.0</v>
      </c>
      <c r="H1026" s="33">
        <v>0.0</v>
      </c>
      <c r="I1026" s="34"/>
      <c r="J1026" s="35"/>
      <c r="K1026" s="36"/>
      <c r="L1026" s="35"/>
      <c r="M1026" s="36"/>
      <c r="N1026" s="35"/>
      <c r="O1026" s="36"/>
      <c r="P1026" s="35"/>
      <c r="Q1026" s="36"/>
      <c r="R1026" s="35"/>
      <c r="S1026" s="36"/>
      <c r="T1026" s="35"/>
      <c r="U1026" s="36"/>
      <c r="V1026" s="35"/>
      <c r="W1026" s="36"/>
      <c r="X1026" s="35"/>
      <c r="Y1026" s="36"/>
      <c r="Z1026" s="37"/>
      <c r="AA1026" s="37"/>
      <c r="AB1026" s="35"/>
      <c r="AC1026" s="38"/>
      <c r="AD1026" s="36"/>
      <c r="AE1026" s="35"/>
      <c r="AF1026" s="36"/>
      <c r="AG1026" s="1"/>
    </row>
    <row r="1027" ht="21.0" customHeight="1">
      <c r="A1027" s="1"/>
      <c r="B1027" s="39" t="s">
        <v>24</v>
      </c>
      <c r="C1027" s="40"/>
      <c r="D1027" s="41"/>
      <c r="E1027" s="42" t="s">
        <v>25</v>
      </c>
      <c r="F1027" s="40"/>
      <c r="G1027" s="41"/>
      <c r="H1027" s="43" t="s">
        <v>26</v>
      </c>
      <c r="J1027" s="44" t="s">
        <v>27</v>
      </c>
      <c r="K1027" s="45" t="s">
        <v>28</v>
      </c>
      <c r="L1027" s="44" t="s">
        <v>27</v>
      </c>
      <c r="M1027" s="45" t="s">
        <v>28</v>
      </c>
      <c r="N1027" s="44" t="s">
        <v>27</v>
      </c>
      <c r="O1027" s="45" t="s">
        <v>28</v>
      </c>
      <c r="P1027" s="44" t="s">
        <v>27</v>
      </c>
      <c r="Q1027" s="45" t="s">
        <v>28</v>
      </c>
      <c r="R1027" s="44" t="s">
        <v>27</v>
      </c>
      <c r="S1027" s="45" t="s">
        <v>28</v>
      </c>
      <c r="T1027" s="44" t="s">
        <v>27</v>
      </c>
      <c r="U1027" s="45" t="s">
        <v>28</v>
      </c>
      <c r="V1027" s="44" t="s">
        <v>27</v>
      </c>
      <c r="W1027" s="45" t="s">
        <v>28</v>
      </c>
      <c r="X1027" s="44" t="s">
        <v>27</v>
      </c>
      <c r="Y1027" s="45" t="s">
        <v>28</v>
      </c>
      <c r="Z1027" s="46"/>
      <c r="AA1027" s="46"/>
      <c r="AB1027" s="121" t="s">
        <v>29</v>
      </c>
      <c r="AC1027" s="122" t="s">
        <v>30</v>
      </c>
      <c r="AD1027" s="123" t="s">
        <v>31</v>
      </c>
      <c r="AE1027" s="121" t="s">
        <v>27</v>
      </c>
      <c r="AF1027" s="123" t="s">
        <v>28</v>
      </c>
      <c r="AG1027" s="1"/>
    </row>
    <row r="1028" ht="21.0" customHeight="1">
      <c r="A1028" s="1"/>
      <c r="B1028" s="48" t="s">
        <v>32</v>
      </c>
      <c r="C1028" s="49"/>
      <c r="D1028" s="50"/>
      <c r="E1028" s="51" t="s">
        <v>33</v>
      </c>
      <c r="F1028" s="52" t="s">
        <v>34</v>
      </c>
      <c r="G1028" s="53"/>
      <c r="H1028" s="148"/>
      <c r="I1028" s="55"/>
      <c r="J1028" s="58"/>
      <c r="K1028" s="59"/>
      <c r="L1028" s="58"/>
      <c r="M1028" s="59"/>
      <c r="N1028" s="58"/>
      <c r="O1028" s="59"/>
      <c r="P1028" s="58"/>
      <c r="Q1028" s="59"/>
      <c r="R1028" s="58"/>
      <c r="S1028" s="59"/>
      <c r="T1028" s="58"/>
      <c r="U1028" s="59"/>
      <c r="V1028" s="58"/>
      <c r="W1028" s="59"/>
      <c r="X1028" s="58"/>
      <c r="Y1028" s="59"/>
      <c r="Z1028" s="60" t="b">
        <v>0</v>
      </c>
      <c r="AA1028" s="125">
        <f t="shared" ref="AA1028:AA1036" si="409">(J1028*K1028+L1028*M1028+N1028*O1028+P1028*Q1028+R1028*S1028+T1028*U1028+V1028*W1028+X1028*Y1028)*if(Z1028=true,0.453592,1)</f>
        <v>0</v>
      </c>
      <c r="AB1028" s="126">
        <f t="shared" ref="AB1028:AB1036" si="410">SUM(AE1028*AF1028*0.025,AE1028)</f>
        <v>0</v>
      </c>
      <c r="AC1028" s="127">
        <f t="shared" ref="AC1028:AC1036" si="411">AB1028*87%</f>
        <v>0</v>
      </c>
      <c r="AD1028" s="128">
        <f t="shared" ref="AD1028:AD1036" si="412">AB1028*67%</f>
        <v>0</v>
      </c>
      <c r="AE1028" s="126">
        <f t="shared" ref="AE1028:AE1036" si="413">MAX(J1028,L1028,N1028,P1028,R1028,T1028,V1028,X1028)*if(Z1028=true,0.453592,1)</f>
        <v>0</v>
      </c>
      <c r="AF1028" s="128">
        <f t="shared" ref="AF1028:AF1036" si="414">MAX(IF(J1028*if(Z1028=true,0.453592,1)=$AE1028,K1028,0),IF(L1028*if(Z1028=true,0.453592,1)=$AE1028,M1028,0),IF(N1028*if(Z1028=true,0.453592,1)=$AE1028,O1028,0),IF(P1028*if(Z1028=true,0.453592,1)=$AE1028,Q1028,0),IF(R1028*if(Z1028=true,0.453592,1)=$AE1028,S1028,0),IF(T1028*if(Z1028=true,0.453592,1)=$AE1028,U1028,0),IF(V1028*if(Z1028=true,0.453592,1)=$AE1028,W1028,0),IF(X1028*if(Z1028=true,0.453592,1)=$AE1028,Y1028,0))</f>
        <v>0</v>
      </c>
      <c r="AG1028" s="1"/>
    </row>
    <row r="1029" ht="21.0" customHeight="1">
      <c r="A1029" s="1"/>
      <c r="B1029" s="48" t="s">
        <v>36</v>
      </c>
      <c r="C1029" s="49"/>
      <c r="D1029" s="65"/>
      <c r="E1029" s="66"/>
      <c r="F1029" s="52" t="s">
        <v>37</v>
      </c>
      <c r="G1029" s="67"/>
      <c r="H1029" s="129"/>
      <c r="I1029" s="69"/>
      <c r="J1029" s="72"/>
      <c r="K1029" s="73"/>
      <c r="L1029" s="72"/>
      <c r="M1029" s="73"/>
      <c r="N1029" s="72"/>
      <c r="O1029" s="73"/>
      <c r="P1029" s="72"/>
      <c r="Q1029" s="73"/>
      <c r="R1029" s="72"/>
      <c r="S1029" s="73"/>
      <c r="T1029" s="72"/>
      <c r="U1029" s="73"/>
      <c r="V1029" s="72"/>
      <c r="W1029" s="73"/>
      <c r="X1029" s="72"/>
      <c r="Y1029" s="73"/>
      <c r="Z1029" s="74" t="b">
        <v>0</v>
      </c>
      <c r="AA1029" s="130">
        <f t="shared" si="409"/>
        <v>0</v>
      </c>
      <c r="AB1029" s="131">
        <f t="shared" si="410"/>
        <v>0</v>
      </c>
      <c r="AC1029" s="132">
        <f t="shared" si="411"/>
        <v>0</v>
      </c>
      <c r="AD1029" s="133">
        <f t="shared" si="412"/>
        <v>0</v>
      </c>
      <c r="AE1029" s="131">
        <f t="shared" si="413"/>
        <v>0</v>
      </c>
      <c r="AF1029" s="133">
        <f t="shared" si="414"/>
        <v>0</v>
      </c>
      <c r="AG1029" s="1"/>
    </row>
    <row r="1030" ht="21.0" customHeight="1">
      <c r="A1030" s="1"/>
      <c r="B1030" s="48" t="s">
        <v>39</v>
      </c>
      <c r="C1030" s="49"/>
      <c r="D1030" s="65"/>
      <c r="E1030" s="41"/>
      <c r="F1030" s="52" t="s">
        <v>40</v>
      </c>
      <c r="G1030" s="79"/>
      <c r="H1030" s="80"/>
      <c r="I1030" s="69"/>
      <c r="J1030" s="72"/>
      <c r="K1030" s="73"/>
      <c r="L1030" s="72"/>
      <c r="M1030" s="73"/>
      <c r="N1030" s="72"/>
      <c r="O1030" s="73"/>
      <c r="P1030" s="72"/>
      <c r="Q1030" s="73"/>
      <c r="R1030" s="72"/>
      <c r="S1030" s="73"/>
      <c r="T1030" s="72"/>
      <c r="U1030" s="73"/>
      <c r="V1030" s="72"/>
      <c r="W1030" s="73"/>
      <c r="X1030" s="72"/>
      <c r="Y1030" s="73"/>
      <c r="Z1030" s="74" t="b">
        <v>0</v>
      </c>
      <c r="AA1030" s="130">
        <f t="shared" si="409"/>
        <v>0</v>
      </c>
      <c r="AB1030" s="131">
        <f t="shared" si="410"/>
        <v>0</v>
      </c>
      <c r="AC1030" s="132">
        <f t="shared" si="411"/>
        <v>0</v>
      </c>
      <c r="AD1030" s="133">
        <f t="shared" si="412"/>
        <v>0</v>
      </c>
      <c r="AE1030" s="131">
        <f t="shared" si="413"/>
        <v>0</v>
      </c>
      <c r="AF1030" s="133">
        <f t="shared" si="414"/>
        <v>0</v>
      </c>
      <c r="AG1030" s="1"/>
    </row>
    <row r="1031" ht="21.0" customHeight="1">
      <c r="A1031" s="1"/>
      <c r="B1031" s="48" t="s">
        <v>41</v>
      </c>
      <c r="C1031" s="81"/>
      <c r="D1031" s="82" t="b">
        <v>0</v>
      </c>
      <c r="E1031" s="51" t="s">
        <v>42</v>
      </c>
      <c r="F1031" s="52" t="s">
        <v>34</v>
      </c>
      <c r="G1031" s="83"/>
      <c r="H1031" s="84"/>
      <c r="I1031" s="85"/>
      <c r="J1031" s="72"/>
      <c r="K1031" s="73"/>
      <c r="L1031" s="72"/>
      <c r="M1031" s="73"/>
      <c r="N1031" s="72"/>
      <c r="O1031" s="73"/>
      <c r="P1031" s="72"/>
      <c r="Q1031" s="73"/>
      <c r="R1031" s="72"/>
      <c r="S1031" s="73"/>
      <c r="T1031" s="72"/>
      <c r="U1031" s="73"/>
      <c r="V1031" s="72"/>
      <c r="W1031" s="73"/>
      <c r="X1031" s="72"/>
      <c r="Y1031" s="73"/>
      <c r="Z1031" s="74" t="b">
        <v>0</v>
      </c>
      <c r="AA1031" s="130">
        <f t="shared" si="409"/>
        <v>0</v>
      </c>
      <c r="AB1031" s="131">
        <f t="shared" si="410"/>
        <v>0</v>
      </c>
      <c r="AC1031" s="132">
        <f t="shared" si="411"/>
        <v>0</v>
      </c>
      <c r="AD1031" s="133">
        <f t="shared" si="412"/>
        <v>0</v>
      </c>
      <c r="AE1031" s="131">
        <f t="shared" si="413"/>
        <v>0</v>
      </c>
      <c r="AF1031" s="133">
        <f t="shared" si="414"/>
        <v>0</v>
      </c>
      <c r="AG1031" s="1"/>
    </row>
    <row r="1032" ht="21.0" customHeight="1">
      <c r="A1032" s="1"/>
      <c r="B1032" s="48" t="s">
        <v>43</v>
      </c>
      <c r="C1032" s="49"/>
      <c r="D1032" s="86" t="b">
        <v>0</v>
      </c>
      <c r="E1032" s="66"/>
      <c r="F1032" s="52" t="s">
        <v>37</v>
      </c>
      <c r="G1032" s="67"/>
      <c r="H1032" s="80"/>
      <c r="I1032" s="69"/>
      <c r="J1032" s="72"/>
      <c r="K1032" s="73"/>
      <c r="L1032" s="72"/>
      <c r="M1032" s="73"/>
      <c r="N1032" s="72"/>
      <c r="O1032" s="73"/>
      <c r="P1032" s="72"/>
      <c r="Q1032" s="73"/>
      <c r="R1032" s="72"/>
      <c r="S1032" s="73"/>
      <c r="T1032" s="72"/>
      <c r="U1032" s="73"/>
      <c r="V1032" s="72"/>
      <c r="W1032" s="73"/>
      <c r="X1032" s="72"/>
      <c r="Y1032" s="73"/>
      <c r="Z1032" s="74" t="b">
        <v>0</v>
      </c>
      <c r="AA1032" s="130">
        <f t="shared" si="409"/>
        <v>0</v>
      </c>
      <c r="AB1032" s="131">
        <f t="shared" si="410"/>
        <v>0</v>
      </c>
      <c r="AC1032" s="132">
        <f t="shared" si="411"/>
        <v>0</v>
      </c>
      <c r="AD1032" s="133">
        <f t="shared" si="412"/>
        <v>0</v>
      </c>
      <c r="AE1032" s="131">
        <f t="shared" si="413"/>
        <v>0</v>
      </c>
      <c r="AF1032" s="133">
        <f t="shared" si="414"/>
        <v>0</v>
      </c>
      <c r="AG1032" s="1"/>
    </row>
    <row r="1033" ht="21.0" customHeight="1">
      <c r="A1033" s="1"/>
      <c r="B1033" s="87" t="str">
        <f t="array" ref="B1033">"📌최근 인바디 결과 : "&amp;text(xlookup(B1025,'현황'!O:O,'현황'!O:O,,-1,-1),"m/d(ddd)")</f>
        <v>#REF!</v>
      </c>
      <c r="C1033" s="88"/>
      <c r="D1033" s="49"/>
      <c r="E1033" s="41"/>
      <c r="F1033" s="52" t="s">
        <v>40</v>
      </c>
      <c r="G1033" s="79"/>
      <c r="H1033" s="80"/>
      <c r="I1033" s="69"/>
      <c r="J1033" s="72"/>
      <c r="K1033" s="73"/>
      <c r="L1033" s="72"/>
      <c r="M1033" s="73"/>
      <c r="N1033" s="72"/>
      <c r="O1033" s="73"/>
      <c r="P1033" s="72"/>
      <c r="Q1033" s="73"/>
      <c r="R1033" s="72"/>
      <c r="S1033" s="73"/>
      <c r="T1033" s="72"/>
      <c r="U1033" s="73"/>
      <c r="V1033" s="72"/>
      <c r="W1033" s="73"/>
      <c r="X1033" s="72"/>
      <c r="Y1033" s="73"/>
      <c r="Z1033" s="74" t="b">
        <v>0</v>
      </c>
      <c r="AA1033" s="130">
        <f t="shared" si="409"/>
        <v>0</v>
      </c>
      <c r="AB1033" s="131">
        <f t="shared" si="410"/>
        <v>0</v>
      </c>
      <c r="AC1033" s="132">
        <f t="shared" si="411"/>
        <v>0</v>
      </c>
      <c r="AD1033" s="133">
        <f t="shared" si="412"/>
        <v>0</v>
      </c>
      <c r="AE1033" s="131">
        <f t="shared" si="413"/>
        <v>0</v>
      </c>
      <c r="AF1033" s="133">
        <f t="shared" si="414"/>
        <v>0</v>
      </c>
      <c r="AG1033" s="1"/>
    </row>
    <row r="1034" ht="21.0" customHeight="1">
      <c r="A1034" s="1"/>
      <c r="B1034" s="89" t="s">
        <v>44</v>
      </c>
      <c r="C1034" s="49"/>
      <c r="D1034" s="90">
        <f t="array" ref="D1034">iferror(vlookup(xlookup(B1025,'현황'!O:O,'현황'!O:O,,-1,-1),'현황'!O:S,2,false),0)</f>
        <v>0</v>
      </c>
      <c r="E1034" s="51" t="s">
        <v>45</v>
      </c>
      <c r="F1034" s="52" t="s">
        <v>34</v>
      </c>
      <c r="G1034" s="83"/>
      <c r="H1034" s="84"/>
      <c r="I1034" s="85"/>
      <c r="J1034" s="72"/>
      <c r="K1034" s="73"/>
      <c r="L1034" s="72"/>
      <c r="M1034" s="73"/>
      <c r="N1034" s="72"/>
      <c r="O1034" s="73"/>
      <c r="P1034" s="72"/>
      <c r="Q1034" s="73"/>
      <c r="R1034" s="72"/>
      <c r="S1034" s="73"/>
      <c r="T1034" s="72"/>
      <c r="U1034" s="73"/>
      <c r="V1034" s="72"/>
      <c r="W1034" s="73"/>
      <c r="X1034" s="72"/>
      <c r="Y1034" s="73"/>
      <c r="Z1034" s="74" t="b">
        <v>0</v>
      </c>
      <c r="AA1034" s="130">
        <f t="shared" si="409"/>
        <v>0</v>
      </c>
      <c r="AB1034" s="131">
        <f t="shared" si="410"/>
        <v>0</v>
      </c>
      <c r="AC1034" s="132">
        <f t="shared" si="411"/>
        <v>0</v>
      </c>
      <c r="AD1034" s="133">
        <f t="shared" si="412"/>
        <v>0</v>
      </c>
      <c r="AE1034" s="131">
        <f t="shared" si="413"/>
        <v>0</v>
      </c>
      <c r="AF1034" s="133">
        <f t="shared" si="414"/>
        <v>0</v>
      </c>
      <c r="AG1034" s="1"/>
    </row>
    <row r="1035" ht="21.0" customHeight="1">
      <c r="A1035" s="1"/>
      <c r="B1035" s="48" t="s">
        <v>46</v>
      </c>
      <c r="C1035" s="49"/>
      <c r="D1035" s="91">
        <f t="array" ref="D1035">iferror(vlookup(xlookup(B1025,'현황'!O:O,'현황'!O:O,,-1,-1),'현황'!O:S,3,false),0)</f>
        <v>0</v>
      </c>
      <c r="E1035" s="66"/>
      <c r="F1035" s="52" t="s">
        <v>37</v>
      </c>
      <c r="G1035" s="67"/>
      <c r="H1035" s="80"/>
      <c r="I1035" s="69"/>
      <c r="J1035" s="72"/>
      <c r="K1035" s="73"/>
      <c r="L1035" s="72"/>
      <c r="M1035" s="73"/>
      <c r="N1035" s="72"/>
      <c r="O1035" s="73"/>
      <c r="P1035" s="72"/>
      <c r="Q1035" s="73"/>
      <c r="R1035" s="72"/>
      <c r="S1035" s="73"/>
      <c r="T1035" s="72"/>
      <c r="U1035" s="73"/>
      <c r="V1035" s="72"/>
      <c r="W1035" s="73"/>
      <c r="X1035" s="72"/>
      <c r="Y1035" s="73"/>
      <c r="Z1035" s="74" t="b">
        <v>0</v>
      </c>
      <c r="AA1035" s="130">
        <f t="shared" si="409"/>
        <v>0</v>
      </c>
      <c r="AB1035" s="131">
        <f t="shared" si="410"/>
        <v>0</v>
      </c>
      <c r="AC1035" s="132">
        <f t="shared" si="411"/>
        <v>0</v>
      </c>
      <c r="AD1035" s="133">
        <f t="shared" si="412"/>
        <v>0</v>
      </c>
      <c r="AE1035" s="131">
        <f t="shared" si="413"/>
        <v>0</v>
      </c>
      <c r="AF1035" s="133">
        <f t="shared" si="414"/>
        <v>0</v>
      </c>
      <c r="AG1035" s="1"/>
    </row>
    <row r="1036" ht="21.0" customHeight="1">
      <c r="A1036" s="1"/>
      <c r="B1036" s="48" t="s">
        <v>47</v>
      </c>
      <c r="C1036" s="49"/>
      <c r="D1036" s="91">
        <f t="array" ref="D1036">iferror(vlookup(xlookup(B1025,'현황'!O:O,'현황'!O:O,,-1,-1),'현황'!O:S,4,false),0)</f>
        <v>0</v>
      </c>
      <c r="E1036" s="41"/>
      <c r="F1036" s="92" t="s">
        <v>40</v>
      </c>
      <c r="G1036" s="79"/>
      <c r="H1036" s="93"/>
      <c r="I1036" s="94"/>
      <c r="J1036" s="95"/>
      <c r="K1036" s="96"/>
      <c r="L1036" s="95"/>
      <c r="M1036" s="96"/>
      <c r="N1036" s="95"/>
      <c r="O1036" s="96"/>
      <c r="P1036" s="95"/>
      <c r="Q1036" s="96"/>
      <c r="R1036" s="95"/>
      <c r="S1036" s="96"/>
      <c r="T1036" s="95"/>
      <c r="U1036" s="96"/>
      <c r="V1036" s="95"/>
      <c r="W1036" s="96"/>
      <c r="X1036" s="95"/>
      <c r="Y1036" s="96"/>
      <c r="Z1036" s="97" t="b">
        <v>0</v>
      </c>
      <c r="AA1036" s="135">
        <f t="shared" si="409"/>
        <v>0</v>
      </c>
      <c r="AB1036" s="136">
        <f t="shared" si="410"/>
        <v>0</v>
      </c>
      <c r="AC1036" s="137">
        <f t="shared" si="411"/>
        <v>0</v>
      </c>
      <c r="AD1036" s="138">
        <f t="shared" si="412"/>
        <v>0</v>
      </c>
      <c r="AE1036" s="136">
        <f t="shared" si="413"/>
        <v>0</v>
      </c>
      <c r="AF1036" s="138">
        <f t="shared" si="414"/>
        <v>0</v>
      </c>
      <c r="AG1036" s="1"/>
    </row>
    <row r="1037" ht="21.0" customHeight="1">
      <c r="A1037" s="1"/>
      <c r="B1037" s="102" t="s">
        <v>48</v>
      </c>
      <c r="C1037" s="103"/>
      <c r="D1037" s="104">
        <f>iferror(D1036/D1034,0)</f>
        <v>0</v>
      </c>
      <c r="E1037" s="102" t="s">
        <v>49</v>
      </c>
      <c r="F1037" s="103"/>
      <c r="G1037" s="105"/>
      <c r="H1037" s="106" t="s">
        <v>50</v>
      </c>
      <c r="I1037" s="107"/>
      <c r="J1037" s="11"/>
      <c r="K1037" s="11"/>
      <c r="L1037" s="11"/>
      <c r="M1037" s="11"/>
      <c r="N1037" s="11"/>
      <c r="O1037" s="11"/>
      <c r="P1037" s="108" t="s">
        <v>51</v>
      </c>
      <c r="Q1037" s="12"/>
      <c r="R1037" s="109"/>
      <c r="S1037" s="11"/>
      <c r="T1037" s="11"/>
      <c r="U1037" s="11"/>
      <c r="V1037" s="11"/>
      <c r="W1037" s="11"/>
      <c r="X1037" s="11"/>
      <c r="Y1037" s="11"/>
      <c r="Z1037" s="12"/>
      <c r="AA1037" s="139">
        <f>SUM(AA1028:AA1036)</f>
        <v>0</v>
      </c>
      <c r="AB1037" s="140" t="s">
        <v>235</v>
      </c>
      <c r="AG1037" s="1"/>
    </row>
    <row r="1038" ht="21.0" customHeight="1">
      <c r="A1038" s="1"/>
      <c r="B1038" s="1"/>
      <c r="C1038" s="1"/>
      <c r="D1038" s="1"/>
      <c r="E1038" s="1"/>
      <c r="F1038" s="1"/>
      <c r="G1038" s="1"/>
      <c r="H1038" s="1"/>
      <c r="I1038" s="1"/>
      <c r="AA1038" s="1"/>
      <c r="AB1038" s="1"/>
      <c r="AC1038" s="3"/>
      <c r="AD1038" s="1"/>
      <c r="AE1038" s="1"/>
      <c r="AF1038" s="1"/>
      <c r="AG1038" s="1"/>
    </row>
    <row r="1039" ht="21.0" customHeight="1">
      <c r="A1039" s="1"/>
      <c r="B1039" s="4" t="s">
        <v>1</v>
      </c>
      <c r="C1039" s="5"/>
      <c r="D1039" s="6" t="s">
        <v>2</v>
      </c>
      <c r="E1039" s="7"/>
      <c r="F1039" s="7"/>
      <c r="G1039" s="5"/>
      <c r="H1039" s="8" t="s">
        <v>3</v>
      </c>
      <c r="I1039" s="8" t="s">
        <v>4</v>
      </c>
      <c r="J1039" s="9" t="s">
        <v>5</v>
      </c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5"/>
      <c r="AA1039" s="117" t="s">
        <v>6</v>
      </c>
      <c r="AB1039" s="11"/>
      <c r="AC1039" s="11"/>
      <c r="AD1039" s="11"/>
      <c r="AE1039" s="11"/>
      <c r="AF1039" s="12"/>
      <c r="AG1039" s="1"/>
    </row>
    <row r="1040" ht="21.0" customHeight="1">
      <c r="A1040" s="1"/>
      <c r="B1040" s="149" t="s">
        <v>138</v>
      </c>
      <c r="C1040" s="14" t="str">
        <f>if(B1040="0/0","",choose(weekday(B1040),"(일)","(월)","(화)","(수)","(목)","(금)","(토)"))</f>
        <v/>
      </c>
      <c r="D1040" s="15" t="s">
        <v>7</v>
      </c>
      <c r="E1040" s="16" t="s">
        <v>8</v>
      </c>
      <c r="F1040" s="17"/>
      <c r="G1040" s="18" t="s">
        <v>9</v>
      </c>
      <c r="H1040" s="150" t="s">
        <v>139</v>
      </c>
      <c r="I1040" s="151"/>
      <c r="J1040" s="21" t="s">
        <v>12</v>
      </c>
      <c r="K1040" s="22"/>
      <c r="L1040" s="21" t="s">
        <v>13</v>
      </c>
      <c r="M1040" s="22"/>
      <c r="N1040" s="21" t="s">
        <v>14</v>
      </c>
      <c r="O1040" s="22"/>
      <c r="P1040" s="21" t="s">
        <v>15</v>
      </c>
      <c r="Q1040" s="22"/>
      <c r="R1040" s="23" t="s">
        <v>16</v>
      </c>
      <c r="S1040" s="22"/>
      <c r="T1040" s="23" t="s">
        <v>17</v>
      </c>
      <c r="U1040" s="22"/>
      <c r="V1040" s="23" t="s">
        <v>18</v>
      </c>
      <c r="W1040" s="22"/>
      <c r="X1040" s="23" t="s">
        <v>19</v>
      </c>
      <c r="Y1040" s="22"/>
      <c r="Z1040" s="24" t="s">
        <v>236</v>
      </c>
      <c r="AA1040" s="118" t="s">
        <v>21</v>
      </c>
      <c r="AB1040" s="119" t="s">
        <v>22</v>
      </c>
      <c r="AC1040" s="7"/>
      <c r="AD1040" s="22"/>
      <c r="AE1040" s="120" t="s">
        <v>23</v>
      </c>
      <c r="AF1040" s="22"/>
      <c r="AG1040" s="1"/>
    </row>
    <row r="1041" ht="21.0" customHeight="1">
      <c r="A1041" s="1"/>
      <c r="B1041" s="27">
        <f>iferror(B1040-'현황'!$C$4+1,0)</f>
        <v>0</v>
      </c>
      <c r="C1041" s="28"/>
      <c r="D1041" s="29">
        <v>0.0</v>
      </c>
      <c r="E1041" s="30">
        <v>0.0</v>
      </c>
      <c r="F1041" s="31"/>
      <c r="G1041" s="32">
        <v>0.0</v>
      </c>
      <c r="H1041" s="33">
        <v>0.0</v>
      </c>
      <c r="I1041" s="34"/>
      <c r="J1041" s="35"/>
      <c r="K1041" s="36"/>
      <c r="L1041" s="35"/>
      <c r="M1041" s="36"/>
      <c r="N1041" s="35"/>
      <c r="O1041" s="36"/>
      <c r="P1041" s="35"/>
      <c r="Q1041" s="36"/>
      <c r="R1041" s="35"/>
      <c r="S1041" s="36"/>
      <c r="T1041" s="35"/>
      <c r="U1041" s="36"/>
      <c r="V1041" s="35"/>
      <c r="W1041" s="36"/>
      <c r="X1041" s="35"/>
      <c r="Y1041" s="36"/>
      <c r="Z1041" s="37"/>
      <c r="AA1041" s="37"/>
      <c r="AB1041" s="35"/>
      <c r="AC1041" s="38"/>
      <c r="AD1041" s="36"/>
      <c r="AE1041" s="35"/>
      <c r="AF1041" s="36"/>
      <c r="AG1041" s="1"/>
    </row>
    <row r="1042" ht="21.0" customHeight="1">
      <c r="A1042" s="1"/>
      <c r="B1042" s="39" t="s">
        <v>24</v>
      </c>
      <c r="C1042" s="40"/>
      <c r="D1042" s="41"/>
      <c r="E1042" s="42" t="s">
        <v>25</v>
      </c>
      <c r="F1042" s="40"/>
      <c r="G1042" s="41"/>
      <c r="H1042" s="43" t="s">
        <v>26</v>
      </c>
      <c r="J1042" s="44" t="s">
        <v>27</v>
      </c>
      <c r="K1042" s="45" t="s">
        <v>28</v>
      </c>
      <c r="L1042" s="44" t="s">
        <v>27</v>
      </c>
      <c r="M1042" s="45" t="s">
        <v>28</v>
      </c>
      <c r="N1042" s="44" t="s">
        <v>27</v>
      </c>
      <c r="O1042" s="45" t="s">
        <v>28</v>
      </c>
      <c r="P1042" s="44" t="s">
        <v>27</v>
      </c>
      <c r="Q1042" s="45" t="s">
        <v>28</v>
      </c>
      <c r="R1042" s="44" t="s">
        <v>27</v>
      </c>
      <c r="S1042" s="45" t="s">
        <v>28</v>
      </c>
      <c r="T1042" s="44" t="s">
        <v>27</v>
      </c>
      <c r="U1042" s="45" t="s">
        <v>28</v>
      </c>
      <c r="V1042" s="44" t="s">
        <v>27</v>
      </c>
      <c r="W1042" s="45" t="s">
        <v>28</v>
      </c>
      <c r="X1042" s="44" t="s">
        <v>27</v>
      </c>
      <c r="Y1042" s="45" t="s">
        <v>28</v>
      </c>
      <c r="Z1042" s="46"/>
      <c r="AA1042" s="46"/>
      <c r="AB1042" s="121" t="s">
        <v>29</v>
      </c>
      <c r="AC1042" s="122" t="s">
        <v>30</v>
      </c>
      <c r="AD1042" s="123" t="s">
        <v>31</v>
      </c>
      <c r="AE1042" s="121" t="s">
        <v>27</v>
      </c>
      <c r="AF1042" s="123" t="s">
        <v>28</v>
      </c>
      <c r="AG1042" s="1"/>
    </row>
    <row r="1043" ht="21.0" customHeight="1">
      <c r="A1043" s="1"/>
      <c r="B1043" s="48" t="s">
        <v>32</v>
      </c>
      <c r="C1043" s="49"/>
      <c r="D1043" s="50"/>
      <c r="E1043" s="51" t="s">
        <v>33</v>
      </c>
      <c r="F1043" s="52" t="s">
        <v>34</v>
      </c>
      <c r="G1043" s="53"/>
      <c r="H1043" s="148"/>
      <c r="I1043" s="55"/>
      <c r="J1043" s="58"/>
      <c r="K1043" s="59"/>
      <c r="L1043" s="58"/>
      <c r="M1043" s="59"/>
      <c r="N1043" s="58"/>
      <c r="O1043" s="59"/>
      <c r="P1043" s="58"/>
      <c r="Q1043" s="59"/>
      <c r="R1043" s="58"/>
      <c r="S1043" s="59"/>
      <c r="T1043" s="58"/>
      <c r="U1043" s="59"/>
      <c r="V1043" s="58"/>
      <c r="W1043" s="59"/>
      <c r="X1043" s="58"/>
      <c r="Y1043" s="59"/>
      <c r="Z1043" s="60" t="b">
        <v>0</v>
      </c>
      <c r="AA1043" s="125">
        <f t="shared" ref="AA1043:AA1051" si="415">(J1043*K1043+L1043*M1043+N1043*O1043+P1043*Q1043+R1043*S1043+T1043*U1043+V1043*W1043+X1043*Y1043)*if(Z1043=true,0.453592,1)</f>
        <v>0</v>
      </c>
      <c r="AB1043" s="126">
        <f t="shared" ref="AB1043:AB1051" si="416">SUM(AE1043*AF1043*0.025,AE1043)</f>
        <v>0</v>
      </c>
      <c r="AC1043" s="127">
        <f t="shared" ref="AC1043:AC1051" si="417">AB1043*87%</f>
        <v>0</v>
      </c>
      <c r="AD1043" s="128">
        <f t="shared" ref="AD1043:AD1051" si="418">AB1043*67%</f>
        <v>0</v>
      </c>
      <c r="AE1043" s="126">
        <f t="shared" ref="AE1043:AE1051" si="419">MAX(J1043,L1043,N1043,P1043,R1043,T1043,V1043,X1043)*if(Z1043=true,0.453592,1)</f>
        <v>0</v>
      </c>
      <c r="AF1043" s="128">
        <f t="shared" ref="AF1043:AF1051" si="420">MAX(IF(J1043*if(Z1043=true,0.453592,1)=$AE1043,K1043,0),IF(L1043*if(Z1043=true,0.453592,1)=$AE1043,M1043,0),IF(N1043*if(Z1043=true,0.453592,1)=$AE1043,O1043,0),IF(P1043*if(Z1043=true,0.453592,1)=$AE1043,Q1043,0),IF(R1043*if(Z1043=true,0.453592,1)=$AE1043,S1043,0),IF(T1043*if(Z1043=true,0.453592,1)=$AE1043,U1043,0),IF(V1043*if(Z1043=true,0.453592,1)=$AE1043,W1043,0),IF(X1043*if(Z1043=true,0.453592,1)=$AE1043,Y1043,0))</f>
        <v>0</v>
      </c>
      <c r="AG1043" s="1"/>
    </row>
    <row r="1044" ht="21.0" customHeight="1">
      <c r="A1044" s="1"/>
      <c r="B1044" s="48" t="s">
        <v>36</v>
      </c>
      <c r="C1044" s="49"/>
      <c r="D1044" s="65"/>
      <c r="E1044" s="66"/>
      <c r="F1044" s="52" t="s">
        <v>37</v>
      </c>
      <c r="G1044" s="67"/>
      <c r="H1044" s="129"/>
      <c r="I1044" s="69"/>
      <c r="J1044" s="72"/>
      <c r="K1044" s="73"/>
      <c r="L1044" s="72"/>
      <c r="M1044" s="73"/>
      <c r="N1044" s="72"/>
      <c r="O1044" s="73"/>
      <c r="P1044" s="72"/>
      <c r="Q1044" s="73"/>
      <c r="R1044" s="72"/>
      <c r="S1044" s="73"/>
      <c r="T1044" s="72"/>
      <c r="U1044" s="73"/>
      <c r="V1044" s="72"/>
      <c r="W1044" s="73"/>
      <c r="X1044" s="72"/>
      <c r="Y1044" s="73"/>
      <c r="Z1044" s="74" t="b">
        <v>0</v>
      </c>
      <c r="AA1044" s="130">
        <f t="shared" si="415"/>
        <v>0</v>
      </c>
      <c r="AB1044" s="131">
        <f t="shared" si="416"/>
        <v>0</v>
      </c>
      <c r="AC1044" s="132">
        <f t="shared" si="417"/>
        <v>0</v>
      </c>
      <c r="AD1044" s="133">
        <f t="shared" si="418"/>
        <v>0</v>
      </c>
      <c r="AE1044" s="131">
        <f t="shared" si="419"/>
        <v>0</v>
      </c>
      <c r="AF1044" s="133">
        <f t="shared" si="420"/>
        <v>0</v>
      </c>
      <c r="AG1044" s="1"/>
    </row>
    <row r="1045" ht="21.0" customHeight="1">
      <c r="A1045" s="1"/>
      <c r="B1045" s="48" t="s">
        <v>39</v>
      </c>
      <c r="C1045" s="49"/>
      <c r="D1045" s="65"/>
      <c r="E1045" s="41"/>
      <c r="F1045" s="52" t="s">
        <v>40</v>
      </c>
      <c r="G1045" s="79"/>
      <c r="H1045" s="80"/>
      <c r="I1045" s="69"/>
      <c r="J1045" s="72"/>
      <c r="K1045" s="73"/>
      <c r="L1045" s="72"/>
      <c r="M1045" s="73"/>
      <c r="N1045" s="72"/>
      <c r="O1045" s="73"/>
      <c r="P1045" s="72"/>
      <c r="Q1045" s="73"/>
      <c r="R1045" s="72"/>
      <c r="S1045" s="73"/>
      <c r="T1045" s="72"/>
      <c r="U1045" s="73"/>
      <c r="V1045" s="72"/>
      <c r="W1045" s="73"/>
      <c r="X1045" s="72"/>
      <c r="Y1045" s="73"/>
      <c r="Z1045" s="74" t="b">
        <v>0</v>
      </c>
      <c r="AA1045" s="130">
        <f t="shared" si="415"/>
        <v>0</v>
      </c>
      <c r="AB1045" s="131">
        <f t="shared" si="416"/>
        <v>0</v>
      </c>
      <c r="AC1045" s="132">
        <f t="shared" si="417"/>
        <v>0</v>
      </c>
      <c r="AD1045" s="133">
        <f t="shared" si="418"/>
        <v>0</v>
      </c>
      <c r="AE1045" s="131">
        <f t="shared" si="419"/>
        <v>0</v>
      </c>
      <c r="AF1045" s="133">
        <f t="shared" si="420"/>
        <v>0</v>
      </c>
      <c r="AG1045" s="1"/>
    </row>
    <row r="1046" ht="21.0" customHeight="1">
      <c r="A1046" s="1"/>
      <c r="B1046" s="48" t="s">
        <v>41</v>
      </c>
      <c r="C1046" s="81"/>
      <c r="D1046" s="82" t="b">
        <v>0</v>
      </c>
      <c r="E1046" s="51" t="s">
        <v>42</v>
      </c>
      <c r="F1046" s="52" t="s">
        <v>34</v>
      </c>
      <c r="G1046" s="83"/>
      <c r="H1046" s="84"/>
      <c r="I1046" s="85"/>
      <c r="J1046" s="72"/>
      <c r="K1046" s="73"/>
      <c r="L1046" s="72"/>
      <c r="M1046" s="73"/>
      <c r="N1046" s="72"/>
      <c r="O1046" s="73"/>
      <c r="P1046" s="72"/>
      <c r="Q1046" s="73"/>
      <c r="R1046" s="72"/>
      <c r="S1046" s="73"/>
      <c r="T1046" s="72"/>
      <c r="U1046" s="73"/>
      <c r="V1046" s="72"/>
      <c r="W1046" s="73"/>
      <c r="X1046" s="72"/>
      <c r="Y1046" s="73"/>
      <c r="Z1046" s="74" t="b">
        <v>0</v>
      </c>
      <c r="AA1046" s="130">
        <f t="shared" si="415"/>
        <v>0</v>
      </c>
      <c r="AB1046" s="131">
        <f t="shared" si="416"/>
        <v>0</v>
      </c>
      <c r="AC1046" s="132">
        <f t="shared" si="417"/>
        <v>0</v>
      </c>
      <c r="AD1046" s="133">
        <f t="shared" si="418"/>
        <v>0</v>
      </c>
      <c r="AE1046" s="131">
        <f t="shared" si="419"/>
        <v>0</v>
      </c>
      <c r="AF1046" s="133">
        <f t="shared" si="420"/>
        <v>0</v>
      </c>
      <c r="AG1046" s="1"/>
    </row>
    <row r="1047" ht="21.0" customHeight="1">
      <c r="A1047" s="1"/>
      <c r="B1047" s="48" t="s">
        <v>43</v>
      </c>
      <c r="C1047" s="49"/>
      <c r="D1047" s="86" t="b">
        <v>0</v>
      </c>
      <c r="E1047" s="66"/>
      <c r="F1047" s="52" t="s">
        <v>37</v>
      </c>
      <c r="G1047" s="67"/>
      <c r="H1047" s="80"/>
      <c r="I1047" s="69"/>
      <c r="J1047" s="72"/>
      <c r="K1047" s="73"/>
      <c r="L1047" s="72"/>
      <c r="M1047" s="73"/>
      <c r="N1047" s="72"/>
      <c r="O1047" s="73"/>
      <c r="P1047" s="72"/>
      <c r="Q1047" s="73"/>
      <c r="R1047" s="72"/>
      <c r="S1047" s="73"/>
      <c r="T1047" s="72"/>
      <c r="U1047" s="73"/>
      <c r="V1047" s="72"/>
      <c r="W1047" s="73"/>
      <c r="X1047" s="72"/>
      <c r="Y1047" s="73"/>
      <c r="Z1047" s="74" t="b">
        <v>0</v>
      </c>
      <c r="AA1047" s="130">
        <f t="shared" si="415"/>
        <v>0</v>
      </c>
      <c r="AB1047" s="131">
        <f t="shared" si="416"/>
        <v>0</v>
      </c>
      <c r="AC1047" s="132">
        <f t="shared" si="417"/>
        <v>0</v>
      </c>
      <c r="AD1047" s="133">
        <f t="shared" si="418"/>
        <v>0</v>
      </c>
      <c r="AE1047" s="131">
        <f t="shared" si="419"/>
        <v>0</v>
      </c>
      <c r="AF1047" s="133">
        <f t="shared" si="420"/>
        <v>0</v>
      </c>
      <c r="AG1047" s="1"/>
    </row>
    <row r="1048" ht="21.0" customHeight="1">
      <c r="A1048" s="1"/>
      <c r="B1048" s="87" t="str">
        <f t="array" ref="B1048">"📌최근 인바디 결과 : "&amp;text(xlookup(B1040,'현황'!O:O,'현황'!O:O,,-1,-1),"m/d(ddd)")</f>
        <v>#REF!</v>
      </c>
      <c r="C1048" s="88"/>
      <c r="D1048" s="49"/>
      <c r="E1048" s="41"/>
      <c r="F1048" s="52" t="s">
        <v>40</v>
      </c>
      <c r="G1048" s="79"/>
      <c r="H1048" s="80"/>
      <c r="I1048" s="69"/>
      <c r="J1048" s="72"/>
      <c r="K1048" s="73"/>
      <c r="L1048" s="72"/>
      <c r="M1048" s="73"/>
      <c r="N1048" s="72"/>
      <c r="O1048" s="73"/>
      <c r="P1048" s="72"/>
      <c r="Q1048" s="73"/>
      <c r="R1048" s="72"/>
      <c r="S1048" s="73"/>
      <c r="T1048" s="72"/>
      <c r="U1048" s="73"/>
      <c r="V1048" s="72"/>
      <c r="W1048" s="73"/>
      <c r="X1048" s="72"/>
      <c r="Y1048" s="73"/>
      <c r="Z1048" s="74" t="b">
        <v>0</v>
      </c>
      <c r="AA1048" s="130">
        <f t="shared" si="415"/>
        <v>0</v>
      </c>
      <c r="AB1048" s="131">
        <f t="shared" si="416"/>
        <v>0</v>
      </c>
      <c r="AC1048" s="132">
        <f t="shared" si="417"/>
        <v>0</v>
      </c>
      <c r="AD1048" s="133">
        <f t="shared" si="418"/>
        <v>0</v>
      </c>
      <c r="AE1048" s="131">
        <f t="shared" si="419"/>
        <v>0</v>
      </c>
      <c r="AF1048" s="133">
        <f t="shared" si="420"/>
        <v>0</v>
      </c>
      <c r="AG1048" s="1"/>
    </row>
    <row r="1049" ht="21.0" customHeight="1">
      <c r="A1049" s="1"/>
      <c r="B1049" s="89" t="s">
        <v>44</v>
      </c>
      <c r="C1049" s="49"/>
      <c r="D1049" s="90">
        <f t="array" ref="D1049">iferror(vlookup(xlookup(B1040,'현황'!O:O,'현황'!O:O,,-1,-1),'현황'!O:S,2,false),0)</f>
        <v>0</v>
      </c>
      <c r="E1049" s="51" t="s">
        <v>45</v>
      </c>
      <c r="F1049" s="52" t="s">
        <v>34</v>
      </c>
      <c r="G1049" s="83"/>
      <c r="H1049" s="84"/>
      <c r="I1049" s="85"/>
      <c r="J1049" s="72"/>
      <c r="K1049" s="73"/>
      <c r="L1049" s="72"/>
      <c r="M1049" s="73"/>
      <c r="N1049" s="72"/>
      <c r="O1049" s="73"/>
      <c r="P1049" s="72"/>
      <c r="Q1049" s="73"/>
      <c r="R1049" s="72"/>
      <c r="S1049" s="73"/>
      <c r="T1049" s="72"/>
      <c r="U1049" s="73"/>
      <c r="V1049" s="72"/>
      <c r="W1049" s="73"/>
      <c r="X1049" s="72"/>
      <c r="Y1049" s="73"/>
      <c r="Z1049" s="74" t="b">
        <v>0</v>
      </c>
      <c r="AA1049" s="130">
        <f t="shared" si="415"/>
        <v>0</v>
      </c>
      <c r="AB1049" s="131">
        <f t="shared" si="416"/>
        <v>0</v>
      </c>
      <c r="AC1049" s="132">
        <f t="shared" si="417"/>
        <v>0</v>
      </c>
      <c r="AD1049" s="133">
        <f t="shared" si="418"/>
        <v>0</v>
      </c>
      <c r="AE1049" s="131">
        <f t="shared" si="419"/>
        <v>0</v>
      </c>
      <c r="AF1049" s="133">
        <f t="shared" si="420"/>
        <v>0</v>
      </c>
      <c r="AG1049" s="1"/>
    </row>
    <row r="1050" ht="21.0" customHeight="1">
      <c r="A1050" s="1"/>
      <c r="B1050" s="48" t="s">
        <v>46</v>
      </c>
      <c r="C1050" s="49"/>
      <c r="D1050" s="91">
        <f t="array" ref="D1050">iferror(vlookup(xlookup(B1040,'현황'!O:O,'현황'!O:O,,-1,-1),'현황'!O:S,3,false),0)</f>
        <v>0</v>
      </c>
      <c r="E1050" s="66"/>
      <c r="F1050" s="52" t="s">
        <v>37</v>
      </c>
      <c r="G1050" s="67"/>
      <c r="H1050" s="80"/>
      <c r="I1050" s="69"/>
      <c r="J1050" s="72"/>
      <c r="K1050" s="73"/>
      <c r="L1050" s="72"/>
      <c r="M1050" s="73"/>
      <c r="N1050" s="72"/>
      <c r="O1050" s="73"/>
      <c r="P1050" s="72"/>
      <c r="Q1050" s="73"/>
      <c r="R1050" s="72"/>
      <c r="S1050" s="73"/>
      <c r="T1050" s="72"/>
      <c r="U1050" s="73"/>
      <c r="V1050" s="72"/>
      <c r="W1050" s="73"/>
      <c r="X1050" s="72"/>
      <c r="Y1050" s="73"/>
      <c r="Z1050" s="74" t="b">
        <v>0</v>
      </c>
      <c r="AA1050" s="130">
        <f t="shared" si="415"/>
        <v>0</v>
      </c>
      <c r="AB1050" s="131">
        <f t="shared" si="416"/>
        <v>0</v>
      </c>
      <c r="AC1050" s="132">
        <f t="shared" si="417"/>
        <v>0</v>
      </c>
      <c r="AD1050" s="133">
        <f t="shared" si="418"/>
        <v>0</v>
      </c>
      <c r="AE1050" s="131">
        <f t="shared" si="419"/>
        <v>0</v>
      </c>
      <c r="AF1050" s="133">
        <f t="shared" si="420"/>
        <v>0</v>
      </c>
      <c r="AG1050" s="1"/>
    </row>
    <row r="1051" ht="21.0" customHeight="1">
      <c r="A1051" s="1"/>
      <c r="B1051" s="48" t="s">
        <v>47</v>
      </c>
      <c r="C1051" s="49"/>
      <c r="D1051" s="91">
        <f t="array" ref="D1051">iferror(vlookup(xlookup(B1040,'현황'!O:O,'현황'!O:O,,-1,-1),'현황'!O:S,4,false),0)</f>
        <v>0</v>
      </c>
      <c r="E1051" s="41"/>
      <c r="F1051" s="92" t="s">
        <v>40</v>
      </c>
      <c r="G1051" s="79"/>
      <c r="H1051" s="93"/>
      <c r="I1051" s="94"/>
      <c r="J1051" s="95"/>
      <c r="K1051" s="96"/>
      <c r="L1051" s="95"/>
      <c r="M1051" s="96"/>
      <c r="N1051" s="95"/>
      <c r="O1051" s="96"/>
      <c r="P1051" s="95"/>
      <c r="Q1051" s="96"/>
      <c r="R1051" s="95"/>
      <c r="S1051" s="96"/>
      <c r="T1051" s="95"/>
      <c r="U1051" s="96"/>
      <c r="V1051" s="95"/>
      <c r="W1051" s="96"/>
      <c r="X1051" s="95"/>
      <c r="Y1051" s="96"/>
      <c r="Z1051" s="97" t="b">
        <v>0</v>
      </c>
      <c r="AA1051" s="135">
        <f t="shared" si="415"/>
        <v>0</v>
      </c>
      <c r="AB1051" s="136">
        <f t="shared" si="416"/>
        <v>0</v>
      </c>
      <c r="AC1051" s="137">
        <f t="shared" si="417"/>
        <v>0</v>
      </c>
      <c r="AD1051" s="138">
        <f t="shared" si="418"/>
        <v>0</v>
      </c>
      <c r="AE1051" s="136">
        <f t="shared" si="419"/>
        <v>0</v>
      </c>
      <c r="AF1051" s="138">
        <f t="shared" si="420"/>
        <v>0</v>
      </c>
      <c r="AG1051" s="1"/>
    </row>
    <row r="1052" ht="21.0" customHeight="1">
      <c r="A1052" s="1"/>
      <c r="B1052" s="102" t="s">
        <v>48</v>
      </c>
      <c r="C1052" s="103"/>
      <c r="D1052" s="104">
        <f>iferror(D1051/D1049,0)</f>
        <v>0</v>
      </c>
      <c r="E1052" s="102" t="s">
        <v>49</v>
      </c>
      <c r="F1052" s="103"/>
      <c r="G1052" s="105"/>
      <c r="H1052" s="106" t="s">
        <v>50</v>
      </c>
      <c r="I1052" s="107"/>
      <c r="J1052" s="11"/>
      <c r="K1052" s="11"/>
      <c r="L1052" s="11"/>
      <c r="M1052" s="11"/>
      <c r="N1052" s="11"/>
      <c r="O1052" s="11"/>
      <c r="P1052" s="108" t="s">
        <v>51</v>
      </c>
      <c r="Q1052" s="12"/>
      <c r="R1052" s="109"/>
      <c r="S1052" s="11"/>
      <c r="T1052" s="11"/>
      <c r="U1052" s="11"/>
      <c r="V1052" s="11"/>
      <c r="W1052" s="11"/>
      <c r="X1052" s="11"/>
      <c r="Y1052" s="11"/>
      <c r="Z1052" s="12"/>
      <c r="AA1052" s="139">
        <f>SUM(AA1043:AA1051)</f>
        <v>0</v>
      </c>
      <c r="AB1052" s="140" t="s">
        <v>237</v>
      </c>
      <c r="AG1052" s="1"/>
    </row>
    <row r="1053" ht="21.0" customHeight="1">
      <c r="A1053" s="1"/>
      <c r="B1053" s="1"/>
      <c r="C1053" s="1"/>
      <c r="D1053" s="1"/>
      <c r="E1053" s="1"/>
      <c r="F1053" s="1"/>
      <c r="G1053" s="1"/>
      <c r="H1053" s="1"/>
      <c r="I1053" s="1"/>
      <c r="AA1053" s="1"/>
      <c r="AB1053" s="1"/>
      <c r="AC1053" s="3"/>
      <c r="AD1053" s="1"/>
      <c r="AE1053" s="1"/>
      <c r="AF1053" s="1"/>
      <c r="AG1053" s="1"/>
    </row>
    <row r="1054" ht="21.0" customHeight="1">
      <c r="A1054" s="1"/>
      <c r="B1054" s="4" t="s">
        <v>1</v>
      </c>
      <c r="C1054" s="5"/>
      <c r="D1054" s="6" t="s">
        <v>2</v>
      </c>
      <c r="E1054" s="7"/>
      <c r="F1054" s="7"/>
      <c r="G1054" s="5"/>
      <c r="H1054" s="8" t="s">
        <v>3</v>
      </c>
      <c r="I1054" s="8" t="s">
        <v>4</v>
      </c>
      <c r="J1054" s="9" t="s">
        <v>5</v>
      </c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5"/>
      <c r="AA1054" s="117" t="s">
        <v>6</v>
      </c>
      <c r="AB1054" s="11"/>
      <c r="AC1054" s="11"/>
      <c r="AD1054" s="11"/>
      <c r="AE1054" s="11"/>
      <c r="AF1054" s="12"/>
      <c r="AG1054" s="1"/>
    </row>
    <row r="1055" ht="21.0" customHeight="1">
      <c r="A1055" s="1"/>
      <c r="B1055" s="149" t="s">
        <v>138</v>
      </c>
      <c r="C1055" s="14" t="str">
        <f>if(B1055="0/0","",choose(weekday(B1055),"(일)","(월)","(화)","(수)","(목)","(금)","(토)"))</f>
        <v/>
      </c>
      <c r="D1055" s="15" t="s">
        <v>7</v>
      </c>
      <c r="E1055" s="16" t="s">
        <v>8</v>
      </c>
      <c r="F1055" s="17"/>
      <c r="G1055" s="18" t="s">
        <v>9</v>
      </c>
      <c r="H1055" s="150" t="s">
        <v>139</v>
      </c>
      <c r="I1055" s="151"/>
      <c r="J1055" s="21" t="s">
        <v>12</v>
      </c>
      <c r="K1055" s="22"/>
      <c r="L1055" s="21" t="s">
        <v>13</v>
      </c>
      <c r="M1055" s="22"/>
      <c r="N1055" s="21" t="s">
        <v>14</v>
      </c>
      <c r="O1055" s="22"/>
      <c r="P1055" s="21" t="s">
        <v>15</v>
      </c>
      <c r="Q1055" s="22"/>
      <c r="R1055" s="23" t="s">
        <v>16</v>
      </c>
      <c r="S1055" s="22"/>
      <c r="T1055" s="23" t="s">
        <v>17</v>
      </c>
      <c r="U1055" s="22"/>
      <c r="V1055" s="23" t="s">
        <v>18</v>
      </c>
      <c r="W1055" s="22"/>
      <c r="X1055" s="23" t="s">
        <v>19</v>
      </c>
      <c r="Y1055" s="22"/>
      <c r="Z1055" s="24" t="s">
        <v>238</v>
      </c>
      <c r="AA1055" s="118" t="s">
        <v>21</v>
      </c>
      <c r="AB1055" s="119" t="s">
        <v>22</v>
      </c>
      <c r="AC1055" s="7"/>
      <c r="AD1055" s="22"/>
      <c r="AE1055" s="120" t="s">
        <v>23</v>
      </c>
      <c r="AF1055" s="22"/>
      <c r="AG1055" s="1"/>
    </row>
    <row r="1056" ht="21.0" customHeight="1">
      <c r="A1056" s="1"/>
      <c r="B1056" s="27">
        <f>iferror(B1055-'현황'!$C$4+1,0)</f>
        <v>0</v>
      </c>
      <c r="C1056" s="28"/>
      <c r="D1056" s="29">
        <v>0.0</v>
      </c>
      <c r="E1056" s="30">
        <v>0.0</v>
      </c>
      <c r="F1056" s="31"/>
      <c r="G1056" s="32">
        <v>0.0</v>
      </c>
      <c r="H1056" s="33">
        <v>0.0</v>
      </c>
      <c r="I1056" s="34"/>
      <c r="J1056" s="35"/>
      <c r="K1056" s="36"/>
      <c r="L1056" s="35"/>
      <c r="M1056" s="36"/>
      <c r="N1056" s="35"/>
      <c r="O1056" s="36"/>
      <c r="P1056" s="35"/>
      <c r="Q1056" s="36"/>
      <c r="R1056" s="35"/>
      <c r="S1056" s="36"/>
      <c r="T1056" s="35"/>
      <c r="U1056" s="36"/>
      <c r="V1056" s="35"/>
      <c r="W1056" s="36"/>
      <c r="X1056" s="35"/>
      <c r="Y1056" s="36"/>
      <c r="Z1056" s="37"/>
      <c r="AA1056" s="37"/>
      <c r="AB1056" s="35"/>
      <c r="AC1056" s="38"/>
      <c r="AD1056" s="36"/>
      <c r="AE1056" s="35"/>
      <c r="AF1056" s="36"/>
      <c r="AG1056" s="1"/>
    </row>
    <row r="1057" ht="21.0" customHeight="1">
      <c r="A1057" s="1"/>
      <c r="B1057" s="39" t="s">
        <v>24</v>
      </c>
      <c r="C1057" s="40"/>
      <c r="D1057" s="41"/>
      <c r="E1057" s="42" t="s">
        <v>25</v>
      </c>
      <c r="F1057" s="40"/>
      <c r="G1057" s="41"/>
      <c r="H1057" s="43" t="s">
        <v>26</v>
      </c>
      <c r="J1057" s="44" t="s">
        <v>27</v>
      </c>
      <c r="K1057" s="45" t="s">
        <v>28</v>
      </c>
      <c r="L1057" s="44" t="s">
        <v>27</v>
      </c>
      <c r="M1057" s="45" t="s">
        <v>28</v>
      </c>
      <c r="N1057" s="44" t="s">
        <v>27</v>
      </c>
      <c r="O1057" s="45" t="s">
        <v>28</v>
      </c>
      <c r="P1057" s="44" t="s">
        <v>27</v>
      </c>
      <c r="Q1057" s="45" t="s">
        <v>28</v>
      </c>
      <c r="R1057" s="44" t="s">
        <v>27</v>
      </c>
      <c r="S1057" s="45" t="s">
        <v>28</v>
      </c>
      <c r="T1057" s="44" t="s">
        <v>27</v>
      </c>
      <c r="U1057" s="45" t="s">
        <v>28</v>
      </c>
      <c r="V1057" s="44" t="s">
        <v>27</v>
      </c>
      <c r="W1057" s="45" t="s">
        <v>28</v>
      </c>
      <c r="X1057" s="44" t="s">
        <v>27</v>
      </c>
      <c r="Y1057" s="45" t="s">
        <v>28</v>
      </c>
      <c r="Z1057" s="46"/>
      <c r="AA1057" s="46"/>
      <c r="AB1057" s="121" t="s">
        <v>29</v>
      </c>
      <c r="AC1057" s="122" t="s">
        <v>30</v>
      </c>
      <c r="AD1057" s="123" t="s">
        <v>31</v>
      </c>
      <c r="AE1057" s="121" t="s">
        <v>27</v>
      </c>
      <c r="AF1057" s="123" t="s">
        <v>28</v>
      </c>
      <c r="AG1057" s="1"/>
    </row>
    <row r="1058" ht="21.0" customHeight="1">
      <c r="A1058" s="1"/>
      <c r="B1058" s="48" t="s">
        <v>32</v>
      </c>
      <c r="C1058" s="49"/>
      <c r="D1058" s="50"/>
      <c r="E1058" s="51" t="s">
        <v>33</v>
      </c>
      <c r="F1058" s="52" t="s">
        <v>34</v>
      </c>
      <c r="G1058" s="53"/>
      <c r="H1058" s="148"/>
      <c r="I1058" s="55"/>
      <c r="J1058" s="58"/>
      <c r="K1058" s="59"/>
      <c r="L1058" s="58"/>
      <c r="M1058" s="59"/>
      <c r="N1058" s="58"/>
      <c r="O1058" s="59"/>
      <c r="P1058" s="58"/>
      <c r="Q1058" s="59"/>
      <c r="R1058" s="58"/>
      <c r="S1058" s="59"/>
      <c r="T1058" s="58"/>
      <c r="U1058" s="59"/>
      <c r="V1058" s="58"/>
      <c r="W1058" s="59"/>
      <c r="X1058" s="58"/>
      <c r="Y1058" s="59"/>
      <c r="Z1058" s="60" t="b">
        <v>0</v>
      </c>
      <c r="AA1058" s="125">
        <f t="shared" ref="AA1058:AA1066" si="421">(J1058*K1058+L1058*M1058+N1058*O1058+P1058*Q1058+R1058*S1058+T1058*U1058+V1058*W1058+X1058*Y1058)*if(Z1058=true,0.453592,1)</f>
        <v>0</v>
      </c>
      <c r="AB1058" s="126">
        <f t="shared" ref="AB1058:AB1066" si="422">SUM(AE1058*AF1058*0.025,AE1058)</f>
        <v>0</v>
      </c>
      <c r="AC1058" s="127">
        <f t="shared" ref="AC1058:AC1066" si="423">AB1058*87%</f>
        <v>0</v>
      </c>
      <c r="AD1058" s="128">
        <f t="shared" ref="AD1058:AD1066" si="424">AB1058*67%</f>
        <v>0</v>
      </c>
      <c r="AE1058" s="126">
        <f t="shared" ref="AE1058:AE1066" si="425">MAX(J1058,L1058,N1058,P1058,R1058,T1058,V1058,X1058)*if(Z1058=true,0.453592,1)</f>
        <v>0</v>
      </c>
      <c r="AF1058" s="128">
        <f t="shared" ref="AF1058:AF1066" si="426">MAX(IF(J1058*if(Z1058=true,0.453592,1)=$AE1058,K1058,0),IF(L1058*if(Z1058=true,0.453592,1)=$AE1058,M1058,0),IF(N1058*if(Z1058=true,0.453592,1)=$AE1058,O1058,0),IF(P1058*if(Z1058=true,0.453592,1)=$AE1058,Q1058,0),IF(R1058*if(Z1058=true,0.453592,1)=$AE1058,S1058,0),IF(T1058*if(Z1058=true,0.453592,1)=$AE1058,U1058,0),IF(V1058*if(Z1058=true,0.453592,1)=$AE1058,W1058,0),IF(X1058*if(Z1058=true,0.453592,1)=$AE1058,Y1058,0))</f>
        <v>0</v>
      </c>
      <c r="AG1058" s="1"/>
    </row>
    <row r="1059" ht="21.0" customHeight="1">
      <c r="A1059" s="1"/>
      <c r="B1059" s="48" t="s">
        <v>36</v>
      </c>
      <c r="C1059" s="49"/>
      <c r="D1059" s="65"/>
      <c r="E1059" s="66"/>
      <c r="F1059" s="52" t="s">
        <v>37</v>
      </c>
      <c r="G1059" s="67"/>
      <c r="H1059" s="129"/>
      <c r="I1059" s="69"/>
      <c r="J1059" s="72"/>
      <c r="K1059" s="73"/>
      <c r="L1059" s="72"/>
      <c r="M1059" s="73"/>
      <c r="N1059" s="72"/>
      <c r="O1059" s="73"/>
      <c r="P1059" s="72"/>
      <c r="Q1059" s="73"/>
      <c r="R1059" s="72"/>
      <c r="S1059" s="73"/>
      <c r="T1059" s="72"/>
      <c r="U1059" s="73"/>
      <c r="V1059" s="72"/>
      <c r="W1059" s="73"/>
      <c r="X1059" s="72"/>
      <c r="Y1059" s="73"/>
      <c r="Z1059" s="74" t="b">
        <v>0</v>
      </c>
      <c r="AA1059" s="130">
        <f t="shared" si="421"/>
        <v>0</v>
      </c>
      <c r="AB1059" s="131">
        <f t="shared" si="422"/>
        <v>0</v>
      </c>
      <c r="AC1059" s="132">
        <f t="shared" si="423"/>
        <v>0</v>
      </c>
      <c r="AD1059" s="133">
        <f t="shared" si="424"/>
        <v>0</v>
      </c>
      <c r="AE1059" s="131">
        <f t="shared" si="425"/>
        <v>0</v>
      </c>
      <c r="AF1059" s="133">
        <f t="shared" si="426"/>
        <v>0</v>
      </c>
      <c r="AG1059" s="1"/>
    </row>
    <row r="1060" ht="21.0" customHeight="1">
      <c r="A1060" s="1"/>
      <c r="B1060" s="48" t="s">
        <v>39</v>
      </c>
      <c r="C1060" s="49"/>
      <c r="D1060" s="65"/>
      <c r="E1060" s="41"/>
      <c r="F1060" s="52" t="s">
        <v>40</v>
      </c>
      <c r="G1060" s="79"/>
      <c r="H1060" s="80"/>
      <c r="I1060" s="69"/>
      <c r="J1060" s="72"/>
      <c r="K1060" s="73"/>
      <c r="L1060" s="72"/>
      <c r="M1060" s="73"/>
      <c r="N1060" s="72"/>
      <c r="O1060" s="73"/>
      <c r="P1060" s="72"/>
      <c r="Q1060" s="73"/>
      <c r="R1060" s="72"/>
      <c r="S1060" s="73"/>
      <c r="T1060" s="72"/>
      <c r="U1060" s="73"/>
      <c r="V1060" s="72"/>
      <c r="W1060" s="73"/>
      <c r="X1060" s="72"/>
      <c r="Y1060" s="73"/>
      <c r="Z1060" s="74" t="b">
        <v>0</v>
      </c>
      <c r="AA1060" s="130">
        <f t="shared" si="421"/>
        <v>0</v>
      </c>
      <c r="AB1060" s="131">
        <f t="shared" si="422"/>
        <v>0</v>
      </c>
      <c r="AC1060" s="132">
        <f t="shared" si="423"/>
        <v>0</v>
      </c>
      <c r="AD1060" s="133">
        <f t="shared" si="424"/>
        <v>0</v>
      </c>
      <c r="AE1060" s="131">
        <f t="shared" si="425"/>
        <v>0</v>
      </c>
      <c r="AF1060" s="133">
        <f t="shared" si="426"/>
        <v>0</v>
      </c>
      <c r="AG1060" s="1"/>
    </row>
    <row r="1061" ht="21.0" customHeight="1">
      <c r="A1061" s="1"/>
      <c r="B1061" s="48" t="s">
        <v>41</v>
      </c>
      <c r="C1061" s="81"/>
      <c r="D1061" s="82" t="b">
        <v>0</v>
      </c>
      <c r="E1061" s="51" t="s">
        <v>42</v>
      </c>
      <c r="F1061" s="52" t="s">
        <v>34</v>
      </c>
      <c r="G1061" s="83"/>
      <c r="H1061" s="84"/>
      <c r="I1061" s="85"/>
      <c r="J1061" s="72"/>
      <c r="K1061" s="73"/>
      <c r="L1061" s="72"/>
      <c r="M1061" s="73"/>
      <c r="N1061" s="72"/>
      <c r="O1061" s="73"/>
      <c r="P1061" s="72"/>
      <c r="Q1061" s="73"/>
      <c r="R1061" s="72"/>
      <c r="S1061" s="73"/>
      <c r="T1061" s="72"/>
      <c r="U1061" s="73"/>
      <c r="V1061" s="72"/>
      <c r="W1061" s="73"/>
      <c r="X1061" s="72"/>
      <c r="Y1061" s="73"/>
      <c r="Z1061" s="74" t="b">
        <v>0</v>
      </c>
      <c r="AA1061" s="130">
        <f t="shared" si="421"/>
        <v>0</v>
      </c>
      <c r="AB1061" s="131">
        <f t="shared" si="422"/>
        <v>0</v>
      </c>
      <c r="AC1061" s="132">
        <f t="shared" si="423"/>
        <v>0</v>
      </c>
      <c r="AD1061" s="133">
        <f t="shared" si="424"/>
        <v>0</v>
      </c>
      <c r="AE1061" s="131">
        <f t="shared" si="425"/>
        <v>0</v>
      </c>
      <c r="AF1061" s="133">
        <f t="shared" si="426"/>
        <v>0</v>
      </c>
      <c r="AG1061" s="1"/>
    </row>
    <row r="1062" ht="21.0" customHeight="1">
      <c r="A1062" s="1"/>
      <c r="B1062" s="48" t="s">
        <v>43</v>
      </c>
      <c r="C1062" s="49"/>
      <c r="D1062" s="86" t="b">
        <v>0</v>
      </c>
      <c r="E1062" s="66"/>
      <c r="F1062" s="52" t="s">
        <v>37</v>
      </c>
      <c r="G1062" s="67"/>
      <c r="H1062" s="80"/>
      <c r="I1062" s="69"/>
      <c r="J1062" s="72"/>
      <c r="K1062" s="73"/>
      <c r="L1062" s="72"/>
      <c r="M1062" s="73"/>
      <c r="N1062" s="72"/>
      <c r="O1062" s="73"/>
      <c r="P1062" s="72"/>
      <c r="Q1062" s="73"/>
      <c r="R1062" s="72"/>
      <c r="S1062" s="73"/>
      <c r="T1062" s="72"/>
      <c r="U1062" s="73"/>
      <c r="V1062" s="72"/>
      <c r="W1062" s="73"/>
      <c r="X1062" s="72"/>
      <c r="Y1062" s="73"/>
      <c r="Z1062" s="74" t="b">
        <v>0</v>
      </c>
      <c r="AA1062" s="130">
        <f t="shared" si="421"/>
        <v>0</v>
      </c>
      <c r="AB1062" s="131">
        <f t="shared" si="422"/>
        <v>0</v>
      </c>
      <c r="AC1062" s="132">
        <f t="shared" si="423"/>
        <v>0</v>
      </c>
      <c r="AD1062" s="133">
        <f t="shared" si="424"/>
        <v>0</v>
      </c>
      <c r="AE1062" s="131">
        <f t="shared" si="425"/>
        <v>0</v>
      </c>
      <c r="AF1062" s="133">
        <f t="shared" si="426"/>
        <v>0</v>
      </c>
      <c r="AG1062" s="1"/>
    </row>
    <row r="1063" ht="21.0" customHeight="1">
      <c r="A1063" s="1"/>
      <c r="B1063" s="87" t="str">
        <f t="array" ref="B1063">"📌최근 인바디 결과 : "&amp;text(xlookup(B1055,'현황'!O:O,'현황'!O:O,,-1,-1),"m/d(ddd)")</f>
        <v>#REF!</v>
      </c>
      <c r="C1063" s="88"/>
      <c r="D1063" s="49"/>
      <c r="E1063" s="41"/>
      <c r="F1063" s="52" t="s">
        <v>40</v>
      </c>
      <c r="G1063" s="79"/>
      <c r="H1063" s="80"/>
      <c r="I1063" s="69"/>
      <c r="J1063" s="72"/>
      <c r="K1063" s="73"/>
      <c r="L1063" s="72"/>
      <c r="M1063" s="73"/>
      <c r="N1063" s="72"/>
      <c r="O1063" s="73"/>
      <c r="P1063" s="72"/>
      <c r="Q1063" s="73"/>
      <c r="R1063" s="72"/>
      <c r="S1063" s="73"/>
      <c r="T1063" s="72"/>
      <c r="U1063" s="73"/>
      <c r="V1063" s="72"/>
      <c r="W1063" s="73"/>
      <c r="X1063" s="72"/>
      <c r="Y1063" s="73"/>
      <c r="Z1063" s="74" t="b">
        <v>0</v>
      </c>
      <c r="AA1063" s="130">
        <f t="shared" si="421"/>
        <v>0</v>
      </c>
      <c r="AB1063" s="131">
        <f t="shared" si="422"/>
        <v>0</v>
      </c>
      <c r="AC1063" s="132">
        <f t="shared" si="423"/>
        <v>0</v>
      </c>
      <c r="AD1063" s="133">
        <f t="shared" si="424"/>
        <v>0</v>
      </c>
      <c r="AE1063" s="131">
        <f t="shared" si="425"/>
        <v>0</v>
      </c>
      <c r="AF1063" s="133">
        <f t="shared" si="426"/>
        <v>0</v>
      </c>
      <c r="AG1063" s="1"/>
    </row>
    <row r="1064" ht="21.0" customHeight="1">
      <c r="A1064" s="1"/>
      <c r="B1064" s="89" t="s">
        <v>44</v>
      </c>
      <c r="C1064" s="49"/>
      <c r="D1064" s="90">
        <f t="array" ref="D1064">iferror(vlookup(xlookup(B1055,'현황'!O:O,'현황'!O:O,,-1,-1),'현황'!O:S,2,false),0)</f>
        <v>0</v>
      </c>
      <c r="E1064" s="51" t="s">
        <v>45</v>
      </c>
      <c r="F1064" s="52" t="s">
        <v>34</v>
      </c>
      <c r="G1064" s="83"/>
      <c r="H1064" s="84"/>
      <c r="I1064" s="85"/>
      <c r="J1064" s="72"/>
      <c r="K1064" s="73"/>
      <c r="L1064" s="72"/>
      <c r="M1064" s="73"/>
      <c r="N1064" s="72"/>
      <c r="O1064" s="73"/>
      <c r="P1064" s="72"/>
      <c r="Q1064" s="73"/>
      <c r="R1064" s="72"/>
      <c r="S1064" s="73"/>
      <c r="T1064" s="72"/>
      <c r="U1064" s="73"/>
      <c r="V1064" s="72"/>
      <c r="W1064" s="73"/>
      <c r="X1064" s="72"/>
      <c r="Y1064" s="73"/>
      <c r="Z1064" s="74" t="b">
        <v>0</v>
      </c>
      <c r="AA1064" s="130">
        <f t="shared" si="421"/>
        <v>0</v>
      </c>
      <c r="AB1064" s="131">
        <f t="shared" si="422"/>
        <v>0</v>
      </c>
      <c r="AC1064" s="132">
        <f t="shared" si="423"/>
        <v>0</v>
      </c>
      <c r="AD1064" s="133">
        <f t="shared" si="424"/>
        <v>0</v>
      </c>
      <c r="AE1064" s="131">
        <f t="shared" si="425"/>
        <v>0</v>
      </c>
      <c r="AF1064" s="133">
        <f t="shared" si="426"/>
        <v>0</v>
      </c>
      <c r="AG1064" s="1"/>
    </row>
    <row r="1065" ht="21.0" customHeight="1">
      <c r="A1065" s="1"/>
      <c r="B1065" s="48" t="s">
        <v>46</v>
      </c>
      <c r="C1065" s="49"/>
      <c r="D1065" s="91">
        <f t="array" ref="D1065">iferror(vlookup(xlookup(B1055,'현황'!O:O,'현황'!O:O,,-1,-1),'현황'!O:S,3,false),0)</f>
        <v>0</v>
      </c>
      <c r="E1065" s="66"/>
      <c r="F1065" s="52" t="s">
        <v>37</v>
      </c>
      <c r="G1065" s="67"/>
      <c r="H1065" s="80"/>
      <c r="I1065" s="69"/>
      <c r="J1065" s="72"/>
      <c r="K1065" s="73"/>
      <c r="L1065" s="72"/>
      <c r="M1065" s="73"/>
      <c r="N1065" s="72"/>
      <c r="O1065" s="73"/>
      <c r="P1065" s="72"/>
      <c r="Q1065" s="73"/>
      <c r="R1065" s="72"/>
      <c r="S1065" s="73"/>
      <c r="T1065" s="72"/>
      <c r="U1065" s="73"/>
      <c r="V1065" s="72"/>
      <c r="W1065" s="73"/>
      <c r="X1065" s="72"/>
      <c r="Y1065" s="73"/>
      <c r="Z1065" s="74" t="b">
        <v>0</v>
      </c>
      <c r="AA1065" s="130">
        <f t="shared" si="421"/>
        <v>0</v>
      </c>
      <c r="AB1065" s="131">
        <f t="shared" si="422"/>
        <v>0</v>
      </c>
      <c r="AC1065" s="132">
        <f t="shared" si="423"/>
        <v>0</v>
      </c>
      <c r="AD1065" s="133">
        <f t="shared" si="424"/>
        <v>0</v>
      </c>
      <c r="AE1065" s="131">
        <f t="shared" si="425"/>
        <v>0</v>
      </c>
      <c r="AF1065" s="133">
        <f t="shared" si="426"/>
        <v>0</v>
      </c>
      <c r="AG1065" s="1"/>
    </row>
    <row r="1066" ht="21.0" customHeight="1">
      <c r="A1066" s="1"/>
      <c r="B1066" s="48" t="s">
        <v>47</v>
      </c>
      <c r="C1066" s="49"/>
      <c r="D1066" s="91">
        <f t="array" ref="D1066">iferror(vlookup(xlookup(B1055,'현황'!O:O,'현황'!O:O,,-1,-1),'현황'!O:S,4,false),0)</f>
        <v>0</v>
      </c>
      <c r="E1066" s="41"/>
      <c r="F1066" s="92" t="s">
        <v>40</v>
      </c>
      <c r="G1066" s="79"/>
      <c r="H1066" s="93"/>
      <c r="I1066" s="94"/>
      <c r="J1066" s="95"/>
      <c r="K1066" s="96"/>
      <c r="L1066" s="95"/>
      <c r="M1066" s="96"/>
      <c r="N1066" s="95"/>
      <c r="O1066" s="96"/>
      <c r="P1066" s="95"/>
      <c r="Q1066" s="96"/>
      <c r="R1066" s="95"/>
      <c r="S1066" s="96"/>
      <c r="T1066" s="95"/>
      <c r="U1066" s="96"/>
      <c r="V1066" s="95"/>
      <c r="W1066" s="96"/>
      <c r="X1066" s="95"/>
      <c r="Y1066" s="96"/>
      <c r="Z1066" s="97" t="b">
        <v>0</v>
      </c>
      <c r="AA1066" s="135">
        <f t="shared" si="421"/>
        <v>0</v>
      </c>
      <c r="AB1066" s="136">
        <f t="shared" si="422"/>
        <v>0</v>
      </c>
      <c r="AC1066" s="137">
        <f t="shared" si="423"/>
        <v>0</v>
      </c>
      <c r="AD1066" s="138">
        <f t="shared" si="424"/>
        <v>0</v>
      </c>
      <c r="AE1066" s="136">
        <f t="shared" si="425"/>
        <v>0</v>
      </c>
      <c r="AF1066" s="138">
        <f t="shared" si="426"/>
        <v>0</v>
      </c>
      <c r="AG1066" s="1"/>
    </row>
    <row r="1067" ht="21.0" customHeight="1">
      <c r="A1067" s="1"/>
      <c r="B1067" s="102" t="s">
        <v>48</v>
      </c>
      <c r="C1067" s="103"/>
      <c r="D1067" s="104">
        <f>iferror(D1066/D1064,0)</f>
        <v>0</v>
      </c>
      <c r="E1067" s="102" t="s">
        <v>49</v>
      </c>
      <c r="F1067" s="103"/>
      <c r="G1067" s="105"/>
      <c r="H1067" s="106" t="s">
        <v>50</v>
      </c>
      <c r="I1067" s="107"/>
      <c r="J1067" s="11"/>
      <c r="K1067" s="11"/>
      <c r="L1067" s="11"/>
      <c r="M1067" s="11"/>
      <c r="N1067" s="11"/>
      <c r="O1067" s="11"/>
      <c r="P1067" s="108" t="s">
        <v>51</v>
      </c>
      <c r="Q1067" s="12"/>
      <c r="R1067" s="109"/>
      <c r="S1067" s="11"/>
      <c r="T1067" s="11"/>
      <c r="U1067" s="11"/>
      <c r="V1067" s="11"/>
      <c r="W1067" s="11"/>
      <c r="X1067" s="11"/>
      <c r="Y1067" s="11"/>
      <c r="Z1067" s="12"/>
      <c r="AA1067" s="139">
        <f>SUM(AA1058:AA1066)</f>
        <v>0</v>
      </c>
      <c r="AB1067" s="140" t="s">
        <v>239</v>
      </c>
      <c r="AG1067" s="1"/>
    </row>
    <row r="1068" ht="21.0" customHeight="1">
      <c r="A1068" s="1"/>
      <c r="B1068" s="1"/>
      <c r="C1068" s="1"/>
      <c r="D1068" s="1"/>
      <c r="E1068" s="1"/>
      <c r="F1068" s="1"/>
      <c r="G1068" s="1"/>
      <c r="H1068" s="1"/>
      <c r="I1068" s="1"/>
      <c r="AA1068" s="1"/>
      <c r="AB1068" s="1"/>
      <c r="AC1068" s="3"/>
      <c r="AD1068" s="1"/>
      <c r="AE1068" s="1"/>
      <c r="AF1068" s="1"/>
      <c r="AG1068" s="1"/>
    </row>
    <row r="1069" ht="21.0" customHeight="1">
      <c r="A1069" s="1"/>
      <c r="B1069" s="4" t="s">
        <v>1</v>
      </c>
      <c r="C1069" s="5"/>
      <c r="D1069" s="6" t="s">
        <v>2</v>
      </c>
      <c r="E1069" s="7"/>
      <c r="F1069" s="7"/>
      <c r="G1069" s="5"/>
      <c r="H1069" s="8" t="s">
        <v>3</v>
      </c>
      <c r="I1069" s="8" t="s">
        <v>4</v>
      </c>
      <c r="J1069" s="9" t="s">
        <v>5</v>
      </c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5"/>
      <c r="AA1069" s="117" t="s">
        <v>6</v>
      </c>
      <c r="AB1069" s="11"/>
      <c r="AC1069" s="11"/>
      <c r="AD1069" s="11"/>
      <c r="AE1069" s="11"/>
      <c r="AF1069" s="12"/>
      <c r="AG1069" s="1"/>
    </row>
    <row r="1070" ht="21.0" customHeight="1">
      <c r="A1070" s="1"/>
      <c r="B1070" s="149" t="s">
        <v>138</v>
      </c>
      <c r="C1070" s="14" t="str">
        <f>if(B1070="0/0","",choose(weekday(B1070),"(일)","(월)","(화)","(수)","(목)","(금)","(토)"))</f>
        <v/>
      </c>
      <c r="D1070" s="15" t="s">
        <v>7</v>
      </c>
      <c r="E1070" s="16" t="s">
        <v>8</v>
      </c>
      <c r="F1070" s="17"/>
      <c r="G1070" s="18" t="s">
        <v>9</v>
      </c>
      <c r="H1070" s="150" t="s">
        <v>139</v>
      </c>
      <c r="I1070" s="151"/>
      <c r="J1070" s="21" t="s">
        <v>12</v>
      </c>
      <c r="K1070" s="22"/>
      <c r="L1070" s="21" t="s">
        <v>13</v>
      </c>
      <c r="M1070" s="22"/>
      <c r="N1070" s="21" t="s">
        <v>14</v>
      </c>
      <c r="O1070" s="22"/>
      <c r="P1070" s="21" t="s">
        <v>15</v>
      </c>
      <c r="Q1070" s="22"/>
      <c r="R1070" s="23" t="s">
        <v>16</v>
      </c>
      <c r="S1070" s="22"/>
      <c r="T1070" s="23" t="s">
        <v>17</v>
      </c>
      <c r="U1070" s="22"/>
      <c r="V1070" s="23" t="s">
        <v>18</v>
      </c>
      <c r="W1070" s="22"/>
      <c r="X1070" s="23" t="s">
        <v>19</v>
      </c>
      <c r="Y1070" s="22"/>
      <c r="Z1070" s="24" t="s">
        <v>240</v>
      </c>
      <c r="AA1070" s="118" t="s">
        <v>21</v>
      </c>
      <c r="AB1070" s="119" t="s">
        <v>22</v>
      </c>
      <c r="AC1070" s="7"/>
      <c r="AD1070" s="22"/>
      <c r="AE1070" s="120" t="s">
        <v>23</v>
      </c>
      <c r="AF1070" s="22"/>
      <c r="AG1070" s="1"/>
    </row>
    <row r="1071" ht="21.0" customHeight="1">
      <c r="A1071" s="1"/>
      <c r="B1071" s="27">
        <f>iferror(B1070-'현황'!$C$4+1,0)</f>
        <v>0</v>
      </c>
      <c r="C1071" s="28"/>
      <c r="D1071" s="29">
        <v>0.0</v>
      </c>
      <c r="E1071" s="30">
        <v>0.0</v>
      </c>
      <c r="F1071" s="31"/>
      <c r="G1071" s="32">
        <v>0.0</v>
      </c>
      <c r="H1071" s="33">
        <v>0.0</v>
      </c>
      <c r="I1071" s="34"/>
      <c r="J1071" s="35"/>
      <c r="K1071" s="36"/>
      <c r="L1071" s="35"/>
      <c r="M1071" s="36"/>
      <c r="N1071" s="35"/>
      <c r="O1071" s="36"/>
      <c r="P1071" s="35"/>
      <c r="Q1071" s="36"/>
      <c r="R1071" s="35"/>
      <c r="S1071" s="36"/>
      <c r="T1071" s="35"/>
      <c r="U1071" s="36"/>
      <c r="V1071" s="35"/>
      <c r="W1071" s="36"/>
      <c r="X1071" s="35"/>
      <c r="Y1071" s="36"/>
      <c r="Z1071" s="37"/>
      <c r="AA1071" s="37"/>
      <c r="AB1071" s="35"/>
      <c r="AC1071" s="38"/>
      <c r="AD1071" s="36"/>
      <c r="AE1071" s="35"/>
      <c r="AF1071" s="36"/>
      <c r="AG1071" s="1"/>
    </row>
    <row r="1072" ht="21.0" customHeight="1">
      <c r="A1072" s="1"/>
      <c r="B1072" s="39" t="s">
        <v>24</v>
      </c>
      <c r="C1072" s="40"/>
      <c r="D1072" s="41"/>
      <c r="E1072" s="42" t="s">
        <v>25</v>
      </c>
      <c r="F1072" s="40"/>
      <c r="G1072" s="41"/>
      <c r="H1072" s="43" t="s">
        <v>26</v>
      </c>
      <c r="J1072" s="44" t="s">
        <v>27</v>
      </c>
      <c r="K1072" s="45" t="s">
        <v>28</v>
      </c>
      <c r="L1072" s="44" t="s">
        <v>27</v>
      </c>
      <c r="M1072" s="45" t="s">
        <v>28</v>
      </c>
      <c r="N1072" s="44" t="s">
        <v>27</v>
      </c>
      <c r="O1072" s="45" t="s">
        <v>28</v>
      </c>
      <c r="P1072" s="44" t="s">
        <v>27</v>
      </c>
      <c r="Q1072" s="45" t="s">
        <v>28</v>
      </c>
      <c r="R1072" s="44" t="s">
        <v>27</v>
      </c>
      <c r="S1072" s="45" t="s">
        <v>28</v>
      </c>
      <c r="T1072" s="44" t="s">
        <v>27</v>
      </c>
      <c r="U1072" s="45" t="s">
        <v>28</v>
      </c>
      <c r="V1072" s="44" t="s">
        <v>27</v>
      </c>
      <c r="W1072" s="45" t="s">
        <v>28</v>
      </c>
      <c r="X1072" s="44" t="s">
        <v>27</v>
      </c>
      <c r="Y1072" s="45" t="s">
        <v>28</v>
      </c>
      <c r="Z1072" s="46"/>
      <c r="AA1072" s="46"/>
      <c r="AB1072" s="121" t="s">
        <v>29</v>
      </c>
      <c r="AC1072" s="122" t="s">
        <v>30</v>
      </c>
      <c r="AD1072" s="123" t="s">
        <v>31</v>
      </c>
      <c r="AE1072" s="121" t="s">
        <v>27</v>
      </c>
      <c r="AF1072" s="123" t="s">
        <v>28</v>
      </c>
      <c r="AG1072" s="1"/>
    </row>
    <row r="1073" ht="21.0" customHeight="1">
      <c r="A1073" s="1"/>
      <c r="B1073" s="48" t="s">
        <v>32</v>
      </c>
      <c r="C1073" s="49"/>
      <c r="D1073" s="50"/>
      <c r="E1073" s="51" t="s">
        <v>33</v>
      </c>
      <c r="F1073" s="52" t="s">
        <v>34</v>
      </c>
      <c r="G1073" s="53"/>
      <c r="H1073" s="148"/>
      <c r="I1073" s="55"/>
      <c r="J1073" s="58"/>
      <c r="K1073" s="59"/>
      <c r="L1073" s="58"/>
      <c r="M1073" s="59"/>
      <c r="N1073" s="58"/>
      <c r="O1073" s="59"/>
      <c r="P1073" s="58"/>
      <c r="Q1073" s="59"/>
      <c r="R1073" s="58"/>
      <c r="S1073" s="59"/>
      <c r="T1073" s="58"/>
      <c r="U1073" s="59"/>
      <c r="V1073" s="58"/>
      <c r="W1073" s="59"/>
      <c r="X1073" s="58"/>
      <c r="Y1073" s="59"/>
      <c r="Z1073" s="60" t="b">
        <v>0</v>
      </c>
      <c r="AA1073" s="125">
        <f t="shared" ref="AA1073:AA1081" si="427">(J1073*K1073+L1073*M1073+N1073*O1073+P1073*Q1073+R1073*S1073+T1073*U1073+V1073*W1073+X1073*Y1073)*if(Z1073=true,0.453592,1)</f>
        <v>0</v>
      </c>
      <c r="AB1073" s="126">
        <f t="shared" ref="AB1073:AB1081" si="428">SUM(AE1073*AF1073*0.025,AE1073)</f>
        <v>0</v>
      </c>
      <c r="AC1073" s="127">
        <f t="shared" ref="AC1073:AC1081" si="429">AB1073*87%</f>
        <v>0</v>
      </c>
      <c r="AD1073" s="128">
        <f t="shared" ref="AD1073:AD1081" si="430">AB1073*67%</f>
        <v>0</v>
      </c>
      <c r="AE1073" s="126">
        <f t="shared" ref="AE1073:AE1081" si="431">MAX(J1073,L1073,N1073,P1073,R1073,T1073,V1073,X1073)*if(Z1073=true,0.453592,1)</f>
        <v>0</v>
      </c>
      <c r="AF1073" s="128">
        <f t="shared" ref="AF1073:AF1081" si="432">MAX(IF(J1073*if(Z1073=true,0.453592,1)=$AE1073,K1073,0),IF(L1073*if(Z1073=true,0.453592,1)=$AE1073,M1073,0),IF(N1073*if(Z1073=true,0.453592,1)=$AE1073,O1073,0),IF(P1073*if(Z1073=true,0.453592,1)=$AE1073,Q1073,0),IF(R1073*if(Z1073=true,0.453592,1)=$AE1073,S1073,0),IF(T1073*if(Z1073=true,0.453592,1)=$AE1073,U1073,0),IF(V1073*if(Z1073=true,0.453592,1)=$AE1073,W1073,0),IF(X1073*if(Z1073=true,0.453592,1)=$AE1073,Y1073,0))</f>
        <v>0</v>
      </c>
      <c r="AG1073" s="1"/>
    </row>
    <row r="1074" ht="21.0" customHeight="1">
      <c r="A1074" s="1"/>
      <c r="B1074" s="48" t="s">
        <v>36</v>
      </c>
      <c r="C1074" s="49"/>
      <c r="D1074" s="65"/>
      <c r="E1074" s="66"/>
      <c r="F1074" s="52" t="s">
        <v>37</v>
      </c>
      <c r="G1074" s="67"/>
      <c r="H1074" s="129"/>
      <c r="I1074" s="69"/>
      <c r="J1074" s="72"/>
      <c r="K1074" s="73"/>
      <c r="L1074" s="72"/>
      <c r="M1074" s="73"/>
      <c r="N1074" s="72"/>
      <c r="O1074" s="73"/>
      <c r="P1074" s="72"/>
      <c r="Q1074" s="73"/>
      <c r="R1074" s="72"/>
      <c r="S1074" s="73"/>
      <c r="T1074" s="72"/>
      <c r="U1074" s="73"/>
      <c r="V1074" s="72"/>
      <c r="W1074" s="73"/>
      <c r="X1074" s="72"/>
      <c r="Y1074" s="73"/>
      <c r="Z1074" s="74" t="b">
        <v>0</v>
      </c>
      <c r="AA1074" s="130">
        <f t="shared" si="427"/>
        <v>0</v>
      </c>
      <c r="AB1074" s="131">
        <f t="shared" si="428"/>
        <v>0</v>
      </c>
      <c r="AC1074" s="132">
        <f t="shared" si="429"/>
        <v>0</v>
      </c>
      <c r="AD1074" s="133">
        <f t="shared" si="430"/>
        <v>0</v>
      </c>
      <c r="AE1074" s="131">
        <f t="shared" si="431"/>
        <v>0</v>
      </c>
      <c r="AF1074" s="133">
        <f t="shared" si="432"/>
        <v>0</v>
      </c>
      <c r="AG1074" s="1"/>
    </row>
    <row r="1075" ht="21.0" customHeight="1">
      <c r="A1075" s="1"/>
      <c r="B1075" s="48" t="s">
        <v>39</v>
      </c>
      <c r="C1075" s="49"/>
      <c r="D1075" s="65"/>
      <c r="E1075" s="41"/>
      <c r="F1075" s="52" t="s">
        <v>40</v>
      </c>
      <c r="G1075" s="79"/>
      <c r="H1075" s="80"/>
      <c r="I1075" s="69"/>
      <c r="J1075" s="72"/>
      <c r="K1075" s="73"/>
      <c r="L1075" s="72"/>
      <c r="M1075" s="73"/>
      <c r="N1075" s="72"/>
      <c r="O1075" s="73"/>
      <c r="P1075" s="72"/>
      <c r="Q1075" s="73"/>
      <c r="R1075" s="72"/>
      <c r="S1075" s="73"/>
      <c r="T1075" s="72"/>
      <c r="U1075" s="73"/>
      <c r="V1075" s="72"/>
      <c r="W1075" s="73"/>
      <c r="X1075" s="72"/>
      <c r="Y1075" s="73"/>
      <c r="Z1075" s="74" t="b">
        <v>0</v>
      </c>
      <c r="AA1075" s="130">
        <f t="shared" si="427"/>
        <v>0</v>
      </c>
      <c r="AB1075" s="131">
        <f t="shared" si="428"/>
        <v>0</v>
      </c>
      <c r="AC1075" s="132">
        <f t="shared" si="429"/>
        <v>0</v>
      </c>
      <c r="AD1075" s="133">
        <f t="shared" si="430"/>
        <v>0</v>
      </c>
      <c r="AE1075" s="131">
        <f t="shared" si="431"/>
        <v>0</v>
      </c>
      <c r="AF1075" s="133">
        <f t="shared" si="432"/>
        <v>0</v>
      </c>
      <c r="AG1075" s="1"/>
    </row>
    <row r="1076" ht="21.0" customHeight="1">
      <c r="A1076" s="1"/>
      <c r="B1076" s="48" t="s">
        <v>41</v>
      </c>
      <c r="C1076" s="81"/>
      <c r="D1076" s="82" t="b">
        <v>0</v>
      </c>
      <c r="E1076" s="51" t="s">
        <v>42</v>
      </c>
      <c r="F1076" s="52" t="s">
        <v>34</v>
      </c>
      <c r="G1076" s="83"/>
      <c r="H1076" s="84"/>
      <c r="I1076" s="85"/>
      <c r="J1076" s="72"/>
      <c r="K1076" s="73"/>
      <c r="L1076" s="72"/>
      <c r="M1076" s="73"/>
      <c r="N1076" s="72"/>
      <c r="O1076" s="73"/>
      <c r="P1076" s="72"/>
      <c r="Q1076" s="73"/>
      <c r="R1076" s="72"/>
      <c r="S1076" s="73"/>
      <c r="T1076" s="72"/>
      <c r="U1076" s="73"/>
      <c r="V1076" s="72"/>
      <c r="W1076" s="73"/>
      <c r="X1076" s="72"/>
      <c r="Y1076" s="73"/>
      <c r="Z1076" s="74" t="b">
        <v>0</v>
      </c>
      <c r="AA1076" s="130">
        <f t="shared" si="427"/>
        <v>0</v>
      </c>
      <c r="AB1076" s="131">
        <f t="shared" si="428"/>
        <v>0</v>
      </c>
      <c r="AC1076" s="132">
        <f t="shared" si="429"/>
        <v>0</v>
      </c>
      <c r="AD1076" s="133">
        <f t="shared" si="430"/>
        <v>0</v>
      </c>
      <c r="AE1076" s="131">
        <f t="shared" si="431"/>
        <v>0</v>
      </c>
      <c r="AF1076" s="133">
        <f t="shared" si="432"/>
        <v>0</v>
      </c>
      <c r="AG1076" s="1"/>
    </row>
    <row r="1077" ht="21.0" customHeight="1">
      <c r="A1077" s="1"/>
      <c r="B1077" s="48" t="s">
        <v>43</v>
      </c>
      <c r="C1077" s="49"/>
      <c r="D1077" s="86" t="b">
        <v>0</v>
      </c>
      <c r="E1077" s="66"/>
      <c r="F1077" s="52" t="s">
        <v>37</v>
      </c>
      <c r="G1077" s="67"/>
      <c r="H1077" s="80"/>
      <c r="I1077" s="69"/>
      <c r="J1077" s="72"/>
      <c r="K1077" s="73"/>
      <c r="L1077" s="72"/>
      <c r="M1077" s="73"/>
      <c r="N1077" s="72"/>
      <c r="O1077" s="73"/>
      <c r="P1077" s="72"/>
      <c r="Q1077" s="73"/>
      <c r="R1077" s="72"/>
      <c r="S1077" s="73"/>
      <c r="T1077" s="72"/>
      <c r="U1077" s="73"/>
      <c r="V1077" s="72"/>
      <c r="W1077" s="73"/>
      <c r="X1077" s="72"/>
      <c r="Y1077" s="73"/>
      <c r="Z1077" s="74" t="b">
        <v>0</v>
      </c>
      <c r="AA1077" s="130">
        <f t="shared" si="427"/>
        <v>0</v>
      </c>
      <c r="AB1077" s="131">
        <f t="shared" si="428"/>
        <v>0</v>
      </c>
      <c r="AC1077" s="132">
        <f t="shared" si="429"/>
        <v>0</v>
      </c>
      <c r="AD1077" s="133">
        <f t="shared" si="430"/>
        <v>0</v>
      </c>
      <c r="AE1077" s="131">
        <f t="shared" si="431"/>
        <v>0</v>
      </c>
      <c r="AF1077" s="133">
        <f t="shared" si="432"/>
        <v>0</v>
      </c>
      <c r="AG1077" s="1"/>
    </row>
    <row r="1078" ht="21.0" customHeight="1">
      <c r="A1078" s="1"/>
      <c r="B1078" s="87" t="str">
        <f t="array" ref="B1078">"📌최근 인바디 결과 : "&amp;text(xlookup(B1070,'현황'!O:O,'현황'!O:O,,-1,-1),"m/d(ddd)")</f>
        <v>#REF!</v>
      </c>
      <c r="C1078" s="88"/>
      <c r="D1078" s="49"/>
      <c r="E1078" s="41"/>
      <c r="F1078" s="52" t="s">
        <v>40</v>
      </c>
      <c r="G1078" s="79"/>
      <c r="H1078" s="80"/>
      <c r="I1078" s="69"/>
      <c r="J1078" s="72"/>
      <c r="K1078" s="73"/>
      <c r="L1078" s="72"/>
      <c r="M1078" s="73"/>
      <c r="N1078" s="72"/>
      <c r="O1078" s="73"/>
      <c r="P1078" s="72"/>
      <c r="Q1078" s="73"/>
      <c r="R1078" s="72"/>
      <c r="S1078" s="73"/>
      <c r="T1078" s="72"/>
      <c r="U1078" s="73"/>
      <c r="V1078" s="72"/>
      <c r="W1078" s="73"/>
      <c r="X1078" s="72"/>
      <c r="Y1078" s="73"/>
      <c r="Z1078" s="74" t="b">
        <v>0</v>
      </c>
      <c r="AA1078" s="130">
        <f t="shared" si="427"/>
        <v>0</v>
      </c>
      <c r="AB1078" s="131">
        <f t="shared" si="428"/>
        <v>0</v>
      </c>
      <c r="AC1078" s="132">
        <f t="shared" si="429"/>
        <v>0</v>
      </c>
      <c r="AD1078" s="133">
        <f t="shared" si="430"/>
        <v>0</v>
      </c>
      <c r="AE1078" s="131">
        <f t="shared" si="431"/>
        <v>0</v>
      </c>
      <c r="AF1078" s="133">
        <f t="shared" si="432"/>
        <v>0</v>
      </c>
      <c r="AG1078" s="1"/>
    </row>
    <row r="1079" ht="21.0" customHeight="1">
      <c r="A1079" s="1"/>
      <c r="B1079" s="89" t="s">
        <v>44</v>
      </c>
      <c r="C1079" s="49"/>
      <c r="D1079" s="90">
        <f t="array" ref="D1079">iferror(vlookup(xlookup(B1070,'현황'!O:O,'현황'!O:O,,-1,-1),'현황'!O:S,2,false),0)</f>
        <v>0</v>
      </c>
      <c r="E1079" s="51" t="s">
        <v>45</v>
      </c>
      <c r="F1079" s="52" t="s">
        <v>34</v>
      </c>
      <c r="G1079" s="83"/>
      <c r="H1079" s="84"/>
      <c r="I1079" s="85"/>
      <c r="J1079" s="72"/>
      <c r="K1079" s="73"/>
      <c r="L1079" s="72"/>
      <c r="M1079" s="73"/>
      <c r="N1079" s="72"/>
      <c r="O1079" s="73"/>
      <c r="P1079" s="72"/>
      <c r="Q1079" s="73"/>
      <c r="R1079" s="72"/>
      <c r="S1079" s="73"/>
      <c r="T1079" s="72"/>
      <c r="U1079" s="73"/>
      <c r="V1079" s="72"/>
      <c r="W1079" s="73"/>
      <c r="X1079" s="72"/>
      <c r="Y1079" s="73"/>
      <c r="Z1079" s="74" t="b">
        <v>0</v>
      </c>
      <c r="AA1079" s="130">
        <f t="shared" si="427"/>
        <v>0</v>
      </c>
      <c r="AB1079" s="131">
        <f t="shared" si="428"/>
        <v>0</v>
      </c>
      <c r="AC1079" s="132">
        <f t="shared" si="429"/>
        <v>0</v>
      </c>
      <c r="AD1079" s="133">
        <f t="shared" si="430"/>
        <v>0</v>
      </c>
      <c r="AE1079" s="131">
        <f t="shared" si="431"/>
        <v>0</v>
      </c>
      <c r="AF1079" s="133">
        <f t="shared" si="432"/>
        <v>0</v>
      </c>
      <c r="AG1079" s="1"/>
    </row>
    <row r="1080" ht="21.0" customHeight="1">
      <c r="A1080" s="1"/>
      <c r="B1080" s="48" t="s">
        <v>46</v>
      </c>
      <c r="C1080" s="49"/>
      <c r="D1080" s="91">
        <f t="array" ref="D1080">iferror(vlookup(xlookup(B1070,'현황'!O:O,'현황'!O:O,,-1,-1),'현황'!O:S,3,false),0)</f>
        <v>0</v>
      </c>
      <c r="E1080" s="66"/>
      <c r="F1080" s="52" t="s">
        <v>37</v>
      </c>
      <c r="G1080" s="67"/>
      <c r="H1080" s="80"/>
      <c r="I1080" s="69"/>
      <c r="J1080" s="72"/>
      <c r="K1080" s="73"/>
      <c r="L1080" s="72"/>
      <c r="M1080" s="73"/>
      <c r="N1080" s="72"/>
      <c r="O1080" s="73"/>
      <c r="P1080" s="72"/>
      <c r="Q1080" s="73"/>
      <c r="R1080" s="72"/>
      <c r="S1080" s="73"/>
      <c r="T1080" s="72"/>
      <c r="U1080" s="73"/>
      <c r="V1080" s="72"/>
      <c r="W1080" s="73"/>
      <c r="X1080" s="72"/>
      <c r="Y1080" s="73"/>
      <c r="Z1080" s="74" t="b">
        <v>0</v>
      </c>
      <c r="AA1080" s="130">
        <f t="shared" si="427"/>
        <v>0</v>
      </c>
      <c r="AB1080" s="131">
        <f t="shared" si="428"/>
        <v>0</v>
      </c>
      <c r="AC1080" s="132">
        <f t="shared" si="429"/>
        <v>0</v>
      </c>
      <c r="AD1080" s="133">
        <f t="shared" si="430"/>
        <v>0</v>
      </c>
      <c r="AE1080" s="131">
        <f t="shared" si="431"/>
        <v>0</v>
      </c>
      <c r="AF1080" s="133">
        <f t="shared" si="432"/>
        <v>0</v>
      </c>
      <c r="AG1080" s="1"/>
    </row>
    <row r="1081" ht="21.0" customHeight="1">
      <c r="A1081" s="1"/>
      <c r="B1081" s="48" t="s">
        <v>47</v>
      </c>
      <c r="C1081" s="49"/>
      <c r="D1081" s="91">
        <f t="array" ref="D1081">iferror(vlookup(xlookup(B1070,'현황'!O:O,'현황'!O:O,,-1,-1),'현황'!O:S,4,false),0)</f>
        <v>0</v>
      </c>
      <c r="E1081" s="41"/>
      <c r="F1081" s="92" t="s">
        <v>40</v>
      </c>
      <c r="G1081" s="79"/>
      <c r="H1081" s="93"/>
      <c r="I1081" s="94"/>
      <c r="J1081" s="95"/>
      <c r="K1081" s="96"/>
      <c r="L1081" s="95"/>
      <c r="M1081" s="96"/>
      <c r="N1081" s="95"/>
      <c r="O1081" s="96"/>
      <c r="P1081" s="95"/>
      <c r="Q1081" s="96"/>
      <c r="R1081" s="95"/>
      <c r="S1081" s="96"/>
      <c r="T1081" s="95"/>
      <c r="U1081" s="96"/>
      <c r="V1081" s="95"/>
      <c r="W1081" s="96"/>
      <c r="X1081" s="95"/>
      <c r="Y1081" s="96"/>
      <c r="Z1081" s="97" t="b">
        <v>0</v>
      </c>
      <c r="AA1081" s="135">
        <f t="shared" si="427"/>
        <v>0</v>
      </c>
      <c r="AB1081" s="136">
        <f t="shared" si="428"/>
        <v>0</v>
      </c>
      <c r="AC1081" s="137">
        <f t="shared" si="429"/>
        <v>0</v>
      </c>
      <c r="AD1081" s="138">
        <f t="shared" si="430"/>
        <v>0</v>
      </c>
      <c r="AE1081" s="136">
        <f t="shared" si="431"/>
        <v>0</v>
      </c>
      <c r="AF1081" s="138">
        <f t="shared" si="432"/>
        <v>0</v>
      </c>
      <c r="AG1081" s="1"/>
    </row>
    <row r="1082" ht="21.0" customHeight="1">
      <c r="A1082" s="1"/>
      <c r="B1082" s="102" t="s">
        <v>48</v>
      </c>
      <c r="C1082" s="103"/>
      <c r="D1082" s="104">
        <f>iferror(D1081/D1079,0)</f>
        <v>0</v>
      </c>
      <c r="E1082" s="102" t="s">
        <v>49</v>
      </c>
      <c r="F1082" s="103"/>
      <c r="G1082" s="105"/>
      <c r="H1082" s="143" t="s">
        <v>50</v>
      </c>
      <c r="I1082" s="144"/>
      <c r="J1082" s="11"/>
      <c r="K1082" s="11"/>
      <c r="L1082" s="11"/>
      <c r="M1082" s="11"/>
      <c r="N1082" s="11"/>
      <c r="O1082" s="11"/>
      <c r="P1082" s="145" t="s">
        <v>51</v>
      </c>
      <c r="Q1082" s="12"/>
      <c r="R1082" s="146"/>
      <c r="S1082" s="11"/>
      <c r="T1082" s="11"/>
      <c r="U1082" s="11"/>
      <c r="V1082" s="11"/>
      <c r="W1082" s="11"/>
      <c r="X1082" s="11"/>
      <c r="Y1082" s="11"/>
      <c r="Z1082" s="12"/>
      <c r="AA1082" s="139">
        <f>SUM(AA1073:AA1081)</f>
        <v>0</v>
      </c>
      <c r="AB1082" s="140" t="s">
        <v>241</v>
      </c>
      <c r="AG1082" s="1"/>
    </row>
    <row r="1083" ht="21.0" customHeight="1">
      <c r="A1083" s="1"/>
      <c r="B1083" s="1"/>
      <c r="C1083" s="1"/>
      <c r="D1083" s="1"/>
      <c r="E1083" s="1"/>
      <c r="F1083" s="1"/>
      <c r="G1083" s="1"/>
      <c r="H1083" s="1"/>
      <c r="I1083" s="1"/>
      <c r="AA1083" s="1"/>
      <c r="AB1083" s="1"/>
      <c r="AC1083" s="3"/>
      <c r="AD1083" s="1"/>
      <c r="AE1083" s="1"/>
      <c r="AF1083" s="1"/>
      <c r="AG1083" s="1"/>
    </row>
    <row r="1084" ht="21.0" customHeight="1">
      <c r="A1084" s="1"/>
      <c r="B1084" s="4" t="s">
        <v>1</v>
      </c>
      <c r="C1084" s="5"/>
      <c r="D1084" s="6" t="s">
        <v>2</v>
      </c>
      <c r="E1084" s="7"/>
      <c r="F1084" s="7"/>
      <c r="G1084" s="5"/>
      <c r="H1084" s="8" t="s">
        <v>3</v>
      </c>
      <c r="I1084" s="8" t="s">
        <v>4</v>
      </c>
      <c r="J1084" s="9" t="s">
        <v>5</v>
      </c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5"/>
      <c r="AA1084" s="117" t="s">
        <v>6</v>
      </c>
      <c r="AB1084" s="11"/>
      <c r="AC1084" s="11"/>
      <c r="AD1084" s="11"/>
      <c r="AE1084" s="11"/>
      <c r="AF1084" s="12"/>
      <c r="AG1084" s="1"/>
    </row>
    <row r="1085" ht="21.0" customHeight="1">
      <c r="A1085" s="1"/>
      <c r="B1085" s="149" t="s">
        <v>138</v>
      </c>
      <c r="C1085" s="14" t="str">
        <f>if(B1085="0/0","",choose(weekday(B1085),"(일)","(월)","(화)","(수)","(목)","(금)","(토)"))</f>
        <v/>
      </c>
      <c r="D1085" s="15" t="s">
        <v>7</v>
      </c>
      <c r="E1085" s="16" t="s">
        <v>8</v>
      </c>
      <c r="F1085" s="17"/>
      <c r="G1085" s="18" t="s">
        <v>9</v>
      </c>
      <c r="H1085" s="150" t="s">
        <v>139</v>
      </c>
      <c r="I1085" s="151"/>
      <c r="J1085" s="21" t="s">
        <v>12</v>
      </c>
      <c r="K1085" s="22"/>
      <c r="L1085" s="21" t="s">
        <v>13</v>
      </c>
      <c r="M1085" s="22"/>
      <c r="N1085" s="21" t="s">
        <v>14</v>
      </c>
      <c r="O1085" s="22"/>
      <c r="P1085" s="21" t="s">
        <v>15</v>
      </c>
      <c r="Q1085" s="22"/>
      <c r="R1085" s="23" t="s">
        <v>16</v>
      </c>
      <c r="S1085" s="22"/>
      <c r="T1085" s="23" t="s">
        <v>17</v>
      </c>
      <c r="U1085" s="22"/>
      <c r="V1085" s="23" t="s">
        <v>18</v>
      </c>
      <c r="W1085" s="22"/>
      <c r="X1085" s="23" t="s">
        <v>19</v>
      </c>
      <c r="Y1085" s="22"/>
      <c r="Z1085" s="24" t="s">
        <v>242</v>
      </c>
      <c r="AA1085" s="118" t="s">
        <v>21</v>
      </c>
      <c r="AB1085" s="119" t="s">
        <v>22</v>
      </c>
      <c r="AC1085" s="7"/>
      <c r="AD1085" s="22"/>
      <c r="AE1085" s="120" t="s">
        <v>23</v>
      </c>
      <c r="AF1085" s="22"/>
      <c r="AG1085" s="1"/>
    </row>
    <row r="1086" ht="21.0" customHeight="1">
      <c r="A1086" s="1"/>
      <c r="B1086" s="27">
        <f>iferror(B1085-'현황'!$C$4+1,0)</f>
        <v>0</v>
      </c>
      <c r="C1086" s="28"/>
      <c r="D1086" s="29">
        <v>0.0</v>
      </c>
      <c r="E1086" s="30">
        <v>0.0</v>
      </c>
      <c r="F1086" s="31"/>
      <c r="G1086" s="32">
        <v>0.0</v>
      </c>
      <c r="H1086" s="33">
        <v>0.0</v>
      </c>
      <c r="I1086" s="34"/>
      <c r="J1086" s="35"/>
      <c r="K1086" s="36"/>
      <c r="L1086" s="35"/>
      <c r="M1086" s="36"/>
      <c r="N1086" s="35"/>
      <c r="O1086" s="36"/>
      <c r="P1086" s="35"/>
      <c r="Q1086" s="36"/>
      <c r="R1086" s="35"/>
      <c r="S1086" s="36"/>
      <c r="T1086" s="35"/>
      <c r="U1086" s="36"/>
      <c r="V1086" s="35"/>
      <c r="W1086" s="36"/>
      <c r="X1086" s="35"/>
      <c r="Y1086" s="36"/>
      <c r="Z1086" s="37"/>
      <c r="AA1086" s="37"/>
      <c r="AB1086" s="35"/>
      <c r="AC1086" s="38"/>
      <c r="AD1086" s="36"/>
      <c r="AE1086" s="35"/>
      <c r="AF1086" s="36"/>
      <c r="AG1086" s="1"/>
    </row>
    <row r="1087" ht="21.0" customHeight="1">
      <c r="A1087" s="1"/>
      <c r="B1087" s="39" t="s">
        <v>24</v>
      </c>
      <c r="C1087" s="40"/>
      <c r="D1087" s="41"/>
      <c r="E1087" s="42" t="s">
        <v>25</v>
      </c>
      <c r="F1087" s="40"/>
      <c r="G1087" s="41"/>
      <c r="H1087" s="43" t="s">
        <v>26</v>
      </c>
      <c r="J1087" s="44" t="s">
        <v>27</v>
      </c>
      <c r="K1087" s="45" t="s">
        <v>28</v>
      </c>
      <c r="L1087" s="44" t="s">
        <v>27</v>
      </c>
      <c r="M1087" s="45" t="s">
        <v>28</v>
      </c>
      <c r="N1087" s="44" t="s">
        <v>27</v>
      </c>
      <c r="O1087" s="45" t="s">
        <v>28</v>
      </c>
      <c r="P1087" s="44" t="s">
        <v>27</v>
      </c>
      <c r="Q1087" s="45" t="s">
        <v>28</v>
      </c>
      <c r="R1087" s="44" t="s">
        <v>27</v>
      </c>
      <c r="S1087" s="45" t="s">
        <v>28</v>
      </c>
      <c r="T1087" s="44" t="s">
        <v>27</v>
      </c>
      <c r="U1087" s="45" t="s">
        <v>28</v>
      </c>
      <c r="V1087" s="44" t="s">
        <v>27</v>
      </c>
      <c r="W1087" s="45" t="s">
        <v>28</v>
      </c>
      <c r="X1087" s="44" t="s">
        <v>27</v>
      </c>
      <c r="Y1087" s="45" t="s">
        <v>28</v>
      </c>
      <c r="Z1087" s="46"/>
      <c r="AA1087" s="46"/>
      <c r="AB1087" s="121" t="s">
        <v>29</v>
      </c>
      <c r="AC1087" s="122" t="s">
        <v>30</v>
      </c>
      <c r="AD1087" s="123" t="s">
        <v>31</v>
      </c>
      <c r="AE1087" s="121" t="s">
        <v>27</v>
      </c>
      <c r="AF1087" s="123" t="s">
        <v>28</v>
      </c>
      <c r="AG1087" s="1"/>
    </row>
    <row r="1088" ht="21.0" customHeight="1">
      <c r="A1088" s="1"/>
      <c r="B1088" s="48" t="s">
        <v>32</v>
      </c>
      <c r="C1088" s="49"/>
      <c r="D1088" s="50"/>
      <c r="E1088" s="51" t="s">
        <v>33</v>
      </c>
      <c r="F1088" s="52" t="s">
        <v>34</v>
      </c>
      <c r="G1088" s="53"/>
      <c r="H1088" s="148"/>
      <c r="I1088" s="55"/>
      <c r="J1088" s="58"/>
      <c r="K1088" s="59"/>
      <c r="L1088" s="58"/>
      <c r="M1088" s="59"/>
      <c r="N1088" s="58"/>
      <c r="O1088" s="59"/>
      <c r="P1088" s="58"/>
      <c r="Q1088" s="59"/>
      <c r="R1088" s="58"/>
      <c r="S1088" s="59"/>
      <c r="T1088" s="58"/>
      <c r="U1088" s="59"/>
      <c r="V1088" s="58"/>
      <c r="W1088" s="59"/>
      <c r="X1088" s="58"/>
      <c r="Y1088" s="59"/>
      <c r="Z1088" s="60" t="b">
        <v>0</v>
      </c>
      <c r="AA1088" s="125">
        <f t="shared" ref="AA1088:AA1096" si="433">(J1088*K1088+L1088*M1088+N1088*O1088+P1088*Q1088+R1088*S1088+T1088*U1088+V1088*W1088+X1088*Y1088)*if(Z1088=true,0.453592,1)</f>
        <v>0</v>
      </c>
      <c r="AB1088" s="126">
        <f t="shared" ref="AB1088:AB1096" si="434">SUM(AE1088*AF1088*0.025,AE1088)</f>
        <v>0</v>
      </c>
      <c r="AC1088" s="127">
        <f t="shared" ref="AC1088:AC1096" si="435">AB1088*87%</f>
        <v>0</v>
      </c>
      <c r="AD1088" s="128">
        <f t="shared" ref="AD1088:AD1096" si="436">AB1088*67%</f>
        <v>0</v>
      </c>
      <c r="AE1088" s="126">
        <f t="shared" ref="AE1088:AE1096" si="437">MAX(J1088,L1088,N1088,P1088,R1088,T1088,V1088,X1088)*if(Z1088=true,0.453592,1)</f>
        <v>0</v>
      </c>
      <c r="AF1088" s="128">
        <f t="shared" ref="AF1088:AF1096" si="438">MAX(IF(J1088*if(Z1088=true,0.453592,1)=$AE1088,K1088,0),IF(L1088*if(Z1088=true,0.453592,1)=$AE1088,M1088,0),IF(N1088*if(Z1088=true,0.453592,1)=$AE1088,O1088,0),IF(P1088*if(Z1088=true,0.453592,1)=$AE1088,Q1088,0),IF(R1088*if(Z1088=true,0.453592,1)=$AE1088,S1088,0),IF(T1088*if(Z1088=true,0.453592,1)=$AE1088,U1088,0),IF(V1088*if(Z1088=true,0.453592,1)=$AE1088,W1088,0),IF(X1088*if(Z1088=true,0.453592,1)=$AE1088,Y1088,0))</f>
        <v>0</v>
      </c>
      <c r="AG1088" s="1"/>
    </row>
    <row r="1089" ht="21.0" customHeight="1">
      <c r="A1089" s="1"/>
      <c r="B1089" s="48" t="s">
        <v>36</v>
      </c>
      <c r="C1089" s="49"/>
      <c r="D1089" s="65"/>
      <c r="E1089" s="66"/>
      <c r="F1089" s="52" t="s">
        <v>37</v>
      </c>
      <c r="G1089" s="67"/>
      <c r="H1089" s="129"/>
      <c r="I1089" s="69"/>
      <c r="J1089" s="72"/>
      <c r="K1089" s="73"/>
      <c r="L1089" s="72"/>
      <c r="M1089" s="73"/>
      <c r="N1089" s="72"/>
      <c r="O1089" s="73"/>
      <c r="P1089" s="72"/>
      <c r="Q1089" s="73"/>
      <c r="R1089" s="72"/>
      <c r="S1089" s="73"/>
      <c r="T1089" s="72"/>
      <c r="U1089" s="73"/>
      <c r="V1089" s="72"/>
      <c r="W1089" s="73"/>
      <c r="X1089" s="72"/>
      <c r="Y1089" s="73"/>
      <c r="Z1089" s="74" t="b">
        <v>0</v>
      </c>
      <c r="AA1089" s="130">
        <f t="shared" si="433"/>
        <v>0</v>
      </c>
      <c r="AB1089" s="131">
        <f t="shared" si="434"/>
        <v>0</v>
      </c>
      <c r="AC1089" s="132">
        <f t="shared" si="435"/>
        <v>0</v>
      </c>
      <c r="AD1089" s="133">
        <f t="shared" si="436"/>
        <v>0</v>
      </c>
      <c r="AE1089" s="131">
        <f t="shared" si="437"/>
        <v>0</v>
      </c>
      <c r="AF1089" s="133">
        <f t="shared" si="438"/>
        <v>0</v>
      </c>
      <c r="AG1089" s="1"/>
    </row>
    <row r="1090" ht="21.0" customHeight="1">
      <c r="A1090" s="1"/>
      <c r="B1090" s="48" t="s">
        <v>39</v>
      </c>
      <c r="C1090" s="49"/>
      <c r="D1090" s="65"/>
      <c r="E1090" s="41"/>
      <c r="F1090" s="52" t="s">
        <v>40</v>
      </c>
      <c r="G1090" s="79"/>
      <c r="H1090" s="80"/>
      <c r="I1090" s="69"/>
      <c r="J1090" s="72"/>
      <c r="K1090" s="73"/>
      <c r="L1090" s="72"/>
      <c r="M1090" s="73"/>
      <c r="N1090" s="72"/>
      <c r="O1090" s="73"/>
      <c r="P1090" s="72"/>
      <c r="Q1090" s="73"/>
      <c r="R1090" s="72"/>
      <c r="S1090" s="73"/>
      <c r="T1090" s="72"/>
      <c r="U1090" s="73"/>
      <c r="V1090" s="72"/>
      <c r="W1090" s="73"/>
      <c r="X1090" s="72"/>
      <c r="Y1090" s="73"/>
      <c r="Z1090" s="74" t="b">
        <v>0</v>
      </c>
      <c r="AA1090" s="130">
        <f t="shared" si="433"/>
        <v>0</v>
      </c>
      <c r="AB1090" s="131">
        <f t="shared" si="434"/>
        <v>0</v>
      </c>
      <c r="AC1090" s="132">
        <f t="shared" si="435"/>
        <v>0</v>
      </c>
      <c r="AD1090" s="133">
        <f t="shared" si="436"/>
        <v>0</v>
      </c>
      <c r="AE1090" s="131">
        <f t="shared" si="437"/>
        <v>0</v>
      </c>
      <c r="AF1090" s="133">
        <f t="shared" si="438"/>
        <v>0</v>
      </c>
      <c r="AG1090" s="1"/>
    </row>
    <row r="1091" ht="21.0" customHeight="1">
      <c r="A1091" s="1"/>
      <c r="B1091" s="48" t="s">
        <v>41</v>
      </c>
      <c r="C1091" s="81"/>
      <c r="D1091" s="82" t="b">
        <v>0</v>
      </c>
      <c r="E1091" s="51" t="s">
        <v>42</v>
      </c>
      <c r="F1091" s="52" t="s">
        <v>34</v>
      </c>
      <c r="G1091" s="83"/>
      <c r="H1091" s="84"/>
      <c r="I1091" s="85"/>
      <c r="J1091" s="72"/>
      <c r="K1091" s="73"/>
      <c r="L1091" s="72"/>
      <c r="M1091" s="73"/>
      <c r="N1091" s="72"/>
      <c r="O1091" s="73"/>
      <c r="P1091" s="72"/>
      <c r="Q1091" s="73"/>
      <c r="R1091" s="72"/>
      <c r="S1091" s="73"/>
      <c r="T1091" s="72"/>
      <c r="U1091" s="73"/>
      <c r="V1091" s="72"/>
      <c r="W1091" s="73"/>
      <c r="X1091" s="72"/>
      <c r="Y1091" s="73"/>
      <c r="Z1091" s="74" t="b">
        <v>0</v>
      </c>
      <c r="AA1091" s="130">
        <f t="shared" si="433"/>
        <v>0</v>
      </c>
      <c r="AB1091" s="131">
        <f t="shared" si="434"/>
        <v>0</v>
      </c>
      <c r="AC1091" s="132">
        <f t="shared" si="435"/>
        <v>0</v>
      </c>
      <c r="AD1091" s="133">
        <f t="shared" si="436"/>
        <v>0</v>
      </c>
      <c r="AE1091" s="131">
        <f t="shared" si="437"/>
        <v>0</v>
      </c>
      <c r="AF1091" s="133">
        <f t="shared" si="438"/>
        <v>0</v>
      </c>
      <c r="AG1091" s="1"/>
    </row>
    <row r="1092" ht="21.0" customHeight="1">
      <c r="A1092" s="1"/>
      <c r="B1092" s="48" t="s">
        <v>43</v>
      </c>
      <c r="C1092" s="49"/>
      <c r="D1092" s="86" t="b">
        <v>0</v>
      </c>
      <c r="E1092" s="66"/>
      <c r="F1092" s="52" t="s">
        <v>37</v>
      </c>
      <c r="G1092" s="67"/>
      <c r="H1092" s="80"/>
      <c r="I1092" s="69"/>
      <c r="J1092" s="72"/>
      <c r="K1092" s="73"/>
      <c r="L1092" s="72"/>
      <c r="M1092" s="73"/>
      <c r="N1092" s="72"/>
      <c r="O1092" s="73"/>
      <c r="P1092" s="72"/>
      <c r="Q1092" s="73"/>
      <c r="R1092" s="72"/>
      <c r="S1092" s="73"/>
      <c r="T1092" s="72"/>
      <c r="U1092" s="73"/>
      <c r="V1092" s="72"/>
      <c r="W1092" s="73"/>
      <c r="X1092" s="72"/>
      <c r="Y1092" s="73"/>
      <c r="Z1092" s="74" t="b">
        <v>0</v>
      </c>
      <c r="AA1092" s="130">
        <f t="shared" si="433"/>
        <v>0</v>
      </c>
      <c r="AB1092" s="131">
        <f t="shared" si="434"/>
        <v>0</v>
      </c>
      <c r="AC1092" s="132">
        <f t="shared" si="435"/>
        <v>0</v>
      </c>
      <c r="AD1092" s="133">
        <f t="shared" si="436"/>
        <v>0</v>
      </c>
      <c r="AE1092" s="131">
        <f t="shared" si="437"/>
        <v>0</v>
      </c>
      <c r="AF1092" s="133">
        <f t="shared" si="438"/>
        <v>0</v>
      </c>
      <c r="AG1092" s="1"/>
    </row>
    <row r="1093" ht="21.0" customHeight="1">
      <c r="A1093" s="1"/>
      <c r="B1093" s="87" t="str">
        <f t="array" ref="B1093">"📌최근 인바디 결과 : "&amp;text(xlookup(B1085,'현황'!O:O,'현황'!O:O,,-1,-1),"m/d(ddd)")</f>
        <v>#REF!</v>
      </c>
      <c r="C1093" s="88"/>
      <c r="D1093" s="49"/>
      <c r="E1093" s="41"/>
      <c r="F1093" s="52" t="s">
        <v>40</v>
      </c>
      <c r="G1093" s="79"/>
      <c r="H1093" s="80"/>
      <c r="I1093" s="69"/>
      <c r="J1093" s="72"/>
      <c r="K1093" s="73"/>
      <c r="L1093" s="72"/>
      <c r="M1093" s="73"/>
      <c r="N1093" s="72"/>
      <c r="O1093" s="73"/>
      <c r="P1093" s="72"/>
      <c r="Q1093" s="73"/>
      <c r="R1093" s="72"/>
      <c r="S1093" s="73"/>
      <c r="T1093" s="72"/>
      <c r="U1093" s="73"/>
      <c r="V1093" s="72"/>
      <c r="W1093" s="73"/>
      <c r="X1093" s="72"/>
      <c r="Y1093" s="73"/>
      <c r="Z1093" s="74" t="b">
        <v>0</v>
      </c>
      <c r="AA1093" s="130">
        <f t="shared" si="433"/>
        <v>0</v>
      </c>
      <c r="AB1093" s="131">
        <f t="shared" si="434"/>
        <v>0</v>
      </c>
      <c r="AC1093" s="132">
        <f t="shared" si="435"/>
        <v>0</v>
      </c>
      <c r="AD1093" s="133">
        <f t="shared" si="436"/>
        <v>0</v>
      </c>
      <c r="AE1093" s="131">
        <f t="shared" si="437"/>
        <v>0</v>
      </c>
      <c r="AF1093" s="133">
        <f t="shared" si="438"/>
        <v>0</v>
      </c>
      <c r="AG1093" s="1"/>
    </row>
    <row r="1094" ht="21.0" customHeight="1">
      <c r="A1094" s="1"/>
      <c r="B1094" s="89" t="s">
        <v>44</v>
      </c>
      <c r="C1094" s="49"/>
      <c r="D1094" s="90">
        <f t="array" ref="D1094">iferror(vlookup(xlookup(B1085,'현황'!O:O,'현황'!O:O,,-1,-1),'현황'!O:S,2,false),0)</f>
        <v>0</v>
      </c>
      <c r="E1094" s="51" t="s">
        <v>45</v>
      </c>
      <c r="F1094" s="52" t="s">
        <v>34</v>
      </c>
      <c r="G1094" s="83"/>
      <c r="H1094" s="84"/>
      <c r="I1094" s="85"/>
      <c r="J1094" s="72"/>
      <c r="K1094" s="73"/>
      <c r="L1094" s="72"/>
      <c r="M1094" s="73"/>
      <c r="N1094" s="72"/>
      <c r="O1094" s="73"/>
      <c r="P1094" s="72"/>
      <c r="Q1094" s="73"/>
      <c r="R1094" s="72"/>
      <c r="S1094" s="73"/>
      <c r="T1094" s="72"/>
      <c r="U1094" s="73"/>
      <c r="V1094" s="72"/>
      <c r="W1094" s="73"/>
      <c r="X1094" s="72"/>
      <c r="Y1094" s="73"/>
      <c r="Z1094" s="74" t="b">
        <v>0</v>
      </c>
      <c r="AA1094" s="130">
        <f t="shared" si="433"/>
        <v>0</v>
      </c>
      <c r="AB1094" s="131">
        <f t="shared" si="434"/>
        <v>0</v>
      </c>
      <c r="AC1094" s="132">
        <f t="shared" si="435"/>
        <v>0</v>
      </c>
      <c r="AD1094" s="133">
        <f t="shared" si="436"/>
        <v>0</v>
      </c>
      <c r="AE1094" s="131">
        <f t="shared" si="437"/>
        <v>0</v>
      </c>
      <c r="AF1094" s="133">
        <f t="shared" si="438"/>
        <v>0</v>
      </c>
      <c r="AG1094" s="1"/>
    </row>
    <row r="1095" ht="21.0" customHeight="1">
      <c r="A1095" s="1"/>
      <c r="B1095" s="48" t="s">
        <v>46</v>
      </c>
      <c r="C1095" s="49"/>
      <c r="D1095" s="91">
        <f t="array" ref="D1095">iferror(vlookup(xlookup(B1085,'현황'!O:O,'현황'!O:O,,-1,-1),'현황'!O:S,3,false),0)</f>
        <v>0</v>
      </c>
      <c r="E1095" s="66"/>
      <c r="F1095" s="52" t="s">
        <v>37</v>
      </c>
      <c r="G1095" s="67"/>
      <c r="H1095" s="80"/>
      <c r="I1095" s="69"/>
      <c r="J1095" s="72"/>
      <c r="K1095" s="73"/>
      <c r="L1095" s="72"/>
      <c r="M1095" s="73"/>
      <c r="N1095" s="72"/>
      <c r="O1095" s="73"/>
      <c r="P1095" s="72"/>
      <c r="Q1095" s="73"/>
      <c r="R1095" s="72"/>
      <c r="S1095" s="73"/>
      <c r="T1095" s="72"/>
      <c r="U1095" s="73"/>
      <c r="V1095" s="72"/>
      <c r="W1095" s="73"/>
      <c r="X1095" s="72"/>
      <c r="Y1095" s="73"/>
      <c r="Z1095" s="74" t="b">
        <v>0</v>
      </c>
      <c r="AA1095" s="130">
        <f t="shared" si="433"/>
        <v>0</v>
      </c>
      <c r="AB1095" s="131">
        <f t="shared" si="434"/>
        <v>0</v>
      </c>
      <c r="AC1095" s="132">
        <f t="shared" si="435"/>
        <v>0</v>
      </c>
      <c r="AD1095" s="133">
        <f t="shared" si="436"/>
        <v>0</v>
      </c>
      <c r="AE1095" s="131">
        <f t="shared" si="437"/>
        <v>0</v>
      </c>
      <c r="AF1095" s="133">
        <f t="shared" si="438"/>
        <v>0</v>
      </c>
      <c r="AG1095" s="1"/>
    </row>
    <row r="1096" ht="21.0" customHeight="1">
      <c r="A1096" s="1"/>
      <c r="B1096" s="48" t="s">
        <v>47</v>
      </c>
      <c r="C1096" s="49"/>
      <c r="D1096" s="91">
        <f t="array" ref="D1096">iferror(vlookup(xlookup(B1085,'현황'!O:O,'현황'!O:O,,-1,-1),'현황'!O:S,4,false),0)</f>
        <v>0</v>
      </c>
      <c r="E1096" s="41"/>
      <c r="F1096" s="92" t="s">
        <v>40</v>
      </c>
      <c r="G1096" s="79"/>
      <c r="H1096" s="93"/>
      <c r="I1096" s="94"/>
      <c r="J1096" s="95"/>
      <c r="K1096" s="96"/>
      <c r="L1096" s="95"/>
      <c r="M1096" s="96"/>
      <c r="N1096" s="95"/>
      <c r="O1096" s="96"/>
      <c r="P1096" s="95"/>
      <c r="Q1096" s="96"/>
      <c r="R1096" s="95"/>
      <c r="S1096" s="96"/>
      <c r="T1096" s="95"/>
      <c r="U1096" s="96"/>
      <c r="V1096" s="95"/>
      <c r="W1096" s="96"/>
      <c r="X1096" s="95"/>
      <c r="Y1096" s="96"/>
      <c r="Z1096" s="97" t="b">
        <v>0</v>
      </c>
      <c r="AA1096" s="135">
        <f t="shared" si="433"/>
        <v>0</v>
      </c>
      <c r="AB1096" s="136">
        <f t="shared" si="434"/>
        <v>0</v>
      </c>
      <c r="AC1096" s="137">
        <f t="shared" si="435"/>
        <v>0</v>
      </c>
      <c r="AD1096" s="138">
        <f t="shared" si="436"/>
        <v>0</v>
      </c>
      <c r="AE1096" s="136">
        <f t="shared" si="437"/>
        <v>0</v>
      </c>
      <c r="AF1096" s="138">
        <f t="shared" si="438"/>
        <v>0</v>
      </c>
      <c r="AG1096" s="1"/>
    </row>
    <row r="1097" ht="21.0" customHeight="1">
      <c r="A1097" s="1"/>
      <c r="B1097" s="102" t="s">
        <v>48</v>
      </c>
      <c r="C1097" s="103"/>
      <c r="D1097" s="104">
        <f>iferror(D1096/D1094,0)</f>
        <v>0</v>
      </c>
      <c r="E1097" s="102" t="s">
        <v>49</v>
      </c>
      <c r="F1097" s="103"/>
      <c r="G1097" s="105"/>
      <c r="H1097" s="106" t="s">
        <v>50</v>
      </c>
      <c r="I1097" s="107"/>
      <c r="J1097" s="11"/>
      <c r="K1097" s="11"/>
      <c r="L1097" s="11"/>
      <c r="M1097" s="11"/>
      <c r="N1097" s="11"/>
      <c r="O1097" s="11"/>
      <c r="P1097" s="108" t="s">
        <v>51</v>
      </c>
      <c r="Q1097" s="12"/>
      <c r="R1097" s="109"/>
      <c r="S1097" s="11"/>
      <c r="T1097" s="11"/>
      <c r="U1097" s="11"/>
      <c r="V1097" s="11"/>
      <c r="W1097" s="11"/>
      <c r="X1097" s="11"/>
      <c r="Y1097" s="11"/>
      <c r="Z1097" s="12"/>
      <c r="AA1097" s="139">
        <f>SUM(AA1088:AA1096)</f>
        <v>0</v>
      </c>
      <c r="AB1097" s="140" t="s">
        <v>243</v>
      </c>
      <c r="AG1097" s="1"/>
    </row>
    <row r="1098" ht="21.0" customHeight="1">
      <c r="A1098" s="1"/>
      <c r="B1098" s="1"/>
      <c r="C1098" s="1"/>
      <c r="D1098" s="1"/>
      <c r="E1098" s="1"/>
      <c r="F1098" s="1"/>
      <c r="G1098" s="1"/>
      <c r="H1098" s="1"/>
      <c r="I1098" s="1"/>
      <c r="AA1098" s="1"/>
      <c r="AB1098" s="1"/>
      <c r="AC1098" s="3"/>
      <c r="AD1098" s="1"/>
      <c r="AE1098" s="1"/>
      <c r="AF1098" s="1"/>
      <c r="AG1098" s="1"/>
    </row>
    <row r="1099" ht="21.0" customHeight="1">
      <c r="A1099" s="1"/>
      <c r="B1099" s="4" t="s">
        <v>1</v>
      </c>
      <c r="C1099" s="5"/>
      <c r="D1099" s="6" t="s">
        <v>2</v>
      </c>
      <c r="E1099" s="7"/>
      <c r="F1099" s="7"/>
      <c r="G1099" s="5"/>
      <c r="H1099" s="8" t="s">
        <v>3</v>
      </c>
      <c r="I1099" s="8" t="s">
        <v>4</v>
      </c>
      <c r="J1099" s="9" t="s">
        <v>5</v>
      </c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5"/>
      <c r="AA1099" s="117" t="s">
        <v>6</v>
      </c>
      <c r="AB1099" s="11"/>
      <c r="AC1099" s="11"/>
      <c r="AD1099" s="11"/>
      <c r="AE1099" s="11"/>
      <c r="AF1099" s="12"/>
      <c r="AG1099" s="1"/>
    </row>
    <row r="1100" ht="21.0" customHeight="1">
      <c r="A1100" s="1"/>
      <c r="B1100" s="149" t="s">
        <v>138</v>
      </c>
      <c r="C1100" s="14" t="str">
        <f>if(B1100="0/0","",choose(weekday(B1100),"(일)","(월)","(화)","(수)","(목)","(금)","(토)"))</f>
        <v/>
      </c>
      <c r="D1100" s="15" t="s">
        <v>7</v>
      </c>
      <c r="E1100" s="16" t="s">
        <v>8</v>
      </c>
      <c r="F1100" s="17"/>
      <c r="G1100" s="18" t="s">
        <v>9</v>
      </c>
      <c r="H1100" s="150" t="s">
        <v>139</v>
      </c>
      <c r="I1100" s="151"/>
      <c r="J1100" s="21" t="s">
        <v>12</v>
      </c>
      <c r="K1100" s="22"/>
      <c r="L1100" s="21" t="s">
        <v>13</v>
      </c>
      <c r="M1100" s="22"/>
      <c r="N1100" s="21" t="s">
        <v>14</v>
      </c>
      <c r="O1100" s="22"/>
      <c r="P1100" s="21" t="s">
        <v>15</v>
      </c>
      <c r="Q1100" s="22"/>
      <c r="R1100" s="23" t="s">
        <v>16</v>
      </c>
      <c r="S1100" s="22"/>
      <c r="T1100" s="23" t="s">
        <v>17</v>
      </c>
      <c r="U1100" s="22"/>
      <c r="V1100" s="23" t="s">
        <v>18</v>
      </c>
      <c r="W1100" s="22"/>
      <c r="X1100" s="23" t="s">
        <v>19</v>
      </c>
      <c r="Y1100" s="22"/>
      <c r="Z1100" s="24" t="s">
        <v>244</v>
      </c>
      <c r="AA1100" s="118" t="s">
        <v>21</v>
      </c>
      <c r="AB1100" s="119" t="s">
        <v>22</v>
      </c>
      <c r="AC1100" s="7"/>
      <c r="AD1100" s="22"/>
      <c r="AE1100" s="120" t="s">
        <v>23</v>
      </c>
      <c r="AF1100" s="22"/>
      <c r="AG1100" s="1"/>
    </row>
    <row r="1101" ht="21.0" customHeight="1">
      <c r="A1101" s="1"/>
      <c r="B1101" s="27">
        <f>iferror(B1100-'현황'!$C$4+1,0)</f>
        <v>0</v>
      </c>
      <c r="C1101" s="28"/>
      <c r="D1101" s="29">
        <v>0.0</v>
      </c>
      <c r="E1101" s="30">
        <v>0.0</v>
      </c>
      <c r="F1101" s="31"/>
      <c r="G1101" s="32">
        <v>0.0</v>
      </c>
      <c r="H1101" s="33">
        <v>0.0</v>
      </c>
      <c r="I1101" s="34"/>
      <c r="J1101" s="35"/>
      <c r="K1101" s="36"/>
      <c r="L1101" s="35"/>
      <c r="M1101" s="36"/>
      <c r="N1101" s="35"/>
      <c r="O1101" s="36"/>
      <c r="P1101" s="35"/>
      <c r="Q1101" s="36"/>
      <c r="R1101" s="35"/>
      <c r="S1101" s="36"/>
      <c r="T1101" s="35"/>
      <c r="U1101" s="36"/>
      <c r="V1101" s="35"/>
      <c r="W1101" s="36"/>
      <c r="X1101" s="35"/>
      <c r="Y1101" s="36"/>
      <c r="Z1101" s="37"/>
      <c r="AA1101" s="37"/>
      <c r="AB1101" s="35"/>
      <c r="AC1101" s="38"/>
      <c r="AD1101" s="36"/>
      <c r="AE1101" s="35"/>
      <c r="AF1101" s="36"/>
      <c r="AG1101" s="1"/>
    </row>
    <row r="1102" ht="21.0" customHeight="1">
      <c r="A1102" s="1"/>
      <c r="B1102" s="39" t="s">
        <v>24</v>
      </c>
      <c r="C1102" s="40"/>
      <c r="D1102" s="41"/>
      <c r="E1102" s="42" t="s">
        <v>25</v>
      </c>
      <c r="F1102" s="40"/>
      <c r="G1102" s="41"/>
      <c r="H1102" s="43" t="s">
        <v>26</v>
      </c>
      <c r="J1102" s="44" t="s">
        <v>27</v>
      </c>
      <c r="K1102" s="45" t="s">
        <v>28</v>
      </c>
      <c r="L1102" s="44" t="s">
        <v>27</v>
      </c>
      <c r="M1102" s="45" t="s">
        <v>28</v>
      </c>
      <c r="N1102" s="44" t="s">
        <v>27</v>
      </c>
      <c r="O1102" s="45" t="s">
        <v>28</v>
      </c>
      <c r="P1102" s="44" t="s">
        <v>27</v>
      </c>
      <c r="Q1102" s="45" t="s">
        <v>28</v>
      </c>
      <c r="R1102" s="44" t="s">
        <v>27</v>
      </c>
      <c r="S1102" s="45" t="s">
        <v>28</v>
      </c>
      <c r="T1102" s="44" t="s">
        <v>27</v>
      </c>
      <c r="U1102" s="45" t="s">
        <v>28</v>
      </c>
      <c r="V1102" s="44" t="s">
        <v>27</v>
      </c>
      <c r="W1102" s="45" t="s">
        <v>28</v>
      </c>
      <c r="X1102" s="44" t="s">
        <v>27</v>
      </c>
      <c r="Y1102" s="45" t="s">
        <v>28</v>
      </c>
      <c r="Z1102" s="46"/>
      <c r="AA1102" s="46"/>
      <c r="AB1102" s="121" t="s">
        <v>29</v>
      </c>
      <c r="AC1102" s="122" t="s">
        <v>30</v>
      </c>
      <c r="AD1102" s="123" t="s">
        <v>31</v>
      </c>
      <c r="AE1102" s="121" t="s">
        <v>27</v>
      </c>
      <c r="AF1102" s="123" t="s">
        <v>28</v>
      </c>
      <c r="AG1102" s="1"/>
    </row>
    <row r="1103" ht="21.0" customHeight="1">
      <c r="A1103" s="1"/>
      <c r="B1103" s="48" t="s">
        <v>32</v>
      </c>
      <c r="C1103" s="49"/>
      <c r="D1103" s="50"/>
      <c r="E1103" s="51" t="s">
        <v>33</v>
      </c>
      <c r="F1103" s="52" t="s">
        <v>34</v>
      </c>
      <c r="G1103" s="53"/>
      <c r="H1103" s="148"/>
      <c r="I1103" s="55"/>
      <c r="J1103" s="58"/>
      <c r="K1103" s="59"/>
      <c r="L1103" s="58"/>
      <c r="M1103" s="59"/>
      <c r="N1103" s="58"/>
      <c r="O1103" s="59"/>
      <c r="P1103" s="58"/>
      <c r="Q1103" s="59"/>
      <c r="R1103" s="58"/>
      <c r="S1103" s="59"/>
      <c r="T1103" s="58"/>
      <c r="U1103" s="59"/>
      <c r="V1103" s="58"/>
      <c r="W1103" s="59"/>
      <c r="X1103" s="58"/>
      <c r="Y1103" s="59"/>
      <c r="Z1103" s="60" t="b">
        <v>0</v>
      </c>
      <c r="AA1103" s="125">
        <f t="shared" ref="AA1103:AA1111" si="439">(J1103*K1103+L1103*M1103+N1103*O1103+P1103*Q1103+R1103*S1103+T1103*U1103+V1103*W1103+X1103*Y1103)*if(Z1103=true,0.453592,1)</f>
        <v>0</v>
      </c>
      <c r="AB1103" s="126">
        <f t="shared" ref="AB1103:AB1111" si="440">SUM(AE1103*AF1103*0.025,AE1103)</f>
        <v>0</v>
      </c>
      <c r="AC1103" s="127">
        <f t="shared" ref="AC1103:AC1111" si="441">AB1103*87%</f>
        <v>0</v>
      </c>
      <c r="AD1103" s="128">
        <f t="shared" ref="AD1103:AD1111" si="442">AB1103*67%</f>
        <v>0</v>
      </c>
      <c r="AE1103" s="126">
        <f t="shared" ref="AE1103:AE1111" si="443">MAX(J1103,L1103,N1103,P1103,R1103,T1103,V1103,X1103)*if(Z1103=true,0.453592,1)</f>
        <v>0</v>
      </c>
      <c r="AF1103" s="128">
        <f t="shared" ref="AF1103:AF1111" si="444">MAX(IF(J1103*if(Z1103=true,0.453592,1)=$AE1103,K1103,0),IF(L1103*if(Z1103=true,0.453592,1)=$AE1103,M1103,0),IF(N1103*if(Z1103=true,0.453592,1)=$AE1103,O1103,0),IF(P1103*if(Z1103=true,0.453592,1)=$AE1103,Q1103,0),IF(R1103*if(Z1103=true,0.453592,1)=$AE1103,S1103,0),IF(T1103*if(Z1103=true,0.453592,1)=$AE1103,U1103,0),IF(V1103*if(Z1103=true,0.453592,1)=$AE1103,W1103,0),IF(X1103*if(Z1103=true,0.453592,1)=$AE1103,Y1103,0))</f>
        <v>0</v>
      </c>
      <c r="AG1103" s="1"/>
    </row>
    <row r="1104" ht="21.0" customHeight="1">
      <c r="A1104" s="1"/>
      <c r="B1104" s="48" t="s">
        <v>36</v>
      </c>
      <c r="C1104" s="49"/>
      <c r="D1104" s="65"/>
      <c r="E1104" s="66"/>
      <c r="F1104" s="52" t="s">
        <v>37</v>
      </c>
      <c r="G1104" s="67"/>
      <c r="H1104" s="129"/>
      <c r="I1104" s="69"/>
      <c r="J1104" s="72"/>
      <c r="K1104" s="73"/>
      <c r="L1104" s="72"/>
      <c r="M1104" s="73"/>
      <c r="N1104" s="72"/>
      <c r="O1104" s="73"/>
      <c r="P1104" s="72"/>
      <c r="Q1104" s="73"/>
      <c r="R1104" s="72"/>
      <c r="S1104" s="73"/>
      <c r="T1104" s="72"/>
      <c r="U1104" s="73"/>
      <c r="V1104" s="72"/>
      <c r="W1104" s="73"/>
      <c r="X1104" s="72"/>
      <c r="Y1104" s="73"/>
      <c r="Z1104" s="74" t="b">
        <v>0</v>
      </c>
      <c r="AA1104" s="130">
        <f t="shared" si="439"/>
        <v>0</v>
      </c>
      <c r="AB1104" s="131">
        <f t="shared" si="440"/>
        <v>0</v>
      </c>
      <c r="AC1104" s="132">
        <f t="shared" si="441"/>
        <v>0</v>
      </c>
      <c r="AD1104" s="133">
        <f t="shared" si="442"/>
        <v>0</v>
      </c>
      <c r="AE1104" s="131">
        <f t="shared" si="443"/>
        <v>0</v>
      </c>
      <c r="AF1104" s="133">
        <f t="shared" si="444"/>
        <v>0</v>
      </c>
      <c r="AG1104" s="1"/>
    </row>
    <row r="1105" ht="21.0" customHeight="1">
      <c r="A1105" s="1"/>
      <c r="B1105" s="48" t="s">
        <v>39</v>
      </c>
      <c r="C1105" s="49"/>
      <c r="D1105" s="65"/>
      <c r="E1105" s="41"/>
      <c r="F1105" s="52" t="s">
        <v>40</v>
      </c>
      <c r="G1105" s="79"/>
      <c r="H1105" s="80"/>
      <c r="I1105" s="69"/>
      <c r="J1105" s="72"/>
      <c r="K1105" s="73"/>
      <c r="L1105" s="72"/>
      <c r="M1105" s="73"/>
      <c r="N1105" s="72"/>
      <c r="O1105" s="73"/>
      <c r="P1105" s="72"/>
      <c r="Q1105" s="73"/>
      <c r="R1105" s="72"/>
      <c r="S1105" s="73"/>
      <c r="T1105" s="72"/>
      <c r="U1105" s="73"/>
      <c r="V1105" s="72"/>
      <c r="W1105" s="73"/>
      <c r="X1105" s="72"/>
      <c r="Y1105" s="73"/>
      <c r="Z1105" s="74" t="b">
        <v>0</v>
      </c>
      <c r="AA1105" s="130">
        <f t="shared" si="439"/>
        <v>0</v>
      </c>
      <c r="AB1105" s="131">
        <f t="shared" si="440"/>
        <v>0</v>
      </c>
      <c r="AC1105" s="132">
        <f t="shared" si="441"/>
        <v>0</v>
      </c>
      <c r="AD1105" s="133">
        <f t="shared" si="442"/>
        <v>0</v>
      </c>
      <c r="AE1105" s="131">
        <f t="shared" si="443"/>
        <v>0</v>
      </c>
      <c r="AF1105" s="133">
        <f t="shared" si="444"/>
        <v>0</v>
      </c>
      <c r="AG1105" s="1"/>
    </row>
    <row r="1106" ht="21.0" customHeight="1">
      <c r="A1106" s="1"/>
      <c r="B1106" s="48" t="s">
        <v>41</v>
      </c>
      <c r="C1106" s="81"/>
      <c r="D1106" s="82" t="b">
        <v>0</v>
      </c>
      <c r="E1106" s="51" t="s">
        <v>42</v>
      </c>
      <c r="F1106" s="52" t="s">
        <v>34</v>
      </c>
      <c r="G1106" s="83"/>
      <c r="H1106" s="84"/>
      <c r="I1106" s="85"/>
      <c r="J1106" s="72"/>
      <c r="K1106" s="73"/>
      <c r="L1106" s="72"/>
      <c r="M1106" s="73"/>
      <c r="N1106" s="72"/>
      <c r="O1106" s="73"/>
      <c r="P1106" s="72"/>
      <c r="Q1106" s="73"/>
      <c r="R1106" s="72"/>
      <c r="S1106" s="73"/>
      <c r="T1106" s="72"/>
      <c r="U1106" s="73"/>
      <c r="V1106" s="72"/>
      <c r="W1106" s="73"/>
      <c r="X1106" s="72"/>
      <c r="Y1106" s="73"/>
      <c r="Z1106" s="74" t="b">
        <v>0</v>
      </c>
      <c r="AA1106" s="130">
        <f t="shared" si="439"/>
        <v>0</v>
      </c>
      <c r="AB1106" s="131">
        <f t="shared" si="440"/>
        <v>0</v>
      </c>
      <c r="AC1106" s="132">
        <f t="shared" si="441"/>
        <v>0</v>
      </c>
      <c r="AD1106" s="133">
        <f t="shared" si="442"/>
        <v>0</v>
      </c>
      <c r="AE1106" s="131">
        <f t="shared" si="443"/>
        <v>0</v>
      </c>
      <c r="AF1106" s="133">
        <f t="shared" si="444"/>
        <v>0</v>
      </c>
      <c r="AG1106" s="1"/>
    </row>
    <row r="1107" ht="21.0" customHeight="1">
      <c r="A1107" s="1"/>
      <c r="B1107" s="48" t="s">
        <v>43</v>
      </c>
      <c r="C1107" s="49"/>
      <c r="D1107" s="86" t="b">
        <v>0</v>
      </c>
      <c r="E1107" s="66"/>
      <c r="F1107" s="52" t="s">
        <v>37</v>
      </c>
      <c r="G1107" s="67"/>
      <c r="H1107" s="80"/>
      <c r="I1107" s="69"/>
      <c r="J1107" s="72"/>
      <c r="K1107" s="73"/>
      <c r="L1107" s="72"/>
      <c r="M1107" s="73"/>
      <c r="N1107" s="72"/>
      <c r="O1107" s="73"/>
      <c r="P1107" s="72"/>
      <c r="Q1107" s="73"/>
      <c r="R1107" s="72"/>
      <c r="S1107" s="73"/>
      <c r="T1107" s="72"/>
      <c r="U1107" s="73"/>
      <c r="V1107" s="72"/>
      <c r="W1107" s="73"/>
      <c r="X1107" s="72"/>
      <c r="Y1107" s="73"/>
      <c r="Z1107" s="74" t="b">
        <v>0</v>
      </c>
      <c r="AA1107" s="130">
        <f t="shared" si="439"/>
        <v>0</v>
      </c>
      <c r="AB1107" s="131">
        <f t="shared" si="440"/>
        <v>0</v>
      </c>
      <c r="AC1107" s="132">
        <f t="shared" si="441"/>
        <v>0</v>
      </c>
      <c r="AD1107" s="133">
        <f t="shared" si="442"/>
        <v>0</v>
      </c>
      <c r="AE1107" s="131">
        <f t="shared" si="443"/>
        <v>0</v>
      </c>
      <c r="AF1107" s="133">
        <f t="shared" si="444"/>
        <v>0</v>
      </c>
      <c r="AG1107" s="1"/>
    </row>
    <row r="1108" ht="21.0" customHeight="1">
      <c r="A1108" s="1"/>
      <c r="B1108" s="87" t="str">
        <f t="array" ref="B1108">"📌최근 인바디 결과 : "&amp;text(xlookup(B1100,'현황'!O:O,'현황'!O:O,,-1,-1),"m/d(ddd)")</f>
        <v>#REF!</v>
      </c>
      <c r="C1108" s="88"/>
      <c r="D1108" s="49"/>
      <c r="E1108" s="41"/>
      <c r="F1108" s="52" t="s">
        <v>40</v>
      </c>
      <c r="G1108" s="79"/>
      <c r="H1108" s="80"/>
      <c r="I1108" s="69"/>
      <c r="J1108" s="72"/>
      <c r="K1108" s="73"/>
      <c r="L1108" s="72"/>
      <c r="M1108" s="73"/>
      <c r="N1108" s="72"/>
      <c r="O1108" s="73"/>
      <c r="P1108" s="72"/>
      <c r="Q1108" s="73"/>
      <c r="R1108" s="72"/>
      <c r="S1108" s="73"/>
      <c r="T1108" s="72"/>
      <c r="U1108" s="73"/>
      <c r="V1108" s="72"/>
      <c r="W1108" s="73"/>
      <c r="X1108" s="72"/>
      <c r="Y1108" s="73"/>
      <c r="Z1108" s="74" t="b">
        <v>0</v>
      </c>
      <c r="AA1108" s="130">
        <f t="shared" si="439"/>
        <v>0</v>
      </c>
      <c r="AB1108" s="131">
        <f t="shared" si="440"/>
        <v>0</v>
      </c>
      <c r="AC1108" s="132">
        <f t="shared" si="441"/>
        <v>0</v>
      </c>
      <c r="AD1108" s="133">
        <f t="shared" si="442"/>
        <v>0</v>
      </c>
      <c r="AE1108" s="131">
        <f t="shared" si="443"/>
        <v>0</v>
      </c>
      <c r="AF1108" s="133">
        <f t="shared" si="444"/>
        <v>0</v>
      </c>
      <c r="AG1108" s="1"/>
    </row>
    <row r="1109" ht="21.0" customHeight="1">
      <c r="A1109" s="1"/>
      <c r="B1109" s="89" t="s">
        <v>44</v>
      </c>
      <c r="C1109" s="49"/>
      <c r="D1109" s="90">
        <f t="array" ref="D1109">iferror(vlookup(xlookup(B1100,'현황'!O:O,'현황'!O:O,,-1,-1),'현황'!O:S,2,false),0)</f>
        <v>0</v>
      </c>
      <c r="E1109" s="51" t="s">
        <v>45</v>
      </c>
      <c r="F1109" s="52" t="s">
        <v>34</v>
      </c>
      <c r="G1109" s="83"/>
      <c r="H1109" s="84"/>
      <c r="I1109" s="85"/>
      <c r="J1109" s="72"/>
      <c r="K1109" s="73"/>
      <c r="L1109" s="72"/>
      <c r="M1109" s="73"/>
      <c r="N1109" s="72"/>
      <c r="O1109" s="73"/>
      <c r="P1109" s="72"/>
      <c r="Q1109" s="73"/>
      <c r="R1109" s="72"/>
      <c r="S1109" s="73"/>
      <c r="T1109" s="72"/>
      <c r="U1109" s="73"/>
      <c r="V1109" s="72"/>
      <c r="W1109" s="73"/>
      <c r="X1109" s="72"/>
      <c r="Y1109" s="73"/>
      <c r="Z1109" s="74" t="b">
        <v>0</v>
      </c>
      <c r="AA1109" s="130">
        <f t="shared" si="439"/>
        <v>0</v>
      </c>
      <c r="AB1109" s="131">
        <f t="shared" si="440"/>
        <v>0</v>
      </c>
      <c r="AC1109" s="132">
        <f t="shared" si="441"/>
        <v>0</v>
      </c>
      <c r="AD1109" s="133">
        <f t="shared" si="442"/>
        <v>0</v>
      </c>
      <c r="AE1109" s="131">
        <f t="shared" si="443"/>
        <v>0</v>
      </c>
      <c r="AF1109" s="133">
        <f t="shared" si="444"/>
        <v>0</v>
      </c>
      <c r="AG1109" s="1"/>
    </row>
    <row r="1110" ht="21.0" customHeight="1">
      <c r="A1110" s="1"/>
      <c r="B1110" s="48" t="s">
        <v>46</v>
      </c>
      <c r="C1110" s="49"/>
      <c r="D1110" s="91">
        <f t="array" ref="D1110">iferror(vlookup(xlookup(B1100,'현황'!O:O,'현황'!O:O,,-1,-1),'현황'!O:S,3,false),0)</f>
        <v>0</v>
      </c>
      <c r="E1110" s="66"/>
      <c r="F1110" s="52" t="s">
        <v>37</v>
      </c>
      <c r="G1110" s="67"/>
      <c r="H1110" s="80"/>
      <c r="I1110" s="69"/>
      <c r="J1110" s="72"/>
      <c r="K1110" s="73"/>
      <c r="L1110" s="72"/>
      <c r="M1110" s="73"/>
      <c r="N1110" s="72"/>
      <c r="O1110" s="73"/>
      <c r="P1110" s="72"/>
      <c r="Q1110" s="73"/>
      <c r="R1110" s="72"/>
      <c r="S1110" s="73"/>
      <c r="T1110" s="72"/>
      <c r="U1110" s="73"/>
      <c r="V1110" s="72"/>
      <c r="W1110" s="73"/>
      <c r="X1110" s="72"/>
      <c r="Y1110" s="73"/>
      <c r="Z1110" s="74" t="b">
        <v>0</v>
      </c>
      <c r="AA1110" s="130">
        <f t="shared" si="439"/>
        <v>0</v>
      </c>
      <c r="AB1110" s="131">
        <f t="shared" si="440"/>
        <v>0</v>
      </c>
      <c r="AC1110" s="132">
        <f t="shared" si="441"/>
        <v>0</v>
      </c>
      <c r="AD1110" s="133">
        <f t="shared" si="442"/>
        <v>0</v>
      </c>
      <c r="AE1110" s="131">
        <f t="shared" si="443"/>
        <v>0</v>
      </c>
      <c r="AF1110" s="133">
        <f t="shared" si="444"/>
        <v>0</v>
      </c>
      <c r="AG1110" s="1"/>
    </row>
    <row r="1111" ht="21.0" customHeight="1">
      <c r="A1111" s="1"/>
      <c r="B1111" s="48" t="s">
        <v>47</v>
      </c>
      <c r="C1111" s="49"/>
      <c r="D1111" s="91">
        <f t="array" ref="D1111">iferror(vlookup(xlookup(B1100,'현황'!O:O,'현황'!O:O,,-1,-1),'현황'!O:S,4,false),0)</f>
        <v>0</v>
      </c>
      <c r="E1111" s="41"/>
      <c r="F1111" s="92" t="s">
        <v>40</v>
      </c>
      <c r="G1111" s="79"/>
      <c r="H1111" s="93"/>
      <c r="I1111" s="94"/>
      <c r="J1111" s="95"/>
      <c r="K1111" s="96"/>
      <c r="L1111" s="95"/>
      <c r="M1111" s="96"/>
      <c r="N1111" s="95"/>
      <c r="O1111" s="96"/>
      <c r="P1111" s="95"/>
      <c r="Q1111" s="96"/>
      <c r="R1111" s="95"/>
      <c r="S1111" s="96"/>
      <c r="T1111" s="95"/>
      <c r="U1111" s="96"/>
      <c r="V1111" s="95"/>
      <c r="W1111" s="96"/>
      <c r="X1111" s="95"/>
      <c r="Y1111" s="96"/>
      <c r="Z1111" s="97" t="b">
        <v>0</v>
      </c>
      <c r="AA1111" s="135">
        <f t="shared" si="439"/>
        <v>0</v>
      </c>
      <c r="AB1111" s="136">
        <f t="shared" si="440"/>
        <v>0</v>
      </c>
      <c r="AC1111" s="137">
        <f t="shared" si="441"/>
        <v>0</v>
      </c>
      <c r="AD1111" s="138">
        <f t="shared" si="442"/>
        <v>0</v>
      </c>
      <c r="AE1111" s="136">
        <f t="shared" si="443"/>
        <v>0</v>
      </c>
      <c r="AF1111" s="138">
        <f t="shared" si="444"/>
        <v>0</v>
      </c>
      <c r="AG1111" s="1"/>
    </row>
    <row r="1112" ht="21.0" customHeight="1">
      <c r="A1112" s="1"/>
      <c r="B1112" s="102" t="s">
        <v>48</v>
      </c>
      <c r="C1112" s="103"/>
      <c r="D1112" s="104">
        <f>iferror(D1111/D1109,0)</f>
        <v>0</v>
      </c>
      <c r="E1112" s="102" t="s">
        <v>49</v>
      </c>
      <c r="F1112" s="103"/>
      <c r="G1112" s="105"/>
      <c r="H1112" s="106" t="s">
        <v>50</v>
      </c>
      <c r="I1112" s="107"/>
      <c r="J1112" s="11"/>
      <c r="K1112" s="11"/>
      <c r="L1112" s="11"/>
      <c r="M1112" s="11"/>
      <c r="N1112" s="11"/>
      <c r="O1112" s="11"/>
      <c r="P1112" s="108" t="s">
        <v>51</v>
      </c>
      <c r="Q1112" s="12"/>
      <c r="R1112" s="109"/>
      <c r="S1112" s="11"/>
      <c r="T1112" s="11"/>
      <c r="U1112" s="11"/>
      <c r="V1112" s="11"/>
      <c r="W1112" s="11"/>
      <c r="X1112" s="11"/>
      <c r="Y1112" s="11"/>
      <c r="Z1112" s="12"/>
      <c r="AA1112" s="139">
        <f>SUM(AA1103:AA1111)</f>
        <v>0</v>
      </c>
      <c r="AB1112" s="140" t="s">
        <v>245</v>
      </c>
      <c r="AG1112" s="1"/>
    </row>
    <row r="1113" ht="21.0" customHeight="1">
      <c r="A1113" s="1"/>
      <c r="B1113" s="1"/>
      <c r="C1113" s="1"/>
      <c r="D1113" s="1"/>
      <c r="E1113" s="1"/>
      <c r="F1113" s="1"/>
      <c r="G1113" s="1"/>
      <c r="H1113" s="1"/>
      <c r="I1113" s="1"/>
      <c r="AA1113" s="1"/>
      <c r="AB1113" s="1"/>
      <c r="AC1113" s="3"/>
      <c r="AD1113" s="1"/>
      <c r="AE1113" s="1"/>
      <c r="AF1113" s="1"/>
      <c r="AG1113" s="1"/>
    </row>
    <row r="1114" ht="21.0" customHeight="1">
      <c r="A1114" s="1"/>
      <c r="B1114" s="4" t="s">
        <v>1</v>
      </c>
      <c r="C1114" s="5"/>
      <c r="D1114" s="6" t="s">
        <v>2</v>
      </c>
      <c r="E1114" s="7"/>
      <c r="F1114" s="7"/>
      <c r="G1114" s="5"/>
      <c r="H1114" s="8" t="s">
        <v>3</v>
      </c>
      <c r="I1114" s="8" t="s">
        <v>4</v>
      </c>
      <c r="J1114" s="9" t="s">
        <v>5</v>
      </c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5"/>
      <c r="AA1114" s="117" t="s">
        <v>6</v>
      </c>
      <c r="AB1114" s="11"/>
      <c r="AC1114" s="11"/>
      <c r="AD1114" s="11"/>
      <c r="AE1114" s="11"/>
      <c r="AF1114" s="12"/>
      <c r="AG1114" s="1"/>
    </row>
    <row r="1115" ht="21.0" customHeight="1">
      <c r="A1115" s="1"/>
      <c r="B1115" s="149" t="s">
        <v>138</v>
      </c>
      <c r="C1115" s="14" t="str">
        <f>if(B1115="0/0","",choose(weekday(B1115),"(일)","(월)","(화)","(수)","(목)","(금)","(토)"))</f>
        <v/>
      </c>
      <c r="D1115" s="15" t="s">
        <v>7</v>
      </c>
      <c r="E1115" s="16" t="s">
        <v>8</v>
      </c>
      <c r="F1115" s="17"/>
      <c r="G1115" s="18" t="s">
        <v>9</v>
      </c>
      <c r="H1115" s="150" t="s">
        <v>139</v>
      </c>
      <c r="I1115" s="151"/>
      <c r="J1115" s="21" t="s">
        <v>12</v>
      </c>
      <c r="K1115" s="22"/>
      <c r="L1115" s="21" t="s">
        <v>13</v>
      </c>
      <c r="M1115" s="22"/>
      <c r="N1115" s="21" t="s">
        <v>14</v>
      </c>
      <c r="O1115" s="22"/>
      <c r="P1115" s="21" t="s">
        <v>15</v>
      </c>
      <c r="Q1115" s="22"/>
      <c r="R1115" s="23" t="s">
        <v>16</v>
      </c>
      <c r="S1115" s="22"/>
      <c r="T1115" s="23" t="s">
        <v>17</v>
      </c>
      <c r="U1115" s="22"/>
      <c r="V1115" s="23" t="s">
        <v>18</v>
      </c>
      <c r="W1115" s="22"/>
      <c r="X1115" s="23" t="s">
        <v>19</v>
      </c>
      <c r="Y1115" s="22"/>
      <c r="Z1115" s="24" t="s">
        <v>246</v>
      </c>
      <c r="AA1115" s="118" t="s">
        <v>21</v>
      </c>
      <c r="AB1115" s="119" t="s">
        <v>22</v>
      </c>
      <c r="AC1115" s="7"/>
      <c r="AD1115" s="22"/>
      <c r="AE1115" s="120" t="s">
        <v>23</v>
      </c>
      <c r="AF1115" s="22"/>
      <c r="AG1115" s="1"/>
    </row>
    <row r="1116" ht="21.0" customHeight="1">
      <c r="A1116" s="1"/>
      <c r="B1116" s="27">
        <f>iferror(B1115-'현황'!$C$4+1,0)</f>
        <v>0</v>
      </c>
      <c r="C1116" s="28"/>
      <c r="D1116" s="29">
        <v>0.0</v>
      </c>
      <c r="E1116" s="30">
        <v>0.0</v>
      </c>
      <c r="F1116" s="31"/>
      <c r="G1116" s="32">
        <v>0.0</v>
      </c>
      <c r="H1116" s="33">
        <v>0.0</v>
      </c>
      <c r="I1116" s="34"/>
      <c r="J1116" s="35"/>
      <c r="K1116" s="36"/>
      <c r="L1116" s="35"/>
      <c r="M1116" s="36"/>
      <c r="N1116" s="35"/>
      <c r="O1116" s="36"/>
      <c r="P1116" s="35"/>
      <c r="Q1116" s="36"/>
      <c r="R1116" s="35"/>
      <c r="S1116" s="36"/>
      <c r="T1116" s="35"/>
      <c r="U1116" s="36"/>
      <c r="V1116" s="35"/>
      <c r="W1116" s="36"/>
      <c r="X1116" s="35"/>
      <c r="Y1116" s="36"/>
      <c r="Z1116" s="37"/>
      <c r="AA1116" s="37"/>
      <c r="AB1116" s="35"/>
      <c r="AC1116" s="38"/>
      <c r="AD1116" s="36"/>
      <c r="AE1116" s="35"/>
      <c r="AF1116" s="36"/>
      <c r="AG1116" s="1"/>
    </row>
    <row r="1117" ht="21.0" customHeight="1">
      <c r="A1117" s="1"/>
      <c r="B1117" s="39" t="s">
        <v>24</v>
      </c>
      <c r="C1117" s="40"/>
      <c r="D1117" s="41"/>
      <c r="E1117" s="42" t="s">
        <v>25</v>
      </c>
      <c r="F1117" s="40"/>
      <c r="G1117" s="41"/>
      <c r="H1117" s="43" t="s">
        <v>26</v>
      </c>
      <c r="J1117" s="44" t="s">
        <v>27</v>
      </c>
      <c r="K1117" s="45" t="s">
        <v>28</v>
      </c>
      <c r="L1117" s="44" t="s">
        <v>27</v>
      </c>
      <c r="M1117" s="45" t="s">
        <v>28</v>
      </c>
      <c r="N1117" s="44" t="s">
        <v>27</v>
      </c>
      <c r="O1117" s="45" t="s">
        <v>28</v>
      </c>
      <c r="P1117" s="44" t="s">
        <v>27</v>
      </c>
      <c r="Q1117" s="45" t="s">
        <v>28</v>
      </c>
      <c r="R1117" s="44" t="s">
        <v>27</v>
      </c>
      <c r="S1117" s="45" t="s">
        <v>28</v>
      </c>
      <c r="T1117" s="44" t="s">
        <v>27</v>
      </c>
      <c r="U1117" s="45" t="s">
        <v>28</v>
      </c>
      <c r="V1117" s="44" t="s">
        <v>27</v>
      </c>
      <c r="W1117" s="45" t="s">
        <v>28</v>
      </c>
      <c r="X1117" s="44" t="s">
        <v>27</v>
      </c>
      <c r="Y1117" s="45" t="s">
        <v>28</v>
      </c>
      <c r="Z1117" s="46"/>
      <c r="AA1117" s="46"/>
      <c r="AB1117" s="121" t="s">
        <v>29</v>
      </c>
      <c r="AC1117" s="122" t="s">
        <v>30</v>
      </c>
      <c r="AD1117" s="123" t="s">
        <v>31</v>
      </c>
      <c r="AE1117" s="121" t="s">
        <v>27</v>
      </c>
      <c r="AF1117" s="123" t="s">
        <v>28</v>
      </c>
      <c r="AG1117" s="1"/>
    </row>
    <row r="1118" ht="21.0" customHeight="1">
      <c r="A1118" s="1"/>
      <c r="B1118" s="48" t="s">
        <v>32</v>
      </c>
      <c r="C1118" s="49"/>
      <c r="D1118" s="50"/>
      <c r="E1118" s="51" t="s">
        <v>33</v>
      </c>
      <c r="F1118" s="52" t="s">
        <v>34</v>
      </c>
      <c r="G1118" s="53"/>
      <c r="H1118" s="148"/>
      <c r="I1118" s="55"/>
      <c r="J1118" s="58"/>
      <c r="K1118" s="59"/>
      <c r="L1118" s="58"/>
      <c r="M1118" s="59"/>
      <c r="N1118" s="58"/>
      <c r="O1118" s="59"/>
      <c r="P1118" s="58"/>
      <c r="Q1118" s="59"/>
      <c r="R1118" s="58"/>
      <c r="S1118" s="59"/>
      <c r="T1118" s="58"/>
      <c r="U1118" s="59"/>
      <c r="V1118" s="58"/>
      <c r="W1118" s="59"/>
      <c r="X1118" s="58"/>
      <c r="Y1118" s="59"/>
      <c r="Z1118" s="60" t="b">
        <v>0</v>
      </c>
      <c r="AA1118" s="125">
        <f t="shared" ref="AA1118:AA1126" si="445">(J1118*K1118+L1118*M1118+N1118*O1118+P1118*Q1118+R1118*S1118+T1118*U1118+V1118*W1118+X1118*Y1118)*if(Z1118=true,0.453592,1)</f>
        <v>0</v>
      </c>
      <c r="AB1118" s="126">
        <f t="shared" ref="AB1118:AB1126" si="446">SUM(AE1118*AF1118*0.025,AE1118)</f>
        <v>0</v>
      </c>
      <c r="AC1118" s="127">
        <f t="shared" ref="AC1118:AC1126" si="447">AB1118*87%</f>
        <v>0</v>
      </c>
      <c r="AD1118" s="128">
        <f t="shared" ref="AD1118:AD1126" si="448">AB1118*67%</f>
        <v>0</v>
      </c>
      <c r="AE1118" s="126">
        <f t="shared" ref="AE1118:AE1126" si="449">MAX(J1118,L1118,N1118,P1118,R1118,T1118,V1118,X1118)*if(Z1118=true,0.453592,1)</f>
        <v>0</v>
      </c>
      <c r="AF1118" s="128">
        <f t="shared" ref="AF1118:AF1126" si="450">MAX(IF(J1118*if(Z1118=true,0.453592,1)=$AE1118,K1118,0),IF(L1118*if(Z1118=true,0.453592,1)=$AE1118,M1118,0),IF(N1118*if(Z1118=true,0.453592,1)=$AE1118,O1118,0),IF(P1118*if(Z1118=true,0.453592,1)=$AE1118,Q1118,0),IF(R1118*if(Z1118=true,0.453592,1)=$AE1118,S1118,0),IF(T1118*if(Z1118=true,0.453592,1)=$AE1118,U1118,0),IF(V1118*if(Z1118=true,0.453592,1)=$AE1118,W1118,0),IF(X1118*if(Z1118=true,0.453592,1)=$AE1118,Y1118,0))</f>
        <v>0</v>
      </c>
      <c r="AG1118" s="1"/>
    </row>
    <row r="1119" ht="21.0" customHeight="1">
      <c r="A1119" s="1"/>
      <c r="B1119" s="48" t="s">
        <v>36</v>
      </c>
      <c r="C1119" s="49"/>
      <c r="D1119" s="65"/>
      <c r="E1119" s="66"/>
      <c r="F1119" s="52" t="s">
        <v>37</v>
      </c>
      <c r="G1119" s="67"/>
      <c r="H1119" s="129"/>
      <c r="I1119" s="69"/>
      <c r="J1119" s="72"/>
      <c r="K1119" s="73"/>
      <c r="L1119" s="72"/>
      <c r="M1119" s="73"/>
      <c r="N1119" s="72"/>
      <c r="O1119" s="73"/>
      <c r="P1119" s="72"/>
      <c r="Q1119" s="73"/>
      <c r="R1119" s="72"/>
      <c r="S1119" s="73"/>
      <c r="T1119" s="72"/>
      <c r="U1119" s="73"/>
      <c r="V1119" s="72"/>
      <c r="W1119" s="73"/>
      <c r="X1119" s="72"/>
      <c r="Y1119" s="73"/>
      <c r="Z1119" s="74" t="b">
        <v>0</v>
      </c>
      <c r="AA1119" s="130">
        <f t="shared" si="445"/>
        <v>0</v>
      </c>
      <c r="AB1119" s="131">
        <f t="shared" si="446"/>
        <v>0</v>
      </c>
      <c r="AC1119" s="132">
        <f t="shared" si="447"/>
        <v>0</v>
      </c>
      <c r="AD1119" s="133">
        <f t="shared" si="448"/>
        <v>0</v>
      </c>
      <c r="AE1119" s="131">
        <f t="shared" si="449"/>
        <v>0</v>
      </c>
      <c r="AF1119" s="133">
        <f t="shared" si="450"/>
        <v>0</v>
      </c>
      <c r="AG1119" s="1"/>
    </row>
    <row r="1120" ht="21.0" customHeight="1">
      <c r="A1120" s="1"/>
      <c r="B1120" s="48" t="s">
        <v>39</v>
      </c>
      <c r="C1120" s="49"/>
      <c r="D1120" s="65"/>
      <c r="E1120" s="41"/>
      <c r="F1120" s="52" t="s">
        <v>40</v>
      </c>
      <c r="G1120" s="79"/>
      <c r="H1120" s="80"/>
      <c r="I1120" s="69"/>
      <c r="J1120" s="72"/>
      <c r="K1120" s="73"/>
      <c r="L1120" s="72"/>
      <c r="M1120" s="73"/>
      <c r="N1120" s="72"/>
      <c r="O1120" s="73"/>
      <c r="P1120" s="72"/>
      <c r="Q1120" s="73"/>
      <c r="R1120" s="72"/>
      <c r="S1120" s="73"/>
      <c r="T1120" s="72"/>
      <c r="U1120" s="73"/>
      <c r="V1120" s="72"/>
      <c r="W1120" s="73"/>
      <c r="X1120" s="72"/>
      <c r="Y1120" s="73"/>
      <c r="Z1120" s="74" t="b">
        <v>0</v>
      </c>
      <c r="AA1120" s="130">
        <f t="shared" si="445"/>
        <v>0</v>
      </c>
      <c r="AB1120" s="131">
        <f t="shared" si="446"/>
        <v>0</v>
      </c>
      <c r="AC1120" s="132">
        <f t="shared" si="447"/>
        <v>0</v>
      </c>
      <c r="AD1120" s="133">
        <f t="shared" si="448"/>
        <v>0</v>
      </c>
      <c r="AE1120" s="131">
        <f t="shared" si="449"/>
        <v>0</v>
      </c>
      <c r="AF1120" s="133">
        <f t="shared" si="450"/>
        <v>0</v>
      </c>
      <c r="AG1120" s="1"/>
    </row>
    <row r="1121" ht="21.0" customHeight="1">
      <c r="A1121" s="1"/>
      <c r="B1121" s="48" t="s">
        <v>41</v>
      </c>
      <c r="C1121" s="81"/>
      <c r="D1121" s="82" t="b">
        <v>0</v>
      </c>
      <c r="E1121" s="51" t="s">
        <v>42</v>
      </c>
      <c r="F1121" s="52" t="s">
        <v>34</v>
      </c>
      <c r="G1121" s="83"/>
      <c r="H1121" s="84"/>
      <c r="I1121" s="85"/>
      <c r="J1121" s="72"/>
      <c r="K1121" s="73"/>
      <c r="L1121" s="72"/>
      <c r="M1121" s="73"/>
      <c r="N1121" s="72"/>
      <c r="O1121" s="73"/>
      <c r="P1121" s="72"/>
      <c r="Q1121" s="73"/>
      <c r="R1121" s="72"/>
      <c r="S1121" s="73"/>
      <c r="T1121" s="72"/>
      <c r="U1121" s="73"/>
      <c r="V1121" s="72"/>
      <c r="W1121" s="73"/>
      <c r="X1121" s="72"/>
      <c r="Y1121" s="73"/>
      <c r="Z1121" s="74" t="b">
        <v>0</v>
      </c>
      <c r="AA1121" s="130">
        <f t="shared" si="445"/>
        <v>0</v>
      </c>
      <c r="AB1121" s="131">
        <f t="shared" si="446"/>
        <v>0</v>
      </c>
      <c r="AC1121" s="132">
        <f t="shared" si="447"/>
        <v>0</v>
      </c>
      <c r="AD1121" s="133">
        <f t="shared" si="448"/>
        <v>0</v>
      </c>
      <c r="AE1121" s="131">
        <f t="shared" si="449"/>
        <v>0</v>
      </c>
      <c r="AF1121" s="133">
        <f t="shared" si="450"/>
        <v>0</v>
      </c>
      <c r="AG1121" s="1"/>
    </row>
    <row r="1122" ht="21.0" customHeight="1">
      <c r="A1122" s="1"/>
      <c r="B1122" s="48" t="s">
        <v>43</v>
      </c>
      <c r="C1122" s="49"/>
      <c r="D1122" s="86" t="b">
        <v>0</v>
      </c>
      <c r="E1122" s="66"/>
      <c r="F1122" s="52" t="s">
        <v>37</v>
      </c>
      <c r="G1122" s="67"/>
      <c r="H1122" s="80"/>
      <c r="I1122" s="69"/>
      <c r="J1122" s="72"/>
      <c r="K1122" s="73"/>
      <c r="L1122" s="72"/>
      <c r="M1122" s="73"/>
      <c r="N1122" s="72"/>
      <c r="O1122" s="73"/>
      <c r="P1122" s="72"/>
      <c r="Q1122" s="73"/>
      <c r="R1122" s="72"/>
      <c r="S1122" s="73"/>
      <c r="T1122" s="72"/>
      <c r="U1122" s="73"/>
      <c r="V1122" s="72"/>
      <c r="W1122" s="73"/>
      <c r="X1122" s="72"/>
      <c r="Y1122" s="73"/>
      <c r="Z1122" s="74" t="b">
        <v>0</v>
      </c>
      <c r="AA1122" s="130">
        <f t="shared" si="445"/>
        <v>0</v>
      </c>
      <c r="AB1122" s="131">
        <f t="shared" si="446"/>
        <v>0</v>
      </c>
      <c r="AC1122" s="132">
        <f t="shared" si="447"/>
        <v>0</v>
      </c>
      <c r="AD1122" s="133">
        <f t="shared" si="448"/>
        <v>0</v>
      </c>
      <c r="AE1122" s="131">
        <f t="shared" si="449"/>
        <v>0</v>
      </c>
      <c r="AF1122" s="133">
        <f t="shared" si="450"/>
        <v>0</v>
      </c>
      <c r="AG1122" s="1"/>
    </row>
    <row r="1123" ht="21.0" customHeight="1">
      <c r="A1123" s="1"/>
      <c r="B1123" s="87" t="str">
        <f t="array" ref="B1123">"📌최근 인바디 결과 : "&amp;text(xlookup(B1115,'현황'!O:O,'현황'!O:O,,-1,-1),"m/d(ddd)")</f>
        <v>#REF!</v>
      </c>
      <c r="C1123" s="88"/>
      <c r="D1123" s="49"/>
      <c r="E1123" s="41"/>
      <c r="F1123" s="52" t="s">
        <v>40</v>
      </c>
      <c r="G1123" s="79"/>
      <c r="H1123" s="80"/>
      <c r="I1123" s="69"/>
      <c r="J1123" s="72"/>
      <c r="K1123" s="73"/>
      <c r="L1123" s="72"/>
      <c r="M1123" s="73"/>
      <c r="N1123" s="72"/>
      <c r="O1123" s="73"/>
      <c r="P1123" s="72"/>
      <c r="Q1123" s="73"/>
      <c r="R1123" s="72"/>
      <c r="S1123" s="73"/>
      <c r="T1123" s="72"/>
      <c r="U1123" s="73"/>
      <c r="V1123" s="72"/>
      <c r="W1123" s="73"/>
      <c r="X1123" s="72"/>
      <c r="Y1123" s="73"/>
      <c r="Z1123" s="74" t="b">
        <v>0</v>
      </c>
      <c r="AA1123" s="130">
        <f t="shared" si="445"/>
        <v>0</v>
      </c>
      <c r="AB1123" s="131">
        <f t="shared" si="446"/>
        <v>0</v>
      </c>
      <c r="AC1123" s="132">
        <f t="shared" si="447"/>
        <v>0</v>
      </c>
      <c r="AD1123" s="133">
        <f t="shared" si="448"/>
        <v>0</v>
      </c>
      <c r="AE1123" s="131">
        <f t="shared" si="449"/>
        <v>0</v>
      </c>
      <c r="AF1123" s="133">
        <f t="shared" si="450"/>
        <v>0</v>
      </c>
      <c r="AG1123" s="1"/>
    </row>
    <row r="1124" ht="21.0" customHeight="1">
      <c r="A1124" s="1"/>
      <c r="B1124" s="89" t="s">
        <v>44</v>
      </c>
      <c r="C1124" s="49"/>
      <c r="D1124" s="90">
        <f t="array" ref="D1124">iferror(vlookup(xlookup(B1115,'현황'!O:O,'현황'!O:O,,-1,-1),'현황'!O:S,2,false),0)</f>
        <v>0</v>
      </c>
      <c r="E1124" s="51" t="s">
        <v>45</v>
      </c>
      <c r="F1124" s="52" t="s">
        <v>34</v>
      </c>
      <c r="G1124" s="83"/>
      <c r="H1124" s="84"/>
      <c r="I1124" s="85"/>
      <c r="J1124" s="72"/>
      <c r="K1124" s="73"/>
      <c r="L1124" s="72"/>
      <c r="M1124" s="73"/>
      <c r="N1124" s="72"/>
      <c r="O1124" s="73"/>
      <c r="P1124" s="72"/>
      <c r="Q1124" s="73"/>
      <c r="R1124" s="72"/>
      <c r="S1124" s="73"/>
      <c r="T1124" s="72"/>
      <c r="U1124" s="73"/>
      <c r="V1124" s="72"/>
      <c r="W1124" s="73"/>
      <c r="X1124" s="72"/>
      <c r="Y1124" s="73"/>
      <c r="Z1124" s="74" t="b">
        <v>0</v>
      </c>
      <c r="AA1124" s="130">
        <f t="shared" si="445"/>
        <v>0</v>
      </c>
      <c r="AB1124" s="131">
        <f t="shared" si="446"/>
        <v>0</v>
      </c>
      <c r="AC1124" s="132">
        <f t="shared" si="447"/>
        <v>0</v>
      </c>
      <c r="AD1124" s="133">
        <f t="shared" si="448"/>
        <v>0</v>
      </c>
      <c r="AE1124" s="131">
        <f t="shared" si="449"/>
        <v>0</v>
      </c>
      <c r="AF1124" s="133">
        <f t="shared" si="450"/>
        <v>0</v>
      </c>
      <c r="AG1124" s="1"/>
    </row>
    <row r="1125" ht="21.0" customHeight="1">
      <c r="A1125" s="1"/>
      <c r="B1125" s="48" t="s">
        <v>46</v>
      </c>
      <c r="C1125" s="49"/>
      <c r="D1125" s="91">
        <f t="array" ref="D1125">iferror(vlookup(xlookup(B1115,'현황'!O:O,'현황'!O:O,,-1,-1),'현황'!O:S,3,false),0)</f>
        <v>0</v>
      </c>
      <c r="E1125" s="66"/>
      <c r="F1125" s="52" t="s">
        <v>37</v>
      </c>
      <c r="G1125" s="67"/>
      <c r="H1125" s="80"/>
      <c r="I1125" s="69"/>
      <c r="J1125" s="72"/>
      <c r="K1125" s="73"/>
      <c r="L1125" s="72"/>
      <c r="M1125" s="73"/>
      <c r="N1125" s="72"/>
      <c r="O1125" s="73"/>
      <c r="P1125" s="72"/>
      <c r="Q1125" s="73"/>
      <c r="R1125" s="72"/>
      <c r="S1125" s="73"/>
      <c r="T1125" s="72"/>
      <c r="U1125" s="73"/>
      <c r="V1125" s="72"/>
      <c r="W1125" s="73"/>
      <c r="X1125" s="72"/>
      <c r="Y1125" s="73"/>
      <c r="Z1125" s="74" t="b">
        <v>0</v>
      </c>
      <c r="AA1125" s="130">
        <f t="shared" si="445"/>
        <v>0</v>
      </c>
      <c r="AB1125" s="131">
        <f t="shared" si="446"/>
        <v>0</v>
      </c>
      <c r="AC1125" s="132">
        <f t="shared" si="447"/>
        <v>0</v>
      </c>
      <c r="AD1125" s="133">
        <f t="shared" si="448"/>
        <v>0</v>
      </c>
      <c r="AE1125" s="131">
        <f t="shared" si="449"/>
        <v>0</v>
      </c>
      <c r="AF1125" s="133">
        <f t="shared" si="450"/>
        <v>0</v>
      </c>
      <c r="AG1125" s="1"/>
    </row>
    <row r="1126" ht="21.0" customHeight="1">
      <c r="A1126" s="1"/>
      <c r="B1126" s="48" t="s">
        <v>47</v>
      </c>
      <c r="C1126" s="49"/>
      <c r="D1126" s="91">
        <f t="array" ref="D1126">iferror(vlookup(xlookup(B1115,'현황'!O:O,'현황'!O:O,,-1,-1),'현황'!O:S,4,false),0)</f>
        <v>0</v>
      </c>
      <c r="E1126" s="41"/>
      <c r="F1126" s="92" t="s">
        <v>40</v>
      </c>
      <c r="G1126" s="79"/>
      <c r="H1126" s="93"/>
      <c r="I1126" s="94"/>
      <c r="J1126" s="95"/>
      <c r="K1126" s="96"/>
      <c r="L1126" s="95"/>
      <c r="M1126" s="96"/>
      <c r="N1126" s="95"/>
      <c r="O1126" s="96"/>
      <c r="P1126" s="95"/>
      <c r="Q1126" s="96"/>
      <c r="R1126" s="95"/>
      <c r="S1126" s="96"/>
      <c r="T1126" s="95"/>
      <c r="U1126" s="96"/>
      <c r="V1126" s="95"/>
      <c r="W1126" s="96"/>
      <c r="X1126" s="95"/>
      <c r="Y1126" s="96"/>
      <c r="Z1126" s="97" t="b">
        <v>0</v>
      </c>
      <c r="AA1126" s="135">
        <f t="shared" si="445"/>
        <v>0</v>
      </c>
      <c r="AB1126" s="136">
        <f t="shared" si="446"/>
        <v>0</v>
      </c>
      <c r="AC1126" s="137">
        <f t="shared" si="447"/>
        <v>0</v>
      </c>
      <c r="AD1126" s="138">
        <f t="shared" si="448"/>
        <v>0</v>
      </c>
      <c r="AE1126" s="136">
        <f t="shared" si="449"/>
        <v>0</v>
      </c>
      <c r="AF1126" s="138">
        <f t="shared" si="450"/>
        <v>0</v>
      </c>
      <c r="AG1126" s="1"/>
    </row>
    <row r="1127" ht="21.0" customHeight="1">
      <c r="A1127" s="1"/>
      <c r="B1127" s="102" t="s">
        <v>48</v>
      </c>
      <c r="C1127" s="103"/>
      <c r="D1127" s="104">
        <f>iferror(D1126/D1124,0)</f>
        <v>0</v>
      </c>
      <c r="E1127" s="102" t="s">
        <v>49</v>
      </c>
      <c r="F1127" s="103"/>
      <c r="G1127" s="105"/>
      <c r="H1127" s="106" t="s">
        <v>50</v>
      </c>
      <c r="I1127" s="107"/>
      <c r="J1127" s="11"/>
      <c r="K1127" s="11"/>
      <c r="L1127" s="11"/>
      <c r="M1127" s="11"/>
      <c r="N1127" s="11"/>
      <c r="O1127" s="11"/>
      <c r="P1127" s="108" t="s">
        <v>51</v>
      </c>
      <c r="Q1127" s="12"/>
      <c r="R1127" s="109"/>
      <c r="S1127" s="11"/>
      <c r="T1127" s="11"/>
      <c r="U1127" s="11"/>
      <c r="V1127" s="11"/>
      <c r="W1127" s="11"/>
      <c r="X1127" s="11"/>
      <c r="Y1127" s="11"/>
      <c r="Z1127" s="12"/>
      <c r="AA1127" s="139">
        <f>SUM(AA1118:AA1126)</f>
        <v>0</v>
      </c>
      <c r="AB1127" s="140" t="s">
        <v>247</v>
      </c>
      <c r="AG1127" s="1"/>
    </row>
    <row r="1128" ht="21.0" customHeight="1">
      <c r="A1128" s="1"/>
      <c r="B1128" s="1"/>
      <c r="C1128" s="1"/>
      <c r="D1128" s="1"/>
      <c r="E1128" s="1"/>
      <c r="F1128" s="1"/>
      <c r="G1128" s="1"/>
      <c r="H1128" s="1"/>
      <c r="I1128" s="1"/>
      <c r="AA1128" s="1"/>
      <c r="AB1128" s="1"/>
      <c r="AC1128" s="3"/>
      <c r="AD1128" s="1"/>
      <c r="AE1128" s="1"/>
      <c r="AF1128" s="1"/>
      <c r="AG1128" s="1"/>
    </row>
    <row r="1129" ht="21.0" customHeight="1">
      <c r="A1129" s="1"/>
      <c r="B1129" s="4" t="s">
        <v>1</v>
      </c>
      <c r="C1129" s="5"/>
      <c r="D1129" s="6" t="s">
        <v>2</v>
      </c>
      <c r="E1129" s="7"/>
      <c r="F1129" s="7"/>
      <c r="G1129" s="5"/>
      <c r="H1129" s="8" t="s">
        <v>3</v>
      </c>
      <c r="I1129" s="8" t="s">
        <v>4</v>
      </c>
      <c r="J1129" s="9" t="s">
        <v>5</v>
      </c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5"/>
      <c r="AA1129" s="117" t="s">
        <v>6</v>
      </c>
      <c r="AB1129" s="11"/>
      <c r="AC1129" s="11"/>
      <c r="AD1129" s="11"/>
      <c r="AE1129" s="11"/>
      <c r="AF1129" s="12"/>
      <c r="AG1129" s="1"/>
    </row>
    <row r="1130" ht="21.0" customHeight="1">
      <c r="A1130" s="1"/>
      <c r="B1130" s="149" t="s">
        <v>138</v>
      </c>
      <c r="C1130" s="14" t="str">
        <f>if(B1130="0/0","",choose(weekday(B1130),"(일)","(월)","(화)","(수)","(목)","(금)","(토)"))</f>
        <v/>
      </c>
      <c r="D1130" s="15" t="s">
        <v>7</v>
      </c>
      <c r="E1130" s="16" t="s">
        <v>8</v>
      </c>
      <c r="F1130" s="17"/>
      <c r="G1130" s="18" t="s">
        <v>9</v>
      </c>
      <c r="H1130" s="150" t="s">
        <v>139</v>
      </c>
      <c r="I1130" s="151"/>
      <c r="J1130" s="21" t="s">
        <v>12</v>
      </c>
      <c r="K1130" s="22"/>
      <c r="L1130" s="21" t="s">
        <v>13</v>
      </c>
      <c r="M1130" s="22"/>
      <c r="N1130" s="21" t="s">
        <v>14</v>
      </c>
      <c r="O1130" s="22"/>
      <c r="P1130" s="21" t="s">
        <v>15</v>
      </c>
      <c r="Q1130" s="22"/>
      <c r="R1130" s="23" t="s">
        <v>16</v>
      </c>
      <c r="S1130" s="22"/>
      <c r="T1130" s="23" t="s">
        <v>17</v>
      </c>
      <c r="U1130" s="22"/>
      <c r="V1130" s="23" t="s">
        <v>18</v>
      </c>
      <c r="W1130" s="22"/>
      <c r="X1130" s="23" t="s">
        <v>19</v>
      </c>
      <c r="Y1130" s="22"/>
      <c r="Z1130" s="24" t="s">
        <v>248</v>
      </c>
      <c r="AA1130" s="118" t="s">
        <v>21</v>
      </c>
      <c r="AB1130" s="119" t="s">
        <v>22</v>
      </c>
      <c r="AC1130" s="7"/>
      <c r="AD1130" s="22"/>
      <c r="AE1130" s="120" t="s">
        <v>23</v>
      </c>
      <c r="AF1130" s="22"/>
      <c r="AG1130" s="1"/>
    </row>
    <row r="1131" ht="21.0" customHeight="1">
      <c r="A1131" s="1"/>
      <c r="B1131" s="27">
        <f>iferror(B1130-'현황'!$C$4+1,0)</f>
        <v>0</v>
      </c>
      <c r="C1131" s="28"/>
      <c r="D1131" s="29">
        <v>0.0</v>
      </c>
      <c r="E1131" s="30">
        <v>0.0</v>
      </c>
      <c r="F1131" s="31"/>
      <c r="G1131" s="32">
        <v>0.0</v>
      </c>
      <c r="H1131" s="33">
        <v>0.0</v>
      </c>
      <c r="I1131" s="34"/>
      <c r="J1131" s="35"/>
      <c r="K1131" s="36"/>
      <c r="L1131" s="35"/>
      <c r="M1131" s="36"/>
      <c r="N1131" s="35"/>
      <c r="O1131" s="36"/>
      <c r="P1131" s="35"/>
      <c r="Q1131" s="36"/>
      <c r="R1131" s="35"/>
      <c r="S1131" s="36"/>
      <c r="T1131" s="35"/>
      <c r="U1131" s="36"/>
      <c r="V1131" s="35"/>
      <c r="W1131" s="36"/>
      <c r="X1131" s="35"/>
      <c r="Y1131" s="36"/>
      <c r="Z1131" s="37"/>
      <c r="AA1131" s="37"/>
      <c r="AB1131" s="35"/>
      <c r="AC1131" s="38"/>
      <c r="AD1131" s="36"/>
      <c r="AE1131" s="35"/>
      <c r="AF1131" s="36"/>
      <c r="AG1131" s="1"/>
    </row>
    <row r="1132" ht="21.0" customHeight="1">
      <c r="A1132" s="1"/>
      <c r="B1132" s="39" t="s">
        <v>24</v>
      </c>
      <c r="C1132" s="40"/>
      <c r="D1132" s="41"/>
      <c r="E1132" s="42" t="s">
        <v>25</v>
      </c>
      <c r="F1132" s="40"/>
      <c r="G1132" s="41"/>
      <c r="H1132" s="43" t="s">
        <v>26</v>
      </c>
      <c r="J1132" s="44" t="s">
        <v>27</v>
      </c>
      <c r="K1132" s="45" t="s">
        <v>28</v>
      </c>
      <c r="L1132" s="44" t="s">
        <v>27</v>
      </c>
      <c r="M1132" s="45" t="s">
        <v>28</v>
      </c>
      <c r="N1132" s="44" t="s">
        <v>27</v>
      </c>
      <c r="O1132" s="45" t="s">
        <v>28</v>
      </c>
      <c r="P1132" s="44" t="s">
        <v>27</v>
      </c>
      <c r="Q1132" s="45" t="s">
        <v>28</v>
      </c>
      <c r="R1132" s="44" t="s">
        <v>27</v>
      </c>
      <c r="S1132" s="45" t="s">
        <v>28</v>
      </c>
      <c r="T1132" s="44" t="s">
        <v>27</v>
      </c>
      <c r="U1132" s="45" t="s">
        <v>28</v>
      </c>
      <c r="V1132" s="44" t="s">
        <v>27</v>
      </c>
      <c r="W1132" s="45" t="s">
        <v>28</v>
      </c>
      <c r="X1132" s="44" t="s">
        <v>27</v>
      </c>
      <c r="Y1132" s="45" t="s">
        <v>28</v>
      </c>
      <c r="Z1132" s="46"/>
      <c r="AA1132" s="46"/>
      <c r="AB1132" s="121" t="s">
        <v>29</v>
      </c>
      <c r="AC1132" s="122" t="s">
        <v>30</v>
      </c>
      <c r="AD1132" s="123" t="s">
        <v>31</v>
      </c>
      <c r="AE1132" s="121" t="s">
        <v>27</v>
      </c>
      <c r="AF1132" s="123" t="s">
        <v>28</v>
      </c>
      <c r="AG1132" s="1"/>
    </row>
    <row r="1133" ht="21.0" customHeight="1">
      <c r="A1133" s="1"/>
      <c r="B1133" s="48" t="s">
        <v>32</v>
      </c>
      <c r="C1133" s="49"/>
      <c r="D1133" s="50"/>
      <c r="E1133" s="51" t="s">
        <v>33</v>
      </c>
      <c r="F1133" s="52" t="s">
        <v>34</v>
      </c>
      <c r="G1133" s="53"/>
      <c r="H1133" s="148"/>
      <c r="I1133" s="55"/>
      <c r="J1133" s="58"/>
      <c r="K1133" s="59"/>
      <c r="L1133" s="58"/>
      <c r="M1133" s="59"/>
      <c r="N1133" s="58"/>
      <c r="O1133" s="59"/>
      <c r="P1133" s="58"/>
      <c r="Q1133" s="59"/>
      <c r="R1133" s="58"/>
      <c r="S1133" s="59"/>
      <c r="T1133" s="58"/>
      <c r="U1133" s="59"/>
      <c r="V1133" s="58"/>
      <c r="W1133" s="59"/>
      <c r="X1133" s="58"/>
      <c r="Y1133" s="59"/>
      <c r="Z1133" s="60" t="b">
        <v>0</v>
      </c>
      <c r="AA1133" s="125">
        <f t="shared" ref="AA1133:AA1141" si="451">(J1133*K1133+L1133*M1133+N1133*O1133+P1133*Q1133+R1133*S1133+T1133*U1133+V1133*W1133+X1133*Y1133)*if(Z1133=true,0.453592,1)</f>
        <v>0</v>
      </c>
      <c r="AB1133" s="126">
        <f t="shared" ref="AB1133:AB1141" si="452">SUM(AE1133*AF1133*0.025,AE1133)</f>
        <v>0</v>
      </c>
      <c r="AC1133" s="127">
        <f t="shared" ref="AC1133:AC1141" si="453">AB1133*87%</f>
        <v>0</v>
      </c>
      <c r="AD1133" s="128">
        <f t="shared" ref="AD1133:AD1141" si="454">AB1133*67%</f>
        <v>0</v>
      </c>
      <c r="AE1133" s="126">
        <f t="shared" ref="AE1133:AE1141" si="455">MAX(J1133,L1133,N1133,P1133,R1133,T1133,V1133,X1133)*if(Z1133=true,0.453592,1)</f>
        <v>0</v>
      </c>
      <c r="AF1133" s="128">
        <f t="shared" ref="AF1133:AF1141" si="456">MAX(IF(J1133*if(Z1133=true,0.453592,1)=$AE1133,K1133,0),IF(L1133*if(Z1133=true,0.453592,1)=$AE1133,M1133,0),IF(N1133*if(Z1133=true,0.453592,1)=$AE1133,O1133,0),IF(P1133*if(Z1133=true,0.453592,1)=$AE1133,Q1133,0),IF(R1133*if(Z1133=true,0.453592,1)=$AE1133,S1133,0),IF(T1133*if(Z1133=true,0.453592,1)=$AE1133,U1133,0),IF(V1133*if(Z1133=true,0.453592,1)=$AE1133,W1133,0),IF(X1133*if(Z1133=true,0.453592,1)=$AE1133,Y1133,0))</f>
        <v>0</v>
      </c>
      <c r="AG1133" s="1"/>
    </row>
    <row r="1134" ht="21.0" customHeight="1">
      <c r="A1134" s="1"/>
      <c r="B1134" s="48" t="s">
        <v>36</v>
      </c>
      <c r="C1134" s="49"/>
      <c r="D1134" s="65"/>
      <c r="E1134" s="66"/>
      <c r="F1134" s="52" t="s">
        <v>37</v>
      </c>
      <c r="G1134" s="67"/>
      <c r="H1134" s="129"/>
      <c r="I1134" s="69"/>
      <c r="J1134" s="72"/>
      <c r="K1134" s="73"/>
      <c r="L1134" s="72"/>
      <c r="M1134" s="73"/>
      <c r="N1134" s="72"/>
      <c r="O1134" s="73"/>
      <c r="P1134" s="72"/>
      <c r="Q1134" s="73"/>
      <c r="R1134" s="72"/>
      <c r="S1134" s="73"/>
      <c r="T1134" s="72"/>
      <c r="U1134" s="73"/>
      <c r="V1134" s="72"/>
      <c r="W1134" s="73"/>
      <c r="X1134" s="72"/>
      <c r="Y1134" s="73"/>
      <c r="Z1134" s="74" t="b">
        <v>0</v>
      </c>
      <c r="AA1134" s="130">
        <f t="shared" si="451"/>
        <v>0</v>
      </c>
      <c r="AB1134" s="131">
        <f t="shared" si="452"/>
        <v>0</v>
      </c>
      <c r="AC1134" s="132">
        <f t="shared" si="453"/>
        <v>0</v>
      </c>
      <c r="AD1134" s="133">
        <f t="shared" si="454"/>
        <v>0</v>
      </c>
      <c r="AE1134" s="131">
        <f t="shared" si="455"/>
        <v>0</v>
      </c>
      <c r="AF1134" s="133">
        <f t="shared" si="456"/>
        <v>0</v>
      </c>
      <c r="AG1134" s="1"/>
    </row>
    <row r="1135" ht="21.0" customHeight="1">
      <c r="A1135" s="1"/>
      <c r="B1135" s="48" t="s">
        <v>39</v>
      </c>
      <c r="C1135" s="49"/>
      <c r="D1135" s="65"/>
      <c r="E1135" s="41"/>
      <c r="F1135" s="52" t="s">
        <v>40</v>
      </c>
      <c r="G1135" s="79"/>
      <c r="H1135" s="80"/>
      <c r="I1135" s="69"/>
      <c r="J1135" s="72"/>
      <c r="K1135" s="73"/>
      <c r="L1135" s="72"/>
      <c r="M1135" s="73"/>
      <c r="N1135" s="72"/>
      <c r="O1135" s="73"/>
      <c r="P1135" s="72"/>
      <c r="Q1135" s="73"/>
      <c r="R1135" s="72"/>
      <c r="S1135" s="73"/>
      <c r="T1135" s="72"/>
      <c r="U1135" s="73"/>
      <c r="V1135" s="72"/>
      <c r="W1135" s="73"/>
      <c r="X1135" s="72"/>
      <c r="Y1135" s="73"/>
      <c r="Z1135" s="74" t="b">
        <v>0</v>
      </c>
      <c r="AA1135" s="130">
        <f t="shared" si="451"/>
        <v>0</v>
      </c>
      <c r="AB1135" s="131">
        <f t="shared" si="452"/>
        <v>0</v>
      </c>
      <c r="AC1135" s="132">
        <f t="shared" si="453"/>
        <v>0</v>
      </c>
      <c r="AD1135" s="133">
        <f t="shared" si="454"/>
        <v>0</v>
      </c>
      <c r="AE1135" s="131">
        <f t="shared" si="455"/>
        <v>0</v>
      </c>
      <c r="AF1135" s="133">
        <f t="shared" si="456"/>
        <v>0</v>
      </c>
      <c r="AG1135" s="1"/>
    </row>
    <row r="1136" ht="21.0" customHeight="1">
      <c r="A1136" s="1"/>
      <c r="B1136" s="48" t="s">
        <v>41</v>
      </c>
      <c r="C1136" s="81"/>
      <c r="D1136" s="82" t="b">
        <v>0</v>
      </c>
      <c r="E1136" s="51" t="s">
        <v>42</v>
      </c>
      <c r="F1136" s="52" t="s">
        <v>34</v>
      </c>
      <c r="G1136" s="83"/>
      <c r="H1136" s="84"/>
      <c r="I1136" s="85"/>
      <c r="J1136" s="72"/>
      <c r="K1136" s="73"/>
      <c r="L1136" s="72"/>
      <c r="M1136" s="73"/>
      <c r="N1136" s="72"/>
      <c r="O1136" s="73"/>
      <c r="P1136" s="72"/>
      <c r="Q1136" s="73"/>
      <c r="R1136" s="72"/>
      <c r="S1136" s="73"/>
      <c r="T1136" s="72"/>
      <c r="U1136" s="73"/>
      <c r="V1136" s="72"/>
      <c r="W1136" s="73"/>
      <c r="X1136" s="72"/>
      <c r="Y1136" s="73"/>
      <c r="Z1136" s="74" t="b">
        <v>0</v>
      </c>
      <c r="AA1136" s="130">
        <f t="shared" si="451"/>
        <v>0</v>
      </c>
      <c r="AB1136" s="131">
        <f t="shared" si="452"/>
        <v>0</v>
      </c>
      <c r="AC1136" s="132">
        <f t="shared" si="453"/>
        <v>0</v>
      </c>
      <c r="AD1136" s="133">
        <f t="shared" si="454"/>
        <v>0</v>
      </c>
      <c r="AE1136" s="131">
        <f t="shared" si="455"/>
        <v>0</v>
      </c>
      <c r="AF1136" s="133">
        <f t="shared" si="456"/>
        <v>0</v>
      </c>
      <c r="AG1136" s="1"/>
    </row>
    <row r="1137" ht="21.0" customHeight="1">
      <c r="A1137" s="1"/>
      <c r="B1137" s="48" t="s">
        <v>43</v>
      </c>
      <c r="C1137" s="49"/>
      <c r="D1137" s="86" t="b">
        <v>0</v>
      </c>
      <c r="E1137" s="66"/>
      <c r="F1137" s="52" t="s">
        <v>37</v>
      </c>
      <c r="G1137" s="67"/>
      <c r="H1137" s="80"/>
      <c r="I1137" s="69"/>
      <c r="J1137" s="72"/>
      <c r="K1137" s="73"/>
      <c r="L1137" s="72"/>
      <c r="M1137" s="73"/>
      <c r="N1137" s="72"/>
      <c r="O1137" s="73"/>
      <c r="P1137" s="72"/>
      <c r="Q1137" s="73"/>
      <c r="R1137" s="72"/>
      <c r="S1137" s="73"/>
      <c r="T1137" s="72"/>
      <c r="U1137" s="73"/>
      <c r="V1137" s="72"/>
      <c r="W1137" s="73"/>
      <c r="X1137" s="72"/>
      <c r="Y1137" s="73"/>
      <c r="Z1137" s="74" t="b">
        <v>0</v>
      </c>
      <c r="AA1137" s="130">
        <f t="shared" si="451"/>
        <v>0</v>
      </c>
      <c r="AB1137" s="131">
        <f t="shared" si="452"/>
        <v>0</v>
      </c>
      <c r="AC1137" s="132">
        <f t="shared" si="453"/>
        <v>0</v>
      </c>
      <c r="AD1137" s="133">
        <f t="shared" si="454"/>
        <v>0</v>
      </c>
      <c r="AE1137" s="131">
        <f t="shared" si="455"/>
        <v>0</v>
      </c>
      <c r="AF1137" s="133">
        <f t="shared" si="456"/>
        <v>0</v>
      </c>
      <c r="AG1137" s="1"/>
    </row>
    <row r="1138" ht="21.0" customHeight="1">
      <c r="A1138" s="1"/>
      <c r="B1138" s="87" t="str">
        <f t="array" ref="B1138">"📌최근 인바디 결과 : "&amp;text(xlookup(B1130,'현황'!O:O,'현황'!O:O,,-1,-1),"m/d(ddd)")</f>
        <v>#REF!</v>
      </c>
      <c r="C1138" s="88"/>
      <c r="D1138" s="49"/>
      <c r="E1138" s="41"/>
      <c r="F1138" s="52" t="s">
        <v>40</v>
      </c>
      <c r="G1138" s="79"/>
      <c r="H1138" s="80"/>
      <c r="I1138" s="69"/>
      <c r="J1138" s="72"/>
      <c r="K1138" s="73"/>
      <c r="L1138" s="72"/>
      <c r="M1138" s="73"/>
      <c r="N1138" s="72"/>
      <c r="O1138" s="73"/>
      <c r="P1138" s="72"/>
      <c r="Q1138" s="73"/>
      <c r="R1138" s="72"/>
      <c r="S1138" s="73"/>
      <c r="T1138" s="72"/>
      <c r="U1138" s="73"/>
      <c r="V1138" s="72"/>
      <c r="W1138" s="73"/>
      <c r="X1138" s="72"/>
      <c r="Y1138" s="73"/>
      <c r="Z1138" s="74" t="b">
        <v>0</v>
      </c>
      <c r="AA1138" s="130">
        <f t="shared" si="451"/>
        <v>0</v>
      </c>
      <c r="AB1138" s="131">
        <f t="shared" si="452"/>
        <v>0</v>
      </c>
      <c r="AC1138" s="132">
        <f t="shared" si="453"/>
        <v>0</v>
      </c>
      <c r="AD1138" s="133">
        <f t="shared" si="454"/>
        <v>0</v>
      </c>
      <c r="AE1138" s="131">
        <f t="shared" si="455"/>
        <v>0</v>
      </c>
      <c r="AF1138" s="133">
        <f t="shared" si="456"/>
        <v>0</v>
      </c>
      <c r="AG1138" s="1"/>
    </row>
    <row r="1139" ht="21.0" customHeight="1">
      <c r="A1139" s="1"/>
      <c r="B1139" s="89" t="s">
        <v>44</v>
      </c>
      <c r="C1139" s="49"/>
      <c r="D1139" s="90">
        <f t="array" ref="D1139">iferror(vlookup(xlookup(B1130,'현황'!O:O,'현황'!O:O,,-1,-1),'현황'!O:S,2,false),0)</f>
        <v>0</v>
      </c>
      <c r="E1139" s="51" t="s">
        <v>45</v>
      </c>
      <c r="F1139" s="52" t="s">
        <v>34</v>
      </c>
      <c r="G1139" s="83"/>
      <c r="H1139" s="84"/>
      <c r="I1139" s="85"/>
      <c r="J1139" s="72"/>
      <c r="K1139" s="73"/>
      <c r="L1139" s="72"/>
      <c r="M1139" s="73"/>
      <c r="N1139" s="72"/>
      <c r="O1139" s="73"/>
      <c r="P1139" s="72"/>
      <c r="Q1139" s="73"/>
      <c r="R1139" s="72"/>
      <c r="S1139" s="73"/>
      <c r="T1139" s="72"/>
      <c r="U1139" s="73"/>
      <c r="V1139" s="72"/>
      <c r="W1139" s="73"/>
      <c r="X1139" s="72"/>
      <c r="Y1139" s="73"/>
      <c r="Z1139" s="74" t="b">
        <v>0</v>
      </c>
      <c r="AA1139" s="130">
        <f t="shared" si="451"/>
        <v>0</v>
      </c>
      <c r="AB1139" s="131">
        <f t="shared" si="452"/>
        <v>0</v>
      </c>
      <c r="AC1139" s="132">
        <f t="shared" si="453"/>
        <v>0</v>
      </c>
      <c r="AD1139" s="133">
        <f t="shared" si="454"/>
        <v>0</v>
      </c>
      <c r="AE1139" s="131">
        <f t="shared" si="455"/>
        <v>0</v>
      </c>
      <c r="AF1139" s="133">
        <f t="shared" si="456"/>
        <v>0</v>
      </c>
      <c r="AG1139" s="1"/>
    </row>
    <row r="1140" ht="21.0" customHeight="1">
      <c r="A1140" s="1"/>
      <c r="B1140" s="48" t="s">
        <v>46</v>
      </c>
      <c r="C1140" s="49"/>
      <c r="D1140" s="91">
        <f t="array" ref="D1140">iferror(vlookup(xlookup(B1130,'현황'!O:O,'현황'!O:O,,-1,-1),'현황'!O:S,3,false),0)</f>
        <v>0</v>
      </c>
      <c r="E1140" s="66"/>
      <c r="F1140" s="52" t="s">
        <v>37</v>
      </c>
      <c r="G1140" s="67"/>
      <c r="H1140" s="80"/>
      <c r="I1140" s="69"/>
      <c r="J1140" s="72"/>
      <c r="K1140" s="73"/>
      <c r="L1140" s="72"/>
      <c r="M1140" s="73"/>
      <c r="N1140" s="72"/>
      <c r="O1140" s="73"/>
      <c r="P1140" s="72"/>
      <c r="Q1140" s="73"/>
      <c r="R1140" s="72"/>
      <c r="S1140" s="73"/>
      <c r="T1140" s="72"/>
      <c r="U1140" s="73"/>
      <c r="V1140" s="72"/>
      <c r="W1140" s="73"/>
      <c r="X1140" s="72"/>
      <c r="Y1140" s="73"/>
      <c r="Z1140" s="74" t="b">
        <v>0</v>
      </c>
      <c r="AA1140" s="130">
        <f t="shared" si="451"/>
        <v>0</v>
      </c>
      <c r="AB1140" s="131">
        <f t="shared" si="452"/>
        <v>0</v>
      </c>
      <c r="AC1140" s="132">
        <f t="shared" si="453"/>
        <v>0</v>
      </c>
      <c r="AD1140" s="133">
        <f t="shared" si="454"/>
        <v>0</v>
      </c>
      <c r="AE1140" s="131">
        <f t="shared" si="455"/>
        <v>0</v>
      </c>
      <c r="AF1140" s="133">
        <f t="shared" si="456"/>
        <v>0</v>
      </c>
      <c r="AG1140" s="1"/>
    </row>
    <row r="1141" ht="21.0" customHeight="1">
      <c r="A1141" s="1"/>
      <c r="B1141" s="48" t="s">
        <v>47</v>
      </c>
      <c r="C1141" s="49"/>
      <c r="D1141" s="91">
        <f t="array" ref="D1141">iferror(vlookup(xlookup(B1130,'현황'!O:O,'현황'!O:O,,-1,-1),'현황'!O:S,4,false),0)</f>
        <v>0</v>
      </c>
      <c r="E1141" s="41"/>
      <c r="F1141" s="92" t="s">
        <v>40</v>
      </c>
      <c r="G1141" s="79"/>
      <c r="H1141" s="93"/>
      <c r="I1141" s="94"/>
      <c r="J1141" s="95"/>
      <c r="K1141" s="96"/>
      <c r="L1141" s="95"/>
      <c r="M1141" s="96"/>
      <c r="N1141" s="95"/>
      <c r="O1141" s="96"/>
      <c r="P1141" s="95"/>
      <c r="Q1141" s="96"/>
      <c r="R1141" s="95"/>
      <c r="S1141" s="96"/>
      <c r="T1141" s="95"/>
      <c r="U1141" s="96"/>
      <c r="V1141" s="95"/>
      <c r="W1141" s="96"/>
      <c r="X1141" s="95"/>
      <c r="Y1141" s="96"/>
      <c r="Z1141" s="97" t="b">
        <v>0</v>
      </c>
      <c r="AA1141" s="135">
        <f t="shared" si="451"/>
        <v>0</v>
      </c>
      <c r="AB1141" s="136">
        <f t="shared" si="452"/>
        <v>0</v>
      </c>
      <c r="AC1141" s="137">
        <f t="shared" si="453"/>
        <v>0</v>
      </c>
      <c r="AD1141" s="138">
        <f t="shared" si="454"/>
        <v>0</v>
      </c>
      <c r="AE1141" s="136">
        <f t="shared" si="455"/>
        <v>0</v>
      </c>
      <c r="AF1141" s="138">
        <f t="shared" si="456"/>
        <v>0</v>
      </c>
      <c r="AG1141" s="1"/>
    </row>
    <row r="1142" ht="21.0" customHeight="1">
      <c r="A1142" s="1"/>
      <c r="B1142" s="102" t="s">
        <v>48</v>
      </c>
      <c r="C1142" s="103"/>
      <c r="D1142" s="104">
        <f>iferror(D1141/D1139,0)</f>
        <v>0</v>
      </c>
      <c r="E1142" s="102" t="s">
        <v>49</v>
      </c>
      <c r="F1142" s="103"/>
      <c r="G1142" s="105"/>
      <c r="H1142" s="143" t="s">
        <v>50</v>
      </c>
      <c r="I1142" s="144"/>
      <c r="J1142" s="11"/>
      <c r="K1142" s="11"/>
      <c r="L1142" s="11"/>
      <c r="M1142" s="11"/>
      <c r="N1142" s="11"/>
      <c r="O1142" s="11"/>
      <c r="P1142" s="145" t="s">
        <v>51</v>
      </c>
      <c r="Q1142" s="12"/>
      <c r="R1142" s="146"/>
      <c r="S1142" s="11"/>
      <c r="T1142" s="11"/>
      <c r="U1142" s="11"/>
      <c r="V1142" s="11"/>
      <c r="W1142" s="11"/>
      <c r="X1142" s="11"/>
      <c r="Y1142" s="11"/>
      <c r="Z1142" s="12"/>
      <c r="AA1142" s="139">
        <f>SUM(AA1133:AA1141)</f>
        <v>0</v>
      </c>
      <c r="AB1142" s="140" t="s">
        <v>249</v>
      </c>
      <c r="AG1142" s="1"/>
    </row>
    <row r="1143" ht="21.0" customHeight="1">
      <c r="A1143" s="1"/>
      <c r="B1143" s="1"/>
      <c r="C1143" s="1"/>
      <c r="D1143" s="1"/>
      <c r="E1143" s="1"/>
      <c r="F1143" s="1"/>
      <c r="G1143" s="1"/>
      <c r="H1143" s="1"/>
      <c r="I1143" s="1"/>
      <c r="AA1143" s="1"/>
      <c r="AB1143" s="1"/>
      <c r="AC1143" s="3"/>
      <c r="AD1143" s="1"/>
      <c r="AE1143" s="1"/>
      <c r="AF1143" s="1"/>
      <c r="AG1143" s="1"/>
    </row>
    <row r="1144" ht="21.0" customHeight="1">
      <c r="A1144" s="1"/>
      <c r="B1144" s="4" t="s">
        <v>1</v>
      </c>
      <c r="C1144" s="5"/>
      <c r="D1144" s="6" t="s">
        <v>2</v>
      </c>
      <c r="E1144" s="7"/>
      <c r="F1144" s="7"/>
      <c r="G1144" s="5"/>
      <c r="H1144" s="8" t="s">
        <v>3</v>
      </c>
      <c r="I1144" s="8" t="s">
        <v>4</v>
      </c>
      <c r="J1144" s="9" t="s">
        <v>5</v>
      </c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5"/>
      <c r="AA1144" s="117" t="s">
        <v>6</v>
      </c>
      <c r="AB1144" s="11"/>
      <c r="AC1144" s="11"/>
      <c r="AD1144" s="11"/>
      <c r="AE1144" s="11"/>
      <c r="AF1144" s="12"/>
      <c r="AG1144" s="1"/>
    </row>
    <row r="1145" ht="21.0" customHeight="1">
      <c r="A1145" s="1"/>
      <c r="B1145" s="149" t="s">
        <v>138</v>
      </c>
      <c r="C1145" s="14" t="str">
        <f>if(B1145="0/0","",choose(weekday(B1145),"(일)","(월)","(화)","(수)","(목)","(금)","(토)"))</f>
        <v/>
      </c>
      <c r="D1145" s="15" t="s">
        <v>7</v>
      </c>
      <c r="E1145" s="16" t="s">
        <v>8</v>
      </c>
      <c r="F1145" s="17"/>
      <c r="G1145" s="18" t="s">
        <v>9</v>
      </c>
      <c r="H1145" s="150" t="s">
        <v>139</v>
      </c>
      <c r="I1145" s="151"/>
      <c r="J1145" s="21" t="s">
        <v>12</v>
      </c>
      <c r="K1145" s="22"/>
      <c r="L1145" s="21" t="s">
        <v>13</v>
      </c>
      <c r="M1145" s="22"/>
      <c r="N1145" s="21" t="s">
        <v>14</v>
      </c>
      <c r="O1145" s="22"/>
      <c r="P1145" s="21" t="s">
        <v>15</v>
      </c>
      <c r="Q1145" s="22"/>
      <c r="R1145" s="23" t="s">
        <v>16</v>
      </c>
      <c r="S1145" s="22"/>
      <c r="T1145" s="23" t="s">
        <v>17</v>
      </c>
      <c r="U1145" s="22"/>
      <c r="V1145" s="23" t="s">
        <v>18</v>
      </c>
      <c r="W1145" s="22"/>
      <c r="X1145" s="23" t="s">
        <v>19</v>
      </c>
      <c r="Y1145" s="22"/>
      <c r="Z1145" s="24" t="s">
        <v>250</v>
      </c>
      <c r="AA1145" s="118" t="s">
        <v>21</v>
      </c>
      <c r="AB1145" s="119" t="s">
        <v>22</v>
      </c>
      <c r="AC1145" s="7"/>
      <c r="AD1145" s="22"/>
      <c r="AE1145" s="120" t="s">
        <v>23</v>
      </c>
      <c r="AF1145" s="22"/>
      <c r="AG1145" s="1"/>
    </row>
    <row r="1146" ht="21.0" customHeight="1">
      <c r="A1146" s="1"/>
      <c r="B1146" s="27">
        <f>iferror(B1145-'현황'!$C$4+1,0)</f>
        <v>0</v>
      </c>
      <c r="C1146" s="28"/>
      <c r="D1146" s="29">
        <v>0.0</v>
      </c>
      <c r="E1146" s="30">
        <v>0.0</v>
      </c>
      <c r="F1146" s="31"/>
      <c r="G1146" s="32">
        <v>0.0</v>
      </c>
      <c r="H1146" s="33">
        <v>0.0</v>
      </c>
      <c r="I1146" s="34"/>
      <c r="J1146" s="35"/>
      <c r="K1146" s="36"/>
      <c r="L1146" s="35"/>
      <c r="M1146" s="36"/>
      <c r="N1146" s="35"/>
      <c r="O1146" s="36"/>
      <c r="P1146" s="35"/>
      <c r="Q1146" s="36"/>
      <c r="R1146" s="35"/>
      <c r="S1146" s="36"/>
      <c r="T1146" s="35"/>
      <c r="U1146" s="36"/>
      <c r="V1146" s="35"/>
      <c r="W1146" s="36"/>
      <c r="X1146" s="35"/>
      <c r="Y1146" s="36"/>
      <c r="Z1146" s="37"/>
      <c r="AA1146" s="37"/>
      <c r="AB1146" s="35"/>
      <c r="AC1146" s="38"/>
      <c r="AD1146" s="36"/>
      <c r="AE1146" s="35"/>
      <c r="AF1146" s="36"/>
      <c r="AG1146" s="1"/>
    </row>
    <row r="1147" ht="21.0" customHeight="1">
      <c r="A1147" s="1"/>
      <c r="B1147" s="39" t="s">
        <v>24</v>
      </c>
      <c r="C1147" s="40"/>
      <c r="D1147" s="41"/>
      <c r="E1147" s="42" t="s">
        <v>25</v>
      </c>
      <c r="F1147" s="40"/>
      <c r="G1147" s="41"/>
      <c r="H1147" s="43" t="s">
        <v>26</v>
      </c>
      <c r="J1147" s="44" t="s">
        <v>27</v>
      </c>
      <c r="K1147" s="45" t="s">
        <v>28</v>
      </c>
      <c r="L1147" s="44" t="s">
        <v>27</v>
      </c>
      <c r="M1147" s="45" t="s">
        <v>28</v>
      </c>
      <c r="N1147" s="44" t="s">
        <v>27</v>
      </c>
      <c r="O1147" s="45" t="s">
        <v>28</v>
      </c>
      <c r="P1147" s="44" t="s">
        <v>27</v>
      </c>
      <c r="Q1147" s="45" t="s">
        <v>28</v>
      </c>
      <c r="R1147" s="44" t="s">
        <v>27</v>
      </c>
      <c r="S1147" s="45" t="s">
        <v>28</v>
      </c>
      <c r="T1147" s="44" t="s">
        <v>27</v>
      </c>
      <c r="U1147" s="45" t="s">
        <v>28</v>
      </c>
      <c r="V1147" s="44" t="s">
        <v>27</v>
      </c>
      <c r="W1147" s="45" t="s">
        <v>28</v>
      </c>
      <c r="X1147" s="44" t="s">
        <v>27</v>
      </c>
      <c r="Y1147" s="45" t="s">
        <v>28</v>
      </c>
      <c r="Z1147" s="46"/>
      <c r="AA1147" s="46"/>
      <c r="AB1147" s="121" t="s">
        <v>29</v>
      </c>
      <c r="AC1147" s="122" t="s">
        <v>30</v>
      </c>
      <c r="AD1147" s="123" t="s">
        <v>31</v>
      </c>
      <c r="AE1147" s="121" t="s">
        <v>27</v>
      </c>
      <c r="AF1147" s="123" t="s">
        <v>28</v>
      </c>
      <c r="AG1147" s="1"/>
    </row>
    <row r="1148" ht="21.0" customHeight="1">
      <c r="A1148" s="1"/>
      <c r="B1148" s="48" t="s">
        <v>32</v>
      </c>
      <c r="C1148" s="49"/>
      <c r="D1148" s="50"/>
      <c r="E1148" s="51" t="s">
        <v>33</v>
      </c>
      <c r="F1148" s="52" t="s">
        <v>34</v>
      </c>
      <c r="G1148" s="53"/>
      <c r="H1148" s="148"/>
      <c r="I1148" s="55"/>
      <c r="J1148" s="58"/>
      <c r="K1148" s="59"/>
      <c r="L1148" s="58"/>
      <c r="M1148" s="59"/>
      <c r="N1148" s="58"/>
      <c r="O1148" s="59"/>
      <c r="P1148" s="58"/>
      <c r="Q1148" s="59"/>
      <c r="R1148" s="58"/>
      <c r="S1148" s="59"/>
      <c r="T1148" s="58"/>
      <c r="U1148" s="59"/>
      <c r="V1148" s="58"/>
      <c r="W1148" s="59"/>
      <c r="X1148" s="58"/>
      <c r="Y1148" s="59"/>
      <c r="Z1148" s="60" t="b">
        <v>0</v>
      </c>
      <c r="AA1148" s="125">
        <f t="shared" ref="AA1148:AA1156" si="457">(J1148*K1148+L1148*M1148+N1148*O1148+P1148*Q1148+R1148*S1148+T1148*U1148+V1148*W1148+X1148*Y1148)*if(Z1148=true,0.453592,1)</f>
        <v>0</v>
      </c>
      <c r="AB1148" s="126">
        <f t="shared" ref="AB1148:AB1156" si="458">SUM(AE1148*AF1148*0.025,AE1148)</f>
        <v>0</v>
      </c>
      <c r="AC1148" s="127">
        <f t="shared" ref="AC1148:AC1156" si="459">AB1148*87%</f>
        <v>0</v>
      </c>
      <c r="AD1148" s="128">
        <f t="shared" ref="AD1148:AD1156" si="460">AB1148*67%</f>
        <v>0</v>
      </c>
      <c r="AE1148" s="126">
        <f t="shared" ref="AE1148:AE1156" si="461">MAX(J1148,L1148,N1148,P1148,R1148,T1148,V1148,X1148)*if(Z1148=true,0.453592,1)</f>
        <v>0</v>
      </c>
      <c r="AF1148" s="128">
        <f t="shared" ref="AF1148:AF1156" si="462">MAX(IF(J1148*if(Z1148=true,0.453592,1)=$AE1148,K1148,0),IF(L1148*if(Z1148=true,0.453592,1)=$AE1148,M1148,0),IF(N1148*if(Z1148=true,0.453592,1)=$AE1148,O1148,0),IF(P1148*if(Z1148=true,0.453592,1)=$AE1148,Q1148,0),IF(R1148*if(Z1148=true,0.453592,1)=$AE1148,S1148,0),IF(T1148*if(Z1148=true,0.453592,1)=$AE1148,U1148,0),IF(V1148*if(Z1148=true,0.453592,1)=$AE1148,W1148,0),IF(X1148*if(Z1148=true,0.453592,1)=$AE1148,Y1148,0))</f>
        <v>0</v>
      </c>
      <c r="AG1148" s="1"/>
    </row>
    <row r="1149" ht="21.0" customHeight="1">
      <c r="A1149" s="1"/>
      <c r="B1149" s="48" t="s">
        <v>36</v>
      </c>
      <c r="C1149" s="49"/>
      <c r="D1149" s="65"/>
      <c r="E1149" s="66"/>
      <c r="F1149" s="52" t="s">
        <v>37</v>
      </c>
      <c r="G1149" s="67"/>
      <c r="H1149" s="129"/>
      <c r="I1149" s="69"/>
      <c r="J1149" s="72"/>
      <c r="K1149" s="73"/>
      <c r="L1149" s="72"/>
      <c r="M1149" s="73"/>
      <c r="N1149" s="72"/>
      <c r="O1149" s="73"/>
      <c r="P1149" s="72"/>
      <c r="Q1149" s="73"/>
      <c r="R1149" s="72"/>
      <c r="S1149" s="73"/>
      <c r="T1149" s="72"/>
      <c r="U1149" s="73"/>
      <c r="V1149" s="72"/>
      <c r="W1149" s="73"/>
      <c r="X1149" s="72"/>
      <c r="Y1149" s="73"/>
      <c r="Z1149" s="74" t="b">
        <v>0</v>
      </c>
      <c r="AA1149" s="130">
        <f t="shared" si="457"/>
        <v>0</v>
      </c>
      <c r="AB1149" s="131">
        <f t="shared" si="458"/>
        <v>0</v>
      </c>
      <c r="AC1149" s="132">
        <f t="shared" si="459"/>
        <v>0</v>
      </c>
      <c r="AD1149" s="133">
        <f t="shared" si="460"/>
        <v>0</v>
      </c>
      <c r="AE1149" s="131">
        <f t="shared" si="461"/>
        <v>0</v>
      </c>
      <c r="AF1149" s="133">
        <f t="shared" si="462"/>
        <v>0</v>
      </c>
      <c r="AG1149" s="1"/>
    </row>
    <row r="1150" ht="21.0" customHeight="1">
      <c r="A1150" s="1"/>
      <c r="B1150" s="48" t="s">
        <v>39</v>
      </c>
      <c r="C1150" s="49"/>
      <c r="D1150" s="65"/>
      <c r="E1150" s="41"/>
      <c r="F1150" s="52" t="s">
        <v>40</v>
      </c>
      <c r="G1150" s="79"/>
      <c r="H1150" s="80"/>
      <c r="I1150" s="69"/>
      <c r="J1150" s="72"/>
      <c r="K1150" s="73"/>
      <c r="L1150" s="72"/>
      <c r="M1150" s="73"/>
      <c r="N1150" s="72"/>
      <c r="O1150" s="73"/>
      <c r="P1150" s="72"/>
      <c r="Q1150" s="73"/>
      <c r="R1150" s="72"/>
      <c r="S1150" s="73"/>
      <c r="T1150" s="72"/>
      <c r="U1150" s="73"/>
      <c r="V1150" s="72"/>
      <c r="W1150" s="73"/>
      <c r="X1150" s="72"/>
      <c r="Y1150" s="73"/>
      <c r="Z1150" s="74" t="b">
        <v>0</v>
      </c>
      <c r="AA1150" s="130">
        <f t="shared" si="457"/>
        <v>0</v>
      </c>
      <c r="AB1150" s="131">
        <f t="shared" si="458"/>
        <v>0</v>
      </c>
      <c r="AC1150" s="132">
        <f t="shared" si="459"/>
        <v>0</v>
      </c>
      <c r="AD1150" s="133">
        <f t="shared" si="460"/>
        <v>0</v>
      </c>
      <c r="AE1150" s="131">
        <f t="shared" si="461"/>
        <v>0</v>
      </c>
      <c r="AF1150" s="133">
        <f t="shared" si="462"/>
        <v>0</v>
      </c>
      <c r="AG1150" s="1"/>
    </row>
    <row r="1151" ht="21.0" customHeight="1">
      <c r="A1151" s="1"/>
      <c r="B1151" s="48" t="s">
        <v>41</v>
      </c>
      <c r="C1151" s="81"/>
      <c r="D1151" s="82" t="b">
        <v>0</v>
      </c>
      <c r="E1151" s="51" t="s">
        <v>42</v>
      </c>
      <c r="F1151" s="52" t="s">
        <v>34</v>
      </c>
      <c r="G1151" s="83"/>
      <c r="H1151" s="84"/>
      <c r="I1151" s="85"/>
      <c r="J1151" s="72"/>
      <c r="K1151" s="73"/>
      <c r="L1151" s="72"/>
      <c r="M1151" s="73"/>
      <c r="N1151" s="72"/>
      <c r="O1151" s="73"/>
      <c r="P1151" s="72"/>
      <c r="Q1151" s="73"/>
      <c r="R1151" s="72"/>
      <c r="S1151" s="73"/>
      <c r="T1151" s="72"/>
      <c r="U1151" s="73"/>
      <c r="V1151" s="72"/>
      <c r="W1151" s="73"/>
      <c r="X1151" s="72"/>
      <c r="Y1151" s="73"/>
      <c r="Z1151" s="74" t="b">
        <v>0</v>
      </c>
      <c r="AA1151" s="130">
        <f t="shared" si="457"/>
        <v>0</v>
      </c>
      <c r="AB1151" s="131">
        <f t="shared" si="458"/>
        <v>0</v>
      </c>
      <c r="AC1151" s="132">
        <f t="shared" si="459"/>
        <v>0</v>
      </c>
      <c r="AD1151" s="133">
        <f t="shared" si="460"/>
        <v>0</v>
      </c>
      <c r="AE1151" s="131">
        <f t="shared" si="461"/>
        <v>0</v>
      </c>
      <c r="AF1151" s="133">
        <f t="shared" si="462"/>
        <v>0</v>
      </c>
      <c r="AG1151" s="1"/>
    </row>
    <row r="1152" ht="21.0" customHeight="1">
      <c r="A1152" s="1"/>
      <c r="B1152" s="48" t="s">
        <v>43</v>
      </c>
      <c r="C1152" s="49"/>
      <c r="D1152" s="86" t="b">
        <v>0</v>
      </c>
      <c r="E1152" s="66"/>
      <c r="F1152" s="52" t="s">
        <v>37</v>
      </c>
      <c r="G1152" s="67"/>
      <c r="H1152" s="80"/>
      <c r="I1152" s="69"/>
      <c r="J1152" s="72"/>
      <c r="K1152" s="73"/>
      <c r="L1152" s="72"/>
      <c r="M1152" s="73"/>
      <c r="N1152" s="72"/>
      <c r="O1152" s="73"/>
      <c r="P1152" s="72"/>
      <c r="Q1152" s="73"/>
      <c r="R1152" s="72"/>
      <c r="S1152" s="73"/>
      <c r="T1152" s="72"/>
      <c r="U1152" s="73"/>
      <c r="V1152" s="72"/>
      <c r="W1152" s="73"/>
      <c r="X1152" s="72"/>
      <c r="Y1152" s="73"/>
      <c r="Z1152" s="74" t="b">
        <v>0</v>
      </c>
      <c r="AA1152" s="130">
        <f t="shared" si="457"/>
        <v>0</v>
      </c>
      <c r="AB1152" s="131">
        <f t="shared" si="458"/>
        <v>0</v>
      </c>
      <c r="AC1152" s="132">
        <f t="shared" si="459"/>
        <v>0</v>
      </c>
      <c r="AD1152" s="133">
        <f t="shared" si="460"/>
        <v>0</v>
      </c>
      <c r="AE1152" s="131">
        <f t="shared" si="461"/>
        <v>0</v>
      </c>
      <c r="AF1152" s="133">
        <f t="shared" si="462"/>
        <v>0</v>
      </c>
      <c r="AG1152" s="1"/>
    </row>
    <row r="1153" ht="21.0" customHeight="1">
      <c r="A1153" s="1"/>
      <c r="B1153" s="87" t="str">
        <f t="array" ref="B1153">"📌최근 인바디 결과 : "&amp;text(xlookup(B1145,'현황'!O:O,'현황'!O:O,,-1,-1),"m/d(ddd)")</f>
        <v>#REF!</v>
      </c>
      <c r="C1153" s="88"/>
      <c r="D1153" s="49"/>
      <c r="E1153" s="41"/>
      <c r="F1153" s="52" t="s">
        <v>40</v>
      </c>
      <c r="G1153" s="79"/>
      <c r="H1153" s="80"/>
      <c r="I1153" s="69"/>
      <c r="J1153" s="72"/>
      <c r="K1153" s="73"/>
      <c r="L1153" s="72"/>
      <c r="M1153" s="73"/>
      <c r="N1153" s="72"/>
      <c r="O1153" s="73"/>
      <c r="P1153" s="72"/>
      <c r="Q1153" s="73"/>
      <c r="R1153" s="72"/>
      <c r="S1153" s="73"/>
      <c r="T1153" s="72"/>
      <c r="U1153" s="73"/>
      <c r="V1153" s="72"/>
      <c r="W1153" s="73"/>
      <c r="X1153" s="72"/>
      <c r="Y1153" s="73"/>
      <c r="Z1153" s="74" t="b">
        <v>0</v>
      </c>
      <c r="AA1153" s="130">
        <f t="shared" si="457"/>
        <v>0</v>
      </c>
      <c r="AB1153" s="131">
        <f t="shared" si="458"/>
        <v>0</v>
      </c>
      <c r="AC1153" s="132">
        <f t="shared" si="459"/>
        <v>0</v>
      </c>
      <c r="AD1153" s="133">
        <f t="shared" si="460"/>
        <v>0</v>
      </c>
      <c r="AE1153" s="131">
        <f t="shared" si="461"/>
        <v>0</v>
      </c>
      <c r="AF1153" s="133">
        <f t="shared" si="462"/>
        <v>0</v>
      </c>
      <c r="AG1153" s="1"/>
    </row>
    <row r="1154" ht="21.0" customHeight="1">
      <c r="A1154" s="1"/>
      <c r="B1154" s="89" t="s">
        <v>44</v>
      </c>
      <c r="C1154" s="49"/>
      <c r="D1154" s="90">
        <f t="array" ref="D1154">iferror(vlookup(xlookup(B1145,'현황'!O:O,'현황'!O:O,,-1,-1),'현황'!O:S,2,false),0)</f>
        <v>0</v>
      </c>
      <c r="E1154" s="51" t="s">
        <v>45</v>
      </c>
      <c r="F1154" s="52" t="s">
        <v>34</v>
      </c>
      <c r="G1154" s="83"/>
      <c r="H1154" s="84"/>
      <c r="I1154" s="85"/>
      <c r="J1154" s="72"/>
      <c r="K1154" s="73"/>
      <c r="L1154" s="72"/>
      <c r="M1154" s="73"/>
      <c r="N1154" s="72"/>
      <c r="O1154" s="73"/>
      <c r="P1154" s="72"/>
      <c r="Q1154" s="73"/>
      <c r="R1154" s="72"/>
      <c r="S1154" s="73"/>
      <c r="T1154" s="72"/>
      <c r="U1154" s="73"/>
      <c r="V1154" s="72"/>
      <c r="W1154" s="73"/>
      <c r="X1154" s="72"/>
      <c r="Y1154" s="73"/>
      <c r="Z1154" s="74" t="b">
        <v>0</v>
      </c>
      <c r="AA1154" s="130">
        <f t="shared" si="457"/>
        <v>0</v>
      </c>
      <c r="AB1154" s="131">
        <f t="shared" si="458"/>
        <v>0</v>
      </c>
      <c r="AC1154" s="132">
        <f t="shared" si="459"/>
        <v>0</v>
      </c>
      <c r="AD1154" s="133">
        <f t="shared" si="460"/>
        <v>0</v>
      </c>
      <c r="AE1154" s="131">
        <f t="shared" si="461"/>
        <v>0</v>
      </c>
      <c r="AF1154" s="133">
        <f t="shared" si="462"/>
        <v>0</v>
      </c>
      <c r="AG1154" s="1"/>
    </row>
    <row r="1155" ht="21.0" customHeight="1">
      <c r="A1155" s="1"/>
      <c r="B1155" s="48" t="s">
        <v>46</v>
      </c>
      <c r="C1155" s="49"/>
      <c r="D1155" s="91">
        <f t="array" ref="D1155">iferror(vlookup(xlookup(B1145,'현황'!O:O,'현황'!O:O,,-1,-1),'현황'!O:S,3,false),0)</f>
        <v>0</v>
      </c>
      <c r="E1155" s="66"/>
      <c r="F1155" s="52" t="s">
        <v>37</v>
      </c>
      <c r="G1155" s="67"/>
      <c r="H1155" s="80"/>
      <c r="I1155" s="69"/>
      <c r="J1155" s="72"/>
      <c r="K1155" s="73"/>
      <c r="L1155" s="72"/>
      <c r="M1155" s="73"/>
      <c r="N1155" s="72"/>
      <c r="O1155" s="73"/>
      <c r="P1155" s="72"/>
      <c r="Q1155" s="73"/>
      <c r="R1155" s="72"/>
      <c r="S1155" s="73"/>
      <c r="T1155" s="72"/>
      <c r="U1155" s="73"/>
      <c r="V1155" s="72"/>
      <c r="W1155" s="73"/>
      <c r="X1155" s="72"/>
      <c r="Y1155" s="73"/>
      <c r="Z1155" s="74" t="b">
        <v>0</v>
      </c>
      <c r="AA1155" s="130">
        <f t="shared" si="457"/>
        <v>0</v>
      </c>
      <c r="AB1155" s="131">
        <f t="shared" si="458"/>
        <v>0</v>
      </c>
      <c r="AC1155" s="132">
        <f t="shared" si="459"/>
        <v>0</v>
      </c>
      <c r="AD1155" s="133">
        <f t="shared" si="460"/>
        <v>0</v>
      </c>
      <c r="AE1155" s="131">
        <f t="shared" si="461"/>
        <v>0</v>
      </c>
      <c r="AF1155" s="133">
        <f t="shared" si="462"/>
        <v>0</v>
      </c>
      <c r="AG1155" s="1"/>
    </row>
    <row r="1156" ht="21.0" customHeight="1">
      <c r="A1156" s="1"/>
      <c r="B1156" s="48" t="s">
        <v>47</v>
      </c>
      <c r="C1156" s="49"/>
      <c r="D1156" s="91">
        <f t="array" ref="D1156">iferror(vlookup(xlookup(B1145,'현황'!O:O,'현황'!O:O,,-1,-1),'현황'!O:S,4,false),0)</f>
        <v>0</v>
      </c>
      <c r="E1156" s="41"/>
      <c r="F1156" s="92" t="s">
        <v>40</v>
      </c>
      <c r="G1156" s="79"/>
      <c r="H1156" s="93"/>
      <c r="I1156" s="94"/>
      <c r="J1156" s="95"/>
      <c r="K1156" s="96"/>
      <c r="L1156" s="95"/>
      <c r="M1156" s="96"/>
      <c r="N1156" s="95"/>
      <c r="O1156" s="96"/>
      <c r="P1156" s="95"/>
      <c r="Q1156" s="96"/>
      <c r="R1156" s="95"/>
      <c r="S1156" s="96"/>
      <c r="T1156" s="95"/>
      <c r="U1156" s="96"/>
      <c r="V1156" s="95"/>
      <c r="W1156" s="96"/>
      <c r="X1156" s="95"/>
      <c r="Y1156" s="96"/>
      <c r="Z1156" s="97" t="b">
        <v>0</v>
      </c>
      <c r="AA1156" s="135">
        <f t="shared" si="457"/>
        <v>0</v>
      </c>
      <c r="AB1156" s="136">
        <f t="shared" si="458"/>
        <v>0</v>
      </c>
      <c r="AC1156" s="137">
        <f t="shared" si="459"/>
        <v>0</v>
      </c>
      <c r="AD1156" s="138">
        <f t="shared" si="460"/>
        <v>0</v>
      </c>
      <c r="AE1156" s="136">
        <f t="shared" si="461"/>
        <v>0</v>
      </c>
      <c r="AF1156" s="138">
        <f t="shared" si="462"/>
        <v>0</v>
      </c>
      <c r="AG1156" s="1"/>
    </row>
    <row r="1157" ht="21.0" customHeight="1">
      <c r="A1157" s="1"/>
      <c r="B1157" s="102" t="s">
        <v>48</v>
      </c>
      <c r="C1157" s="103"/>
      <c r="D1157" s="104">
        <f>iferror(D1156/D1154,0)</f>
        <v>0</v>
      </c>
      <c r="E1157" s="102" t="s">
        <v>49</v>
      </c>
      <c r="F1157" s="103"/>
      <c r="G1157" s="105"/>
      <c r="H1157" s="106" t="s">
        <v>50</v>
      </c>
      <c r="I1157" s="107"/>
      <c r="J1157" s="11"/>
      <c r="K1157" s="11"/>
      <c r="L1157" s="11"/>
      <c r="M1157" s="11"/>
      <c r="N1157" s="11"/>
      <c r="O1157" s="11"/>
      <c r="P1157" s="108" t="s">
        <v>51</v>
      </c>
      <c r="Q1157" s="12"/>
      <c r="R1157" s="109"/>
      <c r="S1157" s="11"/>
      <c r="T1157" s="11"/>
      <c r="U1157" s="11"/>
      <c r="V1157" s="11"/>
      <c r="W1157" s="11"/>
      <c r="X1157" s="11"/>
      <c r="Y1157" s="11"/>
      <c r="Z1157" s="12"/>
      <c r="AA1157" s="139">
        <f>SUM(AA1148:AA1156)</f>
        <v>0</v>
      </c>
      <c r="AB1157" s="140" t="s">
        <v>251</v>
      </c>
      <c r="AG1157" s="1"/>
    </row>
    <row r="1158" ht="21.0" customHeight="1">
      <c r="A1158" s="1"/>
      <c r="B1158" s="1"/>
      <c r="C1158" s="1"/>
      <c r="D1158" s="1"/>
      <c r="E1158" s="1"/>
      <c r="F1158" s="1"/>
      <c r="G1158" s="1"/>
      <c r="H1158" s="1"/>
      <c r="I1158" s="1"/>
      <c r="AA1158" s="1"/>
      <c r="AB1158" s="1"/>
      <c r="AC1158" s="3"/>
      <c r="AD1158" s="1"/>
      <c r="AE1158" s="1"/>
      <c r="AF1158" s="1"/>
      <c r="AG1158" s="1"/>
    </row>
    <row r="1159" ht="21.0" customHeight="1">
      <c r="A1159" s="1"/>
      <c r="B1159" s="4" t="s">
        <v>1</v>
      </c>
      <c r="C1159" s="5"/>
      <c r="D1159" s="6" t="s">
        <v>2</v>
      </c>
      <c r="E1159" s="7"/>
      <c r="F1159" s="7"/>
      <c r="G1159" s="5"/>
      <c r="H1159" s="8" t="s">
        <v>3</v>
      </c>
      <c r="I1159" s="8" t="s">
        <v>4</v>
      </c>
      <c r="J1159" s="9" t="s">
        <v>5</v>
      </c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5"/>
      <c r="AA1159" s="117" t="s">
        <v>6</v>
      </c>
      <c r="AB1159" s="11"/>
      <c r="AC1159" s="11"/>
      <c r="AD1159" s="11"/>
      <c r="AE1159" s="11"/>
      <c r="AF1159" s="12"/>
      <c r="AG1159" s="1"/>
    </row>
    <row r="1160" ht="21.0" customHeight="1">
      <c r="A1160" s="1"/>
      <c r="B1160" s="149" t="s">
        <v>138</v>
      </c>
      <c r="C1160" s="14" t="str">
        <f>if(B1160="0/0","",choose(weekday(B1160),"(일)","(월)","(화)","(수)","(목)","(금)","(토)"))</f>
        <v/>
      </c>
      <c r="D1160" s="15" t="s">
        <v>7</v>
      </c>
      <c r="E1160" s="16" t="s">
        <v>8</v>
      </c>
      <c r="F1160" s="17"/>
      <c r="G1160" s="18" t="s">
        <v>9</v>
      </c>
      <c r="H1160" s="150" t="s">
        <v>139</v>
      </c>
      <c r="I1160" s="151"/>
      <c r="J1160" s="21" t="s">
        <v>12</v>
      </c>
      <c r="K1160" s="22"/>
      <c r="L1160" s="21" t="s">
        <v>13</v>
      </c>
      <c r="M1160" s="22"/>
      <c r="N1160" s="21" t="s">
        <v>14</v>
      </c>
      <c r="O1160" s="22"/>
      <c r="P1160" s="21" t="s">
        <v>15</v>
      </c>
      <c r="Q1160" s="22"/>
      <c r="R1160" s="23" t="s">
        <v>16</v>
      </c>
      <c r="S1160" s="22"/>
      <c r="T1160" s="23" t="s">
        <v>17</v>
      </c>
      <c r="U1160" s="22"/>
      <c r="V1160" s="23" t="s">
        <v>18</v>
      </c>
      <c r="W1160" s="22"/>
      <c r="X1160" s="23" t="s">
        <v>19</v>
      </c>
      <c r="Y1160" s="22"/>
      <c r="Z1160" s="24" t="s">
        <v>252</v>
      </c>
      <c r="AA1160" s="118" t="s">
        <v>21</v>
      </c>
      <c r="AB1160" s="119" t="s">
        <v>22</v>
      </c>
      <c r="AC1160" s="7"/>
      <c r="AD1160" s="22"/>
      <c r="AE1160" s="120" t="s">
        <v>23</v>
      </c>
      <c r="AF1160" s="22"/>
      <c r="AG1160" s="1"/>
    </row>
    <row r="1161" ht="21.0" customHeight="1">
      <c r="A1161" s="1"/>
      <c r="B1161" s="27">
        <f>iferror(B1160-'현황'!$C$4+1,0)</f>
        <v>0</v>
      </c>
      <c r="C1161" s="28"/>
      <c r="D1161" s="29">
        <v>0.0</v>
      </c>
      <c r="E1161" s="30">
        <v>0.0</v>
      </c>
      <c r="F1161" s="31"/>
      <c r="G1161" s="32">
        <v>0.0</v>
      </c>
      <c r="H1161" s="33">
        <v>0.0</v>
      </c>
      <c r="I1161" s="34"/>
      <c r="J1161" s="35"/>
      <c r="K1161" s="36"/>
      <c r="L1161" s="35"/>
      <c r="M1161" s="36"/>
      <c r="N1161" s="35"/>
      <c r="O1161" s="36"/>
      <c r="P1161" s="35"/>
      <c r="Q1161" s="36"/>
      <c r="R1161" s="35"/>
      <c r="S1161" s="36"/>
      <c r="T1161" s="35"/>
      <c r="U1161" s="36"/>
      <c r="V1161" s="35"/>
      <c r="W1161" s="36"/>
      <c r="X1161" s="35"/>
      <c r="Y1161" s="36"/>
      <c r="Z1161" s="37"/>
      <c r="AA1161" s="37"/>
      <c r="AB1161" s="35"/>
      <c r="AC1161" s="38"/>
      <c r="AD1161" s="36"/>
      <c r="AE1161" s="35"/>
      <c r="AF1161" s="36"/>
      <c r="AG1161" s="1"/>
    </row>
    <row r="1162" ht="21.0" customHeight="1">
      <c r="A1162" s="1"/>
      <c r="B1162" s="39" t="s">
        <v>24</v>
      </c>
      <c r="C1162" s="40"/>
      <c r="D1162" s="41"/>
      <c r="E1162" s="42" t="s">
        <v>25</v>
      </c>
      <c r="F1162" s="40"/>
      <c r="G1162" s="41"/>
      <c r="H1162" s="43" t="s">
        <v>26</v>
      </c>
      <c r="J1162" s="44" t="s">
        <v>27</v>
      </c>
      <c r="K1162" s="45" t="s">
        <v>28</v>
      </c>
      <c r="L1162" s="44" t="s">
        <v>27</v>
      </c>
      <c r="M1162" s="45" t="s">
        <v>28</v>
      </c>
      <c r="N1162" s="44" t="s">
        <v>27</v>
      </c>
      <c r="O1162" s="45" t="s">
        <v>28</v>
      </c>
      <c r="P1162" s="44" t="s">
        <v>27</v>
      </c>
      <c r="Q1162" s="45" t="s">
        <v>28</v>
      </c>
      <c r="R1162" s="44" t="s">
        <v>27</v>
      </c>
      <c r="S1162" s="45" t="s">
        <v>28</v>
      </c>
      <c r="T1162" s="44" t="s">
        <v>27</v>
      </c>
      <c r="U1162" s="45" t="s">
        <v>28</v>
      </c>
      <c r="V1162" s="44" t="s">
        <v>27</v>
      </c>
      <c r="W1162" s="45" t="s">
        <v>28</v>
      </c>
      <c r="X1162" s="44" t="s">
        <v>27</v>
      </c>
      <c r="Y1162" s="45" t="s">
        <v>28</v>
      </c>
      <c r="Z1162" s="46"/>
      <c r="AA1162" s="46"/>
      <c r="AB1162" s="121" t="s">
        <v>29</v>
      </c>
      <c r="AC1162" s="122" t="s">
        <v>30</v>
      </c>
      <c r="AD1162" s="123" t="s">
        <v>31</v>
      </c>
      <c r="AE1162" s="121" t="s">
        <v>27</v>
      </c>
      <c r="AF1162" s="123" t="s">
        <v>28</v>
      </c>
      <c r="AG1162" s="1"/>
    </row>
    <row r="1163" ht="21.0" customHeight="1">
      <c r="A1163" s="1"/>
      <c r="B1163" s="48" t="s">
        <v>32</v>
      </c>
      <c r="C1163" s="49"/>
      <c r="D1163" s="50"/>
      <c r="E1163" s="51" t="s">
        <v>33</v>
      </c>
      <c r="F1163" s="52" t="s">
        <v>34</v>
      </c>
      <c r="G1163" s="53"/>
      <c r="H1163" s="148"/>
      <c r="I1163" s="55"/>
      <c r="J1163" s="58"/>
      <c r="K1163" s="59"/>
      <c r="L1163" s="58"/>
      <c r="M1163" s="59"/>
      <c r="N1163" s="58"/>
      <c r="O1163" s="59"/>
      <c r="P1163" s="58"/>
      <c r="Q1163" s="59"/>
      <c r="R1163" s="58"/>
      <c r="S1163" s="59"/>
      <c r="T1163" s="58"/>
      <c r="U1163" s="59"/>
      <c r="V1163" s="58"/>
      <c r="W1163" s="59"/>
      <c r="X1163" s="58"/>
      <c r="Y1163" s="59"/>
      <c r="Z1163" s="60" t="b">
        <v>0</v>
      </c>
      <c r="AA1163" s="125">
        <f t="shared" ref="AA1163:AA1171" si="463">(J1163*K1163+L1163*M1163+N1163*O1163+P1163*Q1163+R1163*S1163+T1163*U1163+V1163*W1163+X1163*Y1163)*if(Z1163=true,0.453592,1)</f>
        <v>0</v>
      </c>
      <c r="AB1163" s="126">
        <f t="shared" ref="AB1163:AB1171" si="464">SUM(AE1163*AF1163*0.025,AE1163)</f>
        <v>0</v>
      </c>
      <c r="AC1163" s="127">
        <f t="shared" ref="AC1163:AC1171" si="465">AB1163*87%</f>
        <v>0</v>
      </c>
      <c r="AD1163" s="128">
        <f t="shared" ref="AD1163:AD1171" si="466">AB1163*67%</f>
        <v>0</v>
      </c>
      <c r="AE1163" s="126">
        <f t="shared" ref="AE1163:AE1171" si="467">MAX(J1163,L1163,N1163,P1163,R1163,T1163,V1163,X1163)*if(Z1163=true,0.453592,1)</f>
        <v>0</v>
      </c>
      <c r="AF1163" s="128">
        <f t="shared" ref="AF1163:AF1171" si="468">MAX(IF(J1163*if(Z1163=true,0.453592,1)=$AE1163,K1163,0),IF(L1163*if(Z1163=true,0.453592,1)=$AE1163,M1163,0),IF(N1163*if(Z1163=true,0.453592,1)=$AE1163,O1163,0),IF(P1163*if(Z1163=true,0.453592,1)=$AE1163,Q1163,0),IF(R1163*if(Z1163=true,0.453592,1)=$AE1163,S1163,0),IF(T1163*if(Z1163=true,0.453592,1)=$AE1163,U1163,0),IF(V1163*if(Z1163=true,0.453592,1)=$AE1163,W1163,0),IF(X1163*if(Z1163=true,0.453592,1)=$AE1163,Y1163,0))</f>
        <v>0</v>
      </c>
      <c r="AG1163" s="1"/>
    </row>
    <row r="1164" ht="21.0" customHeight="1">
      <c r="A1164" s="1"/>
      <c r="B1164" s="48" t="s">
        <v>36</v>
      </c>
      <c r="C1164" s="49"/>
      <c r="D1164" s="65"/>
      <c r="E1164" s="66"/>
      <c r="F1164" s="52" t="s">
        <v>37</v>
      </c>
      <c r="G1164" s="67"/>
      <c r="H1164" s="129"/>
      <c r="I1164" s="69"/>
      <c r="J1164" s="72"/>
      <c r="K1164" s="73"/>
      <c r="L1164" s="72"/>
      <c r="M1164" s="73"/>
      <c r="N1164" s="72"/>
      <c r="O1164" s="73"/>
      <c r="P1164" s="72"/>
      <c r="Q1164" s="73"/>
      <c r="R1164" s="72"/>
      <c r="S1164" s="73"/>
      <c r="T1164" s="72"/>
      <c r="U1164" s="73"/>
      <c r="V1164" s="72"/>
      <c r="W1164" s="73"/>
      <c r="X1164" s="72"/>
      <c r="Y1164" s="73"/>
      <c r="Z1164" s="74" t="b">
        <v>0</v>
      </c>
      <c r="AA1164" s="130">
        <f t="shared" si="463"/>
        <v>0</v>
      </c>
      <c r="AB1164" s="131">
        <f t="shared" si="464"/>
        <v>0</v>
      </c>
      <c r="AC1164" s="132">
        <f t="shared" si="465"/>
        <v>0</v>
      </c>
      <c r="AD1164" s="133">
        <f t="shared" si="466"/>
        <v>0</v>
      </c>
      <c r="AE1164" s="131">
        <f t="shared" si="467"/>
        <v>0</v>
      </c>
      <c r="AF1164" s="133">
        <f t="shared" si="468"/>
        <v>0</v>
      </c>
      <c r="AG1164" s="1"/>
    </row>
    <row r="1165" ht="21.0" customHeight="1">
      <c r="A1165" s="1"/>
      <c r="B1165" s="48" t="s">
        <v>39</v>
      </c>
      <c r="C1165" s="49"/>
      <c r="D1165" s="65"/>
      <c r="E1165" s="41"/>
      <c r="F1165" s="52" t="s">
        <v>40</v>
      </c>
      <c r="G1165" s="79"/>
      <c r="H1165" s="80"/>
      <c r="I1165" s="69"/>
      <c r="J1165" s="72"/>
      <c r="K1165" s="73"/>
      <c r="L1165" s="72"/>
      <c r="M1165" s="73"/>
      <c r="N1165" s="72"/>
      <c r="O1165" s="73"/>
      <c r="P1165" s="72"/>
      <c r="Q1165" s="73"/>
      <c r="R1165" s="72"/>
      <c r="S1165" s="73"/>
      <c r="T1165" s="72"/>
      <c r="U1165" s="73"/>
      <c r="V1165" s="72"/>
      <c r="W1165" s="73"/>
      <c r="X1165" s="72"/>
      <c r="Y1165" s="73"/>
      <c r="Z1165" s="74" t="b">
        <v>0</v>
      </c>
      <c r="AA1165" s="130">
        <f t="shared" si="463"/>
        <v>0</v>
      </c>
      <c r="AB1165" s="131">
        <f t="shared" si="464"/>
        <v>0</v>
      </c>
      <c r="AC1165" s="132">
        <f t="shared" si="465"/>
        <v>0</v>
      </c>
      <c r="AD1165" s="133">
        <f t="shared" si="466"/>
        <v>0</v>
      </c>
      <c r="AE1165" s="131">
        <f t="shared" si="467"/>
        <v>0</v>
      </c>
      <c r="AF1165" s="133">
        <f t="shared" si="468"/>
        <v>0</v>
      </c>
      <c r="AG1165" s="1"/>
    </row>
    <row r="1166" ht="21.0" customHeight="1">
      <c r="A1166" s="1"/>
      <c r="B1166" s="48" t="s">
        <v>41</v>
      </c>
      <c r="C1166" s="81"/>
      <c r="D1166" s="82" t="b">
        <v>0</v>
      </c>
      <c r="E1166" s="51" t="s">
        <v>42</v>
      </c>
      <c r="F1166" s="52" t="s">
        <v>34</v>
      </c>
      <c r="G1166" s="83"/>
      <c r="H1166" s="84"/>
      <c r="I1166" s="85"/>
      <c r="J1166" s="72"/>
      <c r="K1166" s="73"/>
      <c r="L1166" s="72"/>
      <c r="M1166" s="73"/>
      <c r="N1166" s="72"/>
      <c r="O1166" s="73"/>
      <c r="P1166" s="72"/>
      <c r="Q1166" s="73"/>
      <c r="R1166" s="72"/>
      <c r="S1166" s="73"/>
      <c r="T1166" s="72"/>
      <c r="U1166" s="73"/>
      <c r="V1166" s="72"/>
      <c r="W1166" s="73"/>
      <c r="X1166" s="72"/>
      <c r="Y1166" s="73"/>
      <c r="Z1166" s="74" t="b">
        <v>0</v>
      </c>
      <c r="AA1166" s="130">
        <f t="shared" si="463"/>
        <v>0</v>
      </c>
      <c r="AB1166" s="131">
        <f t="shared" si="464"/>
        <v>0</v>
      </c>
      <c r="AC1166" s="132">
        <f t="shared" si="465"/>
        <v>0</v>
      </c>
      <c r="AD1166" s="133">
        <f t="shared" si="466"/>
        <v>0</v>
      </c>
      <c r="AE1166" s="131">
        <f t="shared" si="467"/>
        <v>0</v>
      </c>
      <c r="AF1166" s="133">
        <f t="shared" si="468"/>
        <v>0</v>
      </c>
      <c r="AG1166" s="1"/>
    </row>
    <row r="1167" ht="21.0" customHeight="1">
      <c r="A1167" s="1"/>
      <c r="B1167" s="48" t="s">
        <v>43</v>
      </c>
      <c r="C1167" s="49"/>
      <c r="D1167" s="86" t="b">
        <v>0</v>
      </c>
      <c r="E1167" s="66"/>
      <c r="F1167" s="52" t="s">
        <v>37</v>
      </c>
      <c r="G1167" s="67"/>
      <c r="H1167" s="80"/>
      <c r="I1167" s="69"/>
      <c r="J1167" s="72"/>
      <c r="K1167" s="73"/>
      <c r="L1167" s="72"/>
      <c r="M1167" s="73"/>
      <c r="N1167" s="72"/>
      <c r="O1167" s="73"/>
      <c r="P1167" s="72"/>
      <c r="Q1167" s="73"/>
      <c r="R1167" s="72"/>
      <c r="S1167" s="73"/>
      <c r="T1167" s="72"/>
      <c r="U1167" s="73"/>
      <c r="V1167" s="72"/>
      <c r="W1167" s="73"/>
      <c r="X1167" s="72"/>
      <c r="Y1167" s="73"/>
      <c r="Z1167" s="74" t="b">
        <v>0</v>
      </c>
      <c r="AA1167" s="130">
        <f t="shared" si="463"/>
        <v>0</v>
      </c>
      <c r="AB1167" s="131">
        <f t="shared" si="464"/>
        <v>0</v>
      </c>
      <c r="AC1167" s="132">
        <f t="shared" si="465"/>
        <v>0</v>
      </c>
      <c r="AD1167" s="133">
        <f t="shared" si="466"/>
        <v>0</v>
      </c>
      <c r="AE1167" s="131">
        <f t="shared" si="467"/>
        <v>0</v>
      </c>
      <c r="AF1167" s="133">
        <f t="shared" si="468"/>
        <v>0</v>
      </c>
      <c r="AG1167" s="1"/>
    </row>
    <row r="1168" ht="21.0" customHeight="1">
      <c r="A1168" s="1"/>
      <c r="B1168" s="87" t="str">
        <f t="array" ref="B1168">"📌최근 인바디 결과 : "&amp;text(xlookup(B1160,'현황'!O:O,'현황'!O:O,,-1,-1),"m/d(ddd)")</f>
        <v>#REF!</v>
      </c>
      <c r="C1168" s="88"/>
      <c r="D1168" s="49"/>
      <c r="E1168" s="41"/>
      <c r="F1168" s="52" t="s">
        <v>40</v>
      </c>
      <c r="G1168" s="79"/>
      <c r="H1168" s="80"/>
      <c r="I1168" s="69"/>
      <c r="J1168" s="72"/>
      <c r="K1168" s="73"/>
      <c r="L1168" s="72"/>
      <c r="M1168" s="73"/>
      <c r="N1168" s="72"/>
      <c r="O1168" s="73"/>
      <c r="P1168" s="72"/>
      <c r="Q1168" s="73"/>
      <c r="R1168" s="72"/>
      <c r="S1168" s="73"/>
      <c r="T1168" s="72"/>
      <c r="U1168" s="73"/>
      <c r="V1168" s="72"/>
      <c r="W1168" s="73"/>
      <c r="X1168" s="72"/>
      <c r="Y1168" s="73"/>
      <c r="Z1168" s="74" t="b">
        <v>0</v>
      </c>
      <c r="AA1168" s="130">
        <f t="shared" si="463"/>
        <v>0</v>
      </c>
      <c r="AB1168" s="131">
        <f t="shared" si="464"/>
        <v>0</v>
      </c>
      <c r="AC1168" s="132">
        <f t="shared" si="465"/>
        <v>0</v>
      </c>
      <c r="AD1168" s="133">
        <f t="shared" si="466"/>
        <v>0</v>
      </c>
      <c r="AE1168" s="131">
        <f t="shared" si="467"/>
        <v>0</v>
      </c>
      <c r="AF1168" s="133">
        <f t="shared" si="468"/>
        <v>0</v>
      </c>
      <c r="AG1168" s="1"/>
    </row>
    <row r="1169" ht="21.0" customHeight="1">
      <c r="A1169" s="1"/>
      <c r="B1169" s="89" t="s">
        <v>44</v>
      </c>
      <c r="C1169" s="49"/>
      <c r="D1169" s="90">
        <f t="array" ref="D1169">iferror(vlookup(xlookup(B1160,'현황'!O:O,'현황'!O:O,,-1,-1),'현황'!O:S,2,false),0)</f>
        <v>0</v>
      </c>
      <c r="E1169" s="51" t="s">
        <v>45</v>
      </c>
      <c r="F1169" s="52" t="s">
        <v>34</v>
      </c>
      <c r="G1169" s="83"/>
      <c r="H1169" s="84"/>
      <c r="I1169" s="85"/>
      <c r="J1169" s="72"/>
      <c r="K1169" s="73"/>
      <c r="L1169" s="72"/>
      <c r="M1169" s="73"/>
      <c r="N1169" s="72"/>
      <c r="O1169" s="73"/>
      <c r="P1169" s="72"/>
      <c r="Q1169" s="73"/>
      <c r="R1169" s="72"/>
      <c r="S1169" s="73"/>
      <c r="T1169" s="72"/>
      <c r="U1169" s="73"/>
      <c r="V1169" s="72"/>
      <c r="W1169" s="73"/>
      <c r="X1169" s="72"/>
      <c r="Y1169" s="73"/>
      <c r="Z1169" s="74" t="b">
        <v>0</v>
      </c>
      <c r="AA1169" s="130">
        <f t="shared" si="463"/>
        <v>0</v>
      </c>
      <c r="AB1169" s="131">
        <f t="shared" si="464"/>
        <v>0</v>
      </c>
      <c r="AC1169" s="132">
        <f t="shared" si="465"/>
        <v>0</v>
      </c>
      <c r="AD1169" s="133">
        <f t="shared" si="466"/>
        <v>0</v>
      </c>
      <c r="AE1169" s="131">
        <f t="shared" si="467"/>
        <v>0</v>
      </c>
      <c r="AF1169" s="133">
        <f t="shared" si="468"/>
        <v>0</v>
      </c>
      <c r="AG1169" s="1"/>
    </row>
    <row r="1170" ht="21.0" customHeight="1">
      <c r="A1170" s="1"/>
      <c r="B1170" s="48" t="s">
        <v>46</v>
      </c>
      <c r="C1170" s="49"/>
      <c r="D1170" s="91">
        <f t="array" ref="D1170">iferror(vlookup(xlookup(B1160,'현황'!O:O,'현황'!O:O,,-1,-1),'현황'!O:S,3,false),0)</f>
        <v>0</v>
      </c>
      <c r="E1170" s="66"/>
      <c r="F1170" s="52" t="s">
        <v>37</v>
      </c>
      <c r="G1170" s="67"/>
      <c r="H1170" s="80"/>
      <c r="I1170" s="69"/>
      <c r="J1170" s="72"/>
      <c r="K1170" s="73"/>
      <c r="L1170" s="72"/>
      <c r="M1170" s="73"/>
      <c r="N1170" s="72"/>
      <c r="O1170" s="73"/>
      <c r="P1170" s="72"/>
      <c r="Q1170" s="73"/>
      <c r="R1170" s="72"/>
      <c r="S1170" s="73"/>
      <c r="T1170" s="72"/>
      <c r="U1170" s="73"/>
      <c r="V1170" s="72"/>
      <c r="W1170" s="73"/>
      <c r="X1170" s="72"/>
      <c r="Y1170" s="73"/>
      <c r="Z1170" s="74" t="b">
        <v>0</v>
      </c>
      <c r="AA1170" s="130">
        <f t="shared" si="463"/>
        <v>0</v>
      </c>
      <c r="AB1170" s="131">
        <f t="shared" si="464"/>
        <v>0</v>
      </c>
      <c r="AC1170" s="132">
        <f t="shared" si="465"/>
        <v>0</v>
      </c>
      <c r="AD1170" s="133">
        <f t="shared" si="466"/>
        <v>0</v>
      </c>
      <c r="AE1170" s="131">
        <f t="shared" si="467"/>
        <v>0</v>
      </c>
      <c r="AF1170" s="133">
        <f t="shared" si="468"/>
        <v>0</v>
      </c>
      <c r="AG1170" s="1"/>
    </row>
    <row r="1171" ht="21.0" customHeight="1">
      <c r="A1171" s="1"/>
      <c r="B1171" s="48" t="s">
        <v>47</v>
      </c>
      <c r="C1171" s="49"/>
      <c r="D1171" s="91">
        <f t="array" ref="D1171">iferror(vlookup(xlookup(B1160,'현황'!O:O,'현황'!O:O,,-1,-1),'현황'!O:S,4,false),0)</f>
        <v>0</v>
      </c>
      <c r="E1171" s="41"/>
      <c r="F1171" s="92" t="s">
        <v>40</v>
      </c>
      <c r="G1171" s="79"/>
      <c r="H1171" s="93"/>
      <c r="I1171" s="94"/>
      <c r="J1171" s="95"/>
      <c r="K1171" s="96"/>
      <c r="L1171" s="95"/>
      <c r="M1171" s="96"/>
      <c r="N1171" s="95"/>
      <c r="O1171" s="96"/>
      <c r="P1171" s="95"/>
      <c r="Q1171" s="96"/>
      <c r="R1171" s="95"/>
      <c r="S1171" s="96"/>
      <c r="T1171" s="95"/>
      <c r="U1171" s="96"/>
      <c r="V1171" s="95"/>
      <c r="W1171" s="96"/>
      <c r="X1171" s="95"/>
      <c r="Y1171" s="96"/>
      <c r="Z1171" s="97" t="b">
        <v>0</v>
      </c>
      <c r="AA1171" s="135">
        <f t="shared" si="463"/>
        <v>0</v>
      </c>
      <c r="AB1171" s="136">
        <f t="shared" si="464"/>
        <v>0</v>
      </c>
      <c r="AC1171" s="137">
        <f t="shared" si="465"/>
        <v>0</v>
      </c>
      <c r="AD1171" s="138">
        <f t="shared" si="466"/>
        <v>0</v>
      </c>
      <c r="AE1171" s="136">
        <f t="shared" si="467"/>
        <v>0</v>
      </c>
      <c r="AF1171" s="138">
        <f t="shared" si="468"/>
        <v>0</v>
      </c>
      <c r="AG1171" s="1"/>
    </row>
    <row r="1172" ht="21.0" customHeight="1">
      <c r="A1172" s="1"/>
      <c r="B1172" s="102" t="s">
        <v>48</v>
      </c>
      <c r="C1172" s="103"/>
      <c r="D1172" s="104">
        <f>iferror(D1171/D1169,0)</f>
        <v>0</v>
      </c>
      <c r="E1172" s="102" t="s">
        <v>49</v>
      </c>
      <c r="F1172" s="103"/>
      <c r="G1172" s="105"/>
      <c r="H1172" s="106" t="s">
        <v>50</v>
      </c>
      <c r="I1172" s="107"/>
      <c r="J1172" s="11"/>
      <c r="K1172" s="11"/>
      <c r="L1172" s="11"/>
      <c r="M1172" s="11"/>
      <c r="N1172" s="11"/>
      <c r="O1172" s="11"/>
      <c r="P1172" s="108" t="s">
        <v>51</v>
      </c>
      <c r="Q1172" s="12"/>
      <c r="R1172" s="109"/>
      <c r="S1172" s="11"/>
      <c r="T1172" s="11"/>
      <c r="U1172" s="11"/>
      <c r="V1172" s="11"/>
      <c r="W1172" s="11"/>
      <c r="X1172" s="11"/>
      <c r="Y1172" s="11"/>
      <c r="Z1172" s="12"/>
      <c r="AA1172" s="139">
        <f>SUM(AA1163:AA1171)</f>
        <v>0</v>
      </c>
      <c r="AB1172" s="140" t="s">
        <v>253</v>
      </c>
      <c r="AG1172" s="1"/>
    </row>
    <row r="1173" ht="21.0" customHeight="1">
      <c r="A1173" s="1"/>
      <c r="B1173" s="1"/>
      <c r="C1173" s="1"/>
      <c r="D1173" s="1"/>
      <c r="E1173" s="1"/>
      <c r="F1173" s="1"/>
      <c r="G1173" s="1"/>
      <c r="H1173" s="1"/>
      <c r="I1173" s="1"/>
      <c r="AA1173" s="1"/>
      <c r="AB1173" s="1"/>
      <c r="AC1173" s="3"/>
      <c r="AD1173" s="1"/>
      <c r="AE1173" s="1"/>
      <c r="AF1173" s="1"/>
      <c r="AG1173" s="1"/>
    </row>
    <row r="1174" ht="21.0" customHeight="1">
      <c r="A1174" s="1"/>
      <c r="B1174" s="4" t="s">
        <v>1</v>
      </c>
      <c r="C1174" s="5"/>
      <c r="D1174" s="6" t="s">
        <v>2</v>
      </c>
      <c r="E1174" s="7"/>
      <c r="F1174" s="7"/>
      <c r="G1174" s="5"/>
      <c r="H1174" s="8" t="s">
        <v>3</v>
      </c>
      <c r="I1174" s="8" t="s">
        <v>4</v>
      </c>
      <c r="J1174" s="9" t="s">
        <v>5</v>
      </c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5"/>
      <c r="AA1174" s="117" t="s">
        <v>6</v>
      </c>
      <c r="AB1174" s="11"/>
      <c r="AC1174" s="11"/>
      <c r="AD1174" s="11"/>
      <c r="AE1174" s="11"/>
      <c r="AF1174" s="12"/>
      <c r="AG1174" s="1"/>
    </row>
    <row r="1175" ht="21.0" customHeight="1">
      <c r="A1175" s="1"/>
      <c r="B1175" s="149" t="s">
        <v>138</v>
      </c>
      <c r="C1175" s="14" t="str">
        <f>if(B1175="0/0","",choose(weekday(B1175),"(일)","(월)","(화)","(수)","(목)","(금)","(토)"))</f>
        <v/>
      </c>
      <c r="D1175" s="15" t="s">
        <v>7</v>
      </c>
      <c r="E1175" s="16" t="s">
        <v>8</v>
      </c>
      <c r="F1175" s="17"/>
      <c r="G1175" s="18" t="s">
        <v>9</v>
      </c>
      <c r="H1175" s="150" t="s">
        <v>139</v>
      </c>
      <c r="I1175" s="151"/>
      <c r="J1175" s="21" t="s">
        <v>12</v>
      </c>
      <c r="K1175" s="22"/>
      <c r="L1175" s="21" t="s">
        <v>13</v>
      </c>
      <c r="M1175" s="22"/>
      <c r="N1175" s="21" t="s">
        <v>14</v>
      </c>
      <c r="O1175" s="22"/>
      <c r="P1175" s="21" t="s">
        <v>15</v>
      </c>
      <c r="Q1175" s="22"/>
      <c r="R1175" s="23" t="s">
        <v>16</v>
      </c>
      <c r="S1175" s="22"/>
      <c r="T1175" s="23" t="s">
        <v>17</v>
      </c>
      <c r="U1175" s="22"/>
      <c r="V1175" s="23" t="s">
        <v>18</v>
      </c>
      <c r="W1175" s="22"/>
      <c r="X1175" s="23" t="s">
        <v>19</v>
      </c>
      <c r="Y1175" s="22"/>
      <c r="Z1175" s="24" t="s">
        <v>254</v>
      </c>
      <c r="AA1175" s="118" t="s">
        <v>21</v>
      </c>
      <c r="AB1175" s="119" t="s">
        <v>22</v>
      </c>
      <c r="AC1175" s="7"/>
      <c r="AD1175" s="22"/>
      <c r="AE1175" s="120" t="s">
        <v>23</v>
      </c>
      <c r="AF1175" s="22"/>
      <c r="AG1175" s="1"/>
    </row>
    <row r="1176" ht="21.0" customHeight="1">
      <c r="A1176" s="1"/>
      <c r="B1176" s="27">
        <f>iferror(B1175-'현황'!$C$4+1,0)</f>
        <v>0</v>
      </c>
      <c r="C1176" s="28"/>
      <c r="D1176" s="29">
        <v>0.0</v>
      </c>
      <c r="E1176" s="30">
        <v>0.0</v>
      </c>
      <c r="F1176" s="31"/>
      <c r="G1176" s="32">
        <v>0.0</v>
      </c>
      <c r="H1176" s="33">
        <v>0.0</v>
      </c>
      <c r="I1176" s="34"/>
      <c r="J1176" s="35"/>
      <c r="K1176" s="36"/>
      <c r="L1176" s="35"/>
      <c r="M1176" s="36"/>
      <c r="N1176" s="35"/>
      <c r="O1176" s="36"/>
      <c r="P1176" s="35"/>
      <c r="Q1176" s="36"/>
      <c r="R1176" s="35"/>
      <c r="S1176" s="36"/>
      <c r="T1176" s="35"/>
      <c r="U1176" s="36"/>
      <c r="V1176" s="35"/>
      <c r="W1176" s="36"/>
      <c r="X1176" s="35"/>
      <c r="Y1176" s="36"/>
      <c r="Z1176" s="37"/>
      <c r="AA1176" s="37"/>
      <c r="AB1176" s="35"/>
      <c r="AC1176" s="38"/>
      <c r="AD1176" s="36"/>
      <c r="AE1176" s="35"/>
      <c r="AF1176" s="36"/>
      <c r="AG1176" s="1"/>
    </row>
    <row r="1177" ht="21.0" customHeight="1">
      <c r="A1177" s="1"/>
      <c r="B1177" s="39" t="s">
        <v>24</v>
      </c>
      <c r="C1177" s="40"/>
      <c r="D1177" s="41"/>
      <c r="E1177" s="42" t="s">
        <v>25</v>
      </c>
      <c r="F1177" s="40"/>
      <c r="G1177" s="41"/>
      <c r="H1177" s="43" t="s">
        <v>26</v>
      </c>
      <c r="J1177" s="44" t="s">
        <v>27</v>
      </c>
      <c r="K1177" s="45" t="s">
        <v>28</v>
      </c>
      <c r="L1177" s="44" t="s">
        <v>27</v>
      </c>
      <c r="M1177" s="45" t="s">
        <v>28</v>
      </c>
      <c r="N1177" s="44" t="s">
        <v>27</v>
      </c>
      <c r="O1177" s="45" t="s">
        <v>28</v>
      </c>
      <c r="P1177" s="44" t="s">
        <v>27</v>
      </c>
      <c r="Q1177" s="45" t="s">
        <v>28</v>
      </c>
      <c r="R1177" s="44" t="s">
        <v>27</v>
      </c>
      <c r="S1177" s="45" t="s">
        <v>28</v>
      </c>
      <c r="T1177" s="44" t="s">
        <v>27</v>
      </c>
      <c r="U1177" s="45" t="s">
        <v>28</v>
      </c>
      <c r="V1177" s="44" t="s">
        <v>27</v>
      </c>
      <c r="W1177" s="45" t="s">
        <v>28</v>
      </c>
      <c r="X1177" s="44" t="s">
        <v>27</v>
      </c>
      <c r="Y1177" s="45" t="s">
        <v>28</v>
      </c>
      <c r="Z1177" s="46"/>
      <c r="AA1177" s="46"/>
      <c r="AB1177" s="121" t="s">
        <v>29</v>
      </c>
      <c r="AC1177" s="122" t="s">
        <v>30</v>
      </c>
      <c r="AD1177" s="123" t="s">
        <v>31</v>
      </c>
      <c r="AE1177" s="121" t="s">
        <v>27</v>
      </c>
      <c r="AF1177" s="123" t="s">
        <v>28</v>
      </c>
      <c r="AG1177" s="1"/>
    </row>
    <row r="1178" ht="21.0" customHeight="1">
      <c r="A1178" s="1"/>
      <c r="B1178" s="48" t="s">
        <v>32</v>
      </c>
      <c r="C1178" s="49"/>
      <c r="D1178" s="50"/>
      <c r="E1178" s="51" t="s">
        <v>33</v>
      </c>
      <c r="F1178" s="52" t="s">
        <v>34</v>
      </c>
      <c r="G1178" s="53"/>
      <c r="H1178" s="148"/>
      <c r="I1178" s="55"/>
      <c r="J1178" s="58"/>
      <c r="K1178" s="59"/>
      <c r="L1178" s="58"/>
      <c r="M1178" s="59"/>
      <c r="N1178" s="58"/>
      <c r="O1178" s="59"/>
      <c r="P1178" s="58"/>
      <c r="Q1178" s="59"/>
      <c r="R1178" s="58"/>
      <c r="S1178" s="59"/>
      <c r="T1178" s="58"/>
      <c r="U1178" s="59"/>
      <c r="V1178" s="58"/>
      <c r="W1178" s="59"/>
      <c r="X1178" s="58"/>
      <c r="Y1178" s="59"/>
      <c r="Z1178" s="60" t="b">
        <v>0</v>
      </c>
      <c r="AA1178" s="125">
        <f t="shared" ref="AA1178:AA1186" si="469">(J1178*K1178+L1178*M1178+N1178*O1178+P1178*Q1178+R1178*S1178+T1178*U1178+V1178*W1178+X1178*Y1178)*if(Z1178=true,0.453592,1)</f>
        <v>0</v>
      </c>
      <c r="AB1178" s="126">
        <f t="shared" ref="AB1178:AB1186" si="470">SUM(AE1178*AF1178*0.025,AE1178)</f>
        <v>0</v>
      </c>
      <c r="AC1178" s="127">
        <f t="shared" ref="AC1178:AC1186" si="471">AB1178*87%</f>
        <v>0</v>
      </c>
      <c r="AD1178" s="128">
        <f t="shared" ref="AD1178:AD1186" si="472">AB1178*67%</f>
        <v>0</v>
      </c>
      <c r="AE1178" s="126">
        <f t="shared" ref="AE1178:AE1186" si="473">MAX(J1178,L1178,N1178,P1178,R1178,T1178,V1178,X1178)*if(Z1178=true,0.453592,1)</f>
        <v>0</v>
      </c>
      <c r="AF1178" s="128">
        <f t="shared" ref="AF1178:AF1186" si="474">MAX(IF(J1178*if(Z1178=true,0.453592,1)=$AE1178,K1178,0),IF(L1178*if(Z1178=true,0.453592,1)=$AE1178,M1178,0),IF(N1178*if(Z1178=true,0.453592,1)=$AE1178,O1178,0),IF(P1178*if(Z1178=true,0.453592,1)=$AE1178,Q1178,0),IF(R1178*if(Z1178=true,0.453592,1)=$AE1178,S1178,0),IF(T1178*if(Z1178=true,0.453592,1)=$AE1178,U1178,0),IF(V1178*if(Z1178=true,0.453592,1)=$AE1178,W1178,0),IF(X1178*if(Z1178=true,0.453592,1)=$AE1178,Y1178,0))</f>
        <v>0</v>
      </c>
      <c r="AG1178" s="1"/>
    </row>
    <row r="1179" ht="21.0" customHeight="1">
      <c r="A1179" s="1"/>
      <c r="B1179" s="48" t="s">
        <v>36</v>
      </c>
      <c r="C1179" s="49"/>
      <c r="D1179" s="65"/>
      <c r="E1179" s="66"/>
      <c r="F1179" s="52" t="s">
        <v>37</v>
      </c>
      <c r="G1179" s="67"/>
      <c r="H1179" s="129"/>
      <c r="I1179" s="69"/>
      <c r="J1179" s="72"/>
      <c r="K1179" s="73"/>
      <c r="L1179" s="72"/>
      <c r="M1179" s="73"/>
      <c r="N1179" s="72"/>
      <c r="O1179" s="73"/>
      <c r="P1179" s="72"/>
      <c r="Q1179" s="73"/>
      <c r="R1179" s="72"/>
      <c r="S1179" s="73"/>
      <c r="T1179" s="72"/>
      <c r="U1179" s="73"/>
      <c r="V1179" s="72"/>
      <c r="W1179" s="73"/>
      <c r="X1179" s="72"/>
      <c r="Y1179" s="73"/>
      <c r="Z1179" s="74" t="b">
        <v>0</v>
      </c>
      <c r="AA1179" s="130">
        <f t="shared" si="469"/>
        <v>0</v>
      </c>
      <c r="AB1179" s="131">
        <f t="shared" si="470"/>
        <v>0</v>
      </c>
      <c r="AC1179" s="132">
        <f t="shared" si="471"/>
        <v>0</v>
      </c>
      <c r="AD1179" s="133">
        <f t="shared" si="472"/>
        <v>0</v>
      </c>
      <c r="AE1179" s="131">
        <f t="shared" si="473"/>
        <v>0</v>
      </c>
      <c r="AF1179" s="133">
        <f t="shared" si="474"/>
        <v>0</v>
      </c>
      <c r="AG1179" s="1"/>
    </row>
    <row r="1180" ht="21.0" customHeight="1">
      <c r="A1180" s="1"/>
      <c r="B1180" s="48" t="s">
        <v>39</v>
      </c>
      <c r="C1180" s="49"/>
      <c r="D1180" s="65"/>
      <c r="E1180" s="41"/>
      <c r="F1180" s="52" t="s">
        <v>40</v>
      </c>
      <c r="G1180" s="79"/>
      <c r="H1180" s="80"/>
      <c r="I1180" s="69"/>
      <c r="J1180" s="72"/>
      <c r="K1180" s="73"/>
      <c r="L1180" s="72"/>
      <c r="M1180" s="73"/>
      <c r="N1180" s="72"/>
      <c r="O1180" s="73"/>
      <c r="P1180" s="72"/>
      <c r="Q1180" s="73"/>
      <c r="R1180" s="72"/>
      <c r="S1180" s="73"/>
      <c r="T1180" s="72"/>
      <c r="U1180" s="73"/>
      <c r="V1180" s="72"/>
      <c r="W1180" s="73"/>
      <c r="X1180" s="72"/>
      <c r="Y1180" s="73"/>
      <c r="Z1180" s="74" t="b">
        <v>0</v>
      </c>
      <c r="AA1180" s="130">
        <f t="shared" si="469"/>
        <v>0</v>
      </c>
      <c r="AB1180" s="131">
        <f t="shared" si="470"/>
        <v>0</v>
      </c>
      <c r="AC1180" s="132">
        <f t="shared" si="471"/>
        <v>0</v>
      </c>
      <c r="AD1180" s="133">
        <f t="shared" si="472"/>
        <v>0</v>
      </c>
      <c r="AE1180" s="131">
        <f t="shared" si="473"/>
        <v>0</v>
      </c>
      <c r="AF1180" s="133">
        <f t="shared" si="474"/>
        <v>0</v>
      </c>
      <c r="AG1180" s="1"/>
    </row>
    <row r="1181" ht="21.0" customHeight="1">
      <c r="A1181" s="1"/>
      <c r="B1181" s="48" t="s">
        <v>41</v>
      </c>
      <c r="C1181" s="81"/>
      <c r="D1181" s="82" t="b">
        <v>0</v>
      </c>
      <c r="E1181" s="51" t="s">
        <v>42</v>
      </c>
      <c r="F1181" s="52" t="s">
        <v>34</v>
      </c>
      <c r="G1181" s="83"/>
      <c r="H1181" s="84"/>
      <c r="I1181" s="85"/>
      <c r="J1181" s="72"/>
      <c r="K1181" s="73"/>
      <c r="L1181" s="72"/>
      <c r="M1181" s="73"/>
      <c r="N1181" s="72"/>
      <c r="O1181" s="73"/>
      <c r="P1181" s="72"/>
      <c r="Q1181" s="73"/>
      <c r="R1181" s="72"/>
      <c r="S1181" s="73"/>
      <c r="T1181" s="72"/>
      <c r="U1181" s="73"/>
      <c r="V1181" s="72"/>
      <c r="W1181" s="73"/>
      <c r="X1181" s="72"/>
      <c r="Y1181" s="73"/>
      <c r="Z1181" s="74" t="b">
        <v>0</v>
      </c>
      <c r="AA1181" s="130">
        <f t="shared" si="469"/>
        <v>0</v>
      </c>
      <c r="AB1181" s="131">
        <f t="shared" si="470"/>
        <v>0</v>
      </c>
      <c r="AC1181" s="132">
        <f t="shared" si="471"/>
        <v>0</v>
      </c>
      <c r="AD1181" s="133">
        <f t="shared" si="472"/>
        <v>0</v>
      </c>
      <c r="AE1181" s="131">
        <f t="shared" si="473"/>
        <v>0</v>
      </c>
      <c r="AF1181" s="133">
        <f t="shared" si="474"/>
        <v>0</v>
      </c>
      <c r="AG1181" s="1"/>
    </row>
    <row r="1182" ht="21.0" customHeight="1">
      <c r="A1182" s="1"/>
      <c r="B1182" s="48" t="s">
        <v>43</v>
      </c>
      <c r="C1182" s="49"/>
      <c r="D1182" s="86" t="b">
        <v>0</v>
      </c>
      <c r="E1182" s="66"/>
      <c r="F1182" s="52" t="s">
        <v>37</v>
      </c>
      <c r="G1182" s="67"/>
      <c r="H1182" s="80"/>
      <c r="I1182" s="69"/>
      <c r="J1182" s="72"/>
      <c r="K1182" s="73"/>
      <c r="L1182" s="72"/>
      <c r="M1182" s="73"/>
      <c r="N1182" s="72"/>
      <c r="O1182" s="73"/>
      <c r="P1182" s="72"/>
      <c r="Q1182" s="73"/>
      <c r="R1182" s="72"/>
      <c r="S1182" s="73"/>
      <c r="T1182" s="72"/>
      <c r="U1182" s="73"/>
      <c r="V1182" s="72"/>
      <c r="W1182" s="73"/>
      <c r="X1182" s="72"/>
      <c r="Y1182" s="73"/>
      <c r="Z1182" s="74" t="b">
        <v>0</v>
      </c>
      <c r="AA1182" s="130">
        <f t="shared" si="469"/>
        <v>0</v>
      </c>
      <c r="AB1182" s="131">
        <f t="shared" si="470"/>
        <v>0</v>
      </c>
      <c r="AC1182" s="132">
        <f t="shared" si="471"/>
        <v>0</v>
      </c>
      <c r="AD1182" s="133">
        <f t="shared" si="472"/>
        <v>0</v>
      </c>
      <c r="AE1182" s="131">
        <f t="shared" si="473"/>
        <v>0</v>
      </c>
      <c r="AF1182" s="133">
        <f t="shared" si="474"/>
        <v>0</v>
      </c>
      <c r="AG1182" s="1"/>
    </row>
    <row r="1183" ht="21.0" customHeight="1">
      <c r="A1183" s="1"/>
      <c r="B1183" s="87" t="str">
        <f t="array" ref="B1183">"📌최근 인바디 결과 : "&amp;text(xlookup(B1175,'현황'!O:O,'현황'!O:O,,-1,-1),"m/d(ddd)")</f>
        <v>#REF!</v>
      </c>
      <c r="C1183" s="88"/>
      <c r="D1183" s="49"/>
      <c r="E1183" s="41"/>
      <c r="F1183" s="52" t="s">
        <v>40</v>
      </c>
      <c r="G1183" s="79"/>
      <c r="H1183" s="80"/>
      <c r="I1183" s="69"/>
      <c r="J1183" s="72"/>
      <c r="K1183" s="73"/>
      <c r="L1183" s="72"/>
      <c r="M1183" s="73"/>
      <c r="N1183" s="72"/>
      <c r="O1183" s="73"/>
      <c r="P1183" s="72"/>
      <c r="Q1183" s="73"/>
      <c r="R1183" s="72"/>
      <c r="S1183" s="73"/>
      <c r="T1183" s="72"/>
      <c r="U1183" s="73"/>
      <c r="V1183" s="72"/>
      <c r="W1183" s="73"/>
      <c r="X1183" s="72"/>
      <c r="Y1183" s="73"/>
      <c r="Z1183" s="74" t="b">
        <v>0</v>
      </c>
      <c r="AA1183" s="130">
        <f t="shared" si="469"/>
        <v>0</v>
      </c>
      <c r="AB1183" s="131">
        <f t="shared" si="470"/>
        <v>0</v>
      </c>
      <c r="AC1183" s="132">
        <f t="shared" si="471"/>
        <v>0</v>
      </c>
      <c r="AD1183" s="133">
        <f t="shared" si="472"/>
        <v>0</v>
      </c>
      <c r="AE1183" s="131">
        <f t="shared" si="473"/>
        <v>0</v>
      </c>
      <c r="AF1183" s="133">
        <f t="shared" si="474"/>
        <v>0</v>
      </c>
      <c r="AG1183" s="1"/>
    </row>
    <row r="1184" ht="21.0" customHeight="1">
      <c r="A1184" s="1"/>
      <c r="B1184" s="89" t="s">
        <v>44</v>
      </c>
      <c r="C1184" s="49"/>
      <c r="D1184" s="90">
        <f t="array" ref="D1184">iferror(vlookup(xlookup(B1175,'현황'!O:O,'현황'!O:O,,-1,-1),'현황'!O:S,2,false),0)</f>
        <v>0</v>
      </c>
      <c r="E1184" s="51" t="s">
        <v>45</v>
      </c>
      <c r="F1184" s="52" t="s">
        <v>34</v>
      </c>
      <c r="G1184" s="83"/>
      <c r="H1184" s="84"/>
      <c r="I1184" s="85"/>
      <c r="J1184" s="72"/>
      <c r="K1184" s="73"/>
      <c r="L1184" s="72"/>
      <c r="M1184" s="73"/>
      <c r="N1184" s="72"/>
      <c r="O1184" s="73"/>
      <c r="P1184" s="72"/>
      <c r="Q1184" s="73"/>
      <c r="R1184" s="72"/>
      <c r="S1184" s="73"/>
      <c r="T1184" s="72"/>
      <c r="U1184" s="73"/>
      <c r="V1184" s="72"/>
      <c r="W1184" s="73"/>
      <c r="X1184" s="72"/>
      <c r="Y1184" s="73"/>
      <c r="Z1184" s="74" t="b">
        <v>0</v>
      </c>
      <c r="AA1184" s="130">
        <f t="shared" si="469"/>
        <v>0</v>
      </c>
      <c r="AB1184" s="131">
        <f t="shared" si="470"/>
        <v>0</v>
      </c>
      <c r="AC1184" s="132">
        <f t="shared" si="471"/>
        <v>0</v>
      </c>
      <c r="AD1184" s="133">
        <f t="shared" si="472"/>
        <v>0</v>
      </c>
      <c r="AE1184" s="131">
        <f t="shared" si="473"/>
        <v>0</v>
      </c>
      <c r="AF1184" s="133">
        <f t="shared" si="474"/>
        <v>0</v>
      </c>
      <c r="AG1184" s="1"/>
    </row>
    <row r="1185" ht="21.0" customHeight="1">
      <c r="A1185" s="1"/>
      <c r="B1185" s="48" t="s">
        <v>46</v>
      </c>
      <c r="C1185" s="49"/>
      <c r="D1185" s="91">
        <f t="array" ref="D1185">iferror(vlookup(xlookup(B1175,'현황'!O:O,'현황'!O:O,,-1,-1),'현황'!O:S,3,false),0)</f>
        <v>0</v>
      </c>
      <c r="E1185" s="66"/>
      <c r="F1185" s="52" t="s">
        <v>37</v>
      </c>
      <c r="G1185" s="67"/>
      <c r="H1185" s="80"/>
      <c r="I1185" s="69"/>
      <c r="J1185" s="72"/>
      <c r="K1185" s="73"/>
      <c r="L1185" s="72"/>
      <c r="M1185" s="73"/>
      <c r="N1185" s="72"/>
      <c r="O1185" s="73"/>
      <c r="P1185" s="72"/>
      <c r="Q1185" s="73"/>
      <c r="R1185" s="72"/>
      <c r="S1185" s="73"/>
      <c r="T1185" s="72"/>
      <c r="U1185" s="73"/>
      <c r="V1185" s="72"/>
      <c r="W1185" s="73"/>
      <c r="X1185" s="72"/>
      <c r="Y1185" s="73"/>
      <c r="Z1185" s="74" t="b">
        <v>0</v>
      </c>
      <c r="AA1185" s="130">
        <f t="shared" si="469"/>
        <v>0</v>
      </c>
      <c r="AB1185" s="131">
        <f t="shared" si="470"/>
        <v>0</v>
      </c>
      <c r="AC1185" s="132">
        <f t="shared" si="471"/>
        <v>0</v>
      </c>
      <c r="AD1185" s="133">
        <f t="shared" si="472"/>
        <v>0</v>
      </c>
      <c r="AE1185" s="131">
        <f t="shared" si="473"/>
        <v>0</v>
      </c>
      <c r="AF1185" s="133">
        <f t="shared" si="474"/>
        <v>0</v>
      </c>
      <c r="AG1185" s="1"/>
    </row>
    <row r="1186" ht="21.0" customHeight="1">
      <c r="A1186" s="1"/>
      <c r="B1186" s="48" t="s">
        <v>47</v>
      </c>
      <c r="C1186" s="49"/>
      <c r="D1186" s="91">
        <f t="array" ref="D1186">iferror(vlookup(xlookup(B1175,'현황'!O:O,'현황'!O:O,,-1,-1),'현황'!O:S,4,false),0)</f>
        <v>0</v>
      </c>
      <c r="E1186" s="41"/>
      <c r="F1186" s="92" t="s">
        <v>40</v>
      </c>
      <c r="G1186" s="79"/>
      <c r="H1186" s="93"/>
      <c r="I1186" s="94"/>
      <c r="J1186" s="95"/>
      <c r="K1186" s="96"/>
      <c r="L1186" s="95"/>
      <c r="M1186" s="96"/>
      <c r="N1186" s="95"/>
      <c r="O1186" s="96"/>
      <c r="P1186" s="95"/>
      <c r="Q1186" s="96"/>
      <c r="R1186" s="95"/>
      <c r="S1186" s="96"/>
      <c r="T1186" s="95"/>
      <c r="U1186" s="96"/>
      <c r="V1186" s="95"/>
      <c r="W1186" s="96"/>
      <c r="X1186" s="95"/>
      <c r="Y1186" s="96"/>
      <c r="Z1186" s="97" t="b">
        <v>0</v>
      </c>
      <c r="AA1186" s="135">
        <f t="shared" si="469"/>
        <v>0</v>
      </c>
      <c r="AB1186" s="136">
        <f t="shared" si="470"/>
        <v>0</v>
      </c>
      <c r="AC1186" s="137">
        <f t="shared" si="471"/>
        <v>0</v>
      </c>
      <c r="AD1186" s="138">
        <f t="shared" si="472"/>
        <v>0</v>
      </c>
      <c r="AE1186" s="136">
        <f t="shared" si="473"/>
        <v>0</v>
      </c>
      <c r="AF1186" s="138">
        <f t="shared" si="474"/>
        <v>0</v>
      </c>
      <c r="AG1186" s="1"/>
    </row>
    <row r="1187" ht="21.0" customHeight="1">
      <c r="A1187" s="1"/>
      <c r="B1187" s="102" t="s">
        <v>48</v>
      </c>
      <c r="C1187" s="103"/>
      <c r="D1187" s="104">
        <f>iferror(D1186/D1184,0)</f>
        <v>0</v>
      </c>
      <c r="E1187" s="102" t="s">
        <v>49</v>
      </c>
      <c r="F1187" s="103"/>
      <c r="G1187" s="105"/>
      <c r="H1187" s="106" t="s">
        <v>50</v>
      </c>
      <c r="I1187" s="107"/>
      <c r="J1187" s="11"/>
      <c r="K1187" s="11"/>
      <c r="L1187" s="11"/>
      <c r="M1187" s="11"/>
      <c r="N1187" s="11"/>
      <c r="O1187" s="11"/>
      <c r="P1187" s="108" t="s">
        <v>51</v>
      </c>
      <c r="Q1187" s="12"/>
      <c r="R1187" s="109"/>
      <c r="S1187" s="11"/>
      <c r="T1187" s="11"/>
      <c r="U1187" s="11"/>
      <c r="V1187" s="11"/>
      <c r="W1187" s="11"/>
      <c r="X1187" s="11"/>
      <c r="Y1187" s="11"/>
      <c r="Z1187" s="12"/>
      <c r="AA1187" s="139">
        <f>SUM(AA1178:AA1186)</f>
        <v>0</v>
      </c>
      <c r="AB1187" s="140" t="s">
        <v>255</v>
      </c>
      <c r="AG1187" s="1"/>
    </row>
    <row r="1188" ht="21.0" customHeight="1">
      <c r="A1188" s="1"/>
      <c r="B1188" s="1"/>
      <c r="C1188" s="1"/>
      <c r="D1188" s="1"/>
      <c r="E1188" s="1"/>
      <c r="F1188" s="1"/>
      <c r="G1188" s="1"/>
      <c r="H1188" s="1"/>
      <c r="I1188" s="1"/>
      <c r="AA1188" s="1"/>
      <c r="AB1188" s="1"/>
      <c r="AC1188" s="3"/>
      <c r="AD1188" s="1"/>
      <c r="AE1188" s="1"/>
      <c r="AF1188" s="1"/>
      <c r="AG1188" s="1"/>
    </row>
    <row r="1189" ht="21.0" customHeight="1">
      <c r="A1189" s="1"/>
      <c r="B1189" s="4" t="s">
        <v>1</v>
      </c>
      <c r="C1189" s="5"/>
      <c r="D1189" s="6" t="s">
        <v>2</v>
      </c>
      <c r="E1189" s="7"/>
      <c r="F1189" s="7"/>
      <c r="G1189" s="5"/>
      <c r="H1189" s="8" t="s">
        <v>3</v>
      </c>
      <c r="I1189" s="8" t="s">
        <v>4</v>
      </c>
      <c r="J1189" s="9" t="s">
        <v>5</v>
      </c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5"/>
      <c r="AA1189" s="117" t="s">
        <v>6</v>
      </c>
      <c r="AB1189" s="11"/>
      <c r="AC1189" s="11"/>
      <c r="AD1189" s="11"/>
      <c r="AE1189" s="11"/>
      <c r="AF1189" s="12"/>
      <c r="AG1189" s="1"/>
    </row>
    <row r="1190" ht="21.0" customHeight="1">
      <c r="A1190" s="1"/>
      <c r="B1190" s="149" t="s">
        <v>138</v>
      </c>
      <c r="C1190" s="14" t="str">
        <f>if(B1190="0/0","",choose(weekday(B1190),"(일)","(월)","(화)","(수)","(목)","(금)","(토)"))</f>
        <v/>
      </c>
      <c r="D1190" s="15" t="s">
        <v>7</v>
      </c>
      <c r="E1190" s="16" t="s">
        <v>8</v>
      </c>
      <c r="F1190" s="17"/>
      <c r="G1190" s="18" t="s">
        <v>9</v>
      </c>
      <c r="H1190" s="150" t="s">
        <v>139</v>
      </c>
      <c r="I1190" s="151"/>
      <c r="J1190" s="21" t="s">
        <v>12</v>
      </c>
      <c r="K1190" s="22"/>
      <c r="L1190" s="21" t="s">
        <v>13</v>
      </c>
      <c r="M1190" s="22"/>
      <c r="N1190" s="21" t="s">
        <v>14</v>
      </c>
      <c r="O1190" s="22"/>
      <c r="P1190" s="21" t="s">
        <v>15</v>
      </c>
      <c r="Q1190" s="22"/>
      <c r="R1190" s="23" t="s">
        <v>16</v>
      </c>
      <c r="S1190" s="22"/>
      <c r="T1190" s="23" t="s">
        <v>17</v>
      </c>
      <c r="U1190" s="22"/>
      <c r="V1190" s="23" t="s">
        <v>18</v>
      </c>
      <c r="W1190" s="22"/>
      <c r="X1190" s="23" t="s">
        <v>19</v>
      </c>
      <c r="Y1190" s="22"/>
      <c r="Z1190" s="24" t="s">
        <v>256</v>
      </c>
      <c r="AA1190" s="118" t="s">
        <v>21</v>
      </c>
      <c r="AB1190" s="119" t="s">
        <v>22</v>
      </c>
      <c r="AC1190" s="7"/>
      <c r="AD1190" s="22"/>
      <c r="AE1190" s="120" t="s">
        <v>23</v>
      </c>
      <c r="AF1190" s="22"/>
      <c r="AG1190" s="1"/>
    </row>
    <row r="1191" ht="21.0" customHeight="1">
      <c r="A1191" s="1"/>
      <c r="B1191" s="27">
        <f>iferror(B1190-'현황'!$C$4+1,0)</f>
        <v>0</v>
      </c>
      <c r="C1191" s="28"/>
      <c r="D1191" s="29">
        <v>0.0</v>
      </c>
      <c r="E1191" s="30">
        <v>0.0</v>
      </c>
      <c r="F1191" s="31"/>
      <c r="G1191" s="32">
        <v>0.0</v>
      </c>
      <c r="H1191" s="33">
        <v>0.0</v>
      </c>
      <c r="I1191" s="34"/>
      <c r="J1191" s="35"/>
      <c r="K1191" s="36"/>
      <c r="L1191" s="35"/>
      <c r="M1191" s="36"/>
      <c r="N1191" s="35"/>
      <c r="O1191" s="36"/>
      <c r="P1191" s="35"/>
      <c r="Q1191" s="36"/>
      <c r="R1191" s="35"/>
      <c r="S1191" s="36"/>
      <c r="T1191" s="35"/>
      <c r="U1191" s="36"/>
      <c r="V1191" s="35"/>
      <c r="W1191" s="36"/>
      <c r="X1191" s="35"/>
      <c r="Y1191" s="36"/>
      <c r="Z1191" s="37"/>
      <c r="AA1191" s="37"/>
      <c r="AB1191" s="35"/>
      <c r="AC1191" s="38"/>
      <c r="AD1191" s="36"/>
      <c r="AE1191" s="35"/>
      <c r="AF1191" s="36"/>
      <c r="AG1191" s="1"/>
    </row>
    <row r="1192" ht="21.0" customHeight="1">
      <c r="A1192" s="1"/>
      <c r="B1192" s="39" t="s">
        <v>24</v>
      </c>
      <c r="C1192" s="40"/>
      <c r="D1192" s="41"/>
      <c r="E1192" s="42" t="s">
        <v>25</v>
      </c>
      <c r="F1192" s="40"/>
      <c r="G1192" s="41"/>
      <c r="H1192" s="43" t="s">
        <v>26</v>
      </c>
      <c r="J1192" s="44" t="s">
        <v>27</v>
      </c>
      <c r="K1192" s="45" t="s">
        <v>28</v>
      </c>
      <c r="L1192" s="44" t="s">
        <v>27</v>
      </c>
      <c r="M1192" s="45" t="s">
        <v>28</v>
      </c>
      <c r="N1192" s="44" t="s">
        <v>27</v>
      </c>
      <c r="O1192" s="45" t="s">
        <v>28</v>
      </c>
      <c r="P1192" s="44" t="s">
        <v>27</v>
      </c>
      <c r="Q1192" s="45" t="s">
        <v>28</v>
      </c>
      <c r="R1192" s="44" t="s">
        <v>27</v>
      </c>
      <c r="S1192" s="45" t="s">
        <v>28</v>
      </c>
      <c r="T1192" s="44" t="s">
        <v>27</v>
      </c>
      <c r="U1192" s="45" t="s">
        <v>28</v>
      </c>
      <c r="V1192" s="44" t="s">
        <v>27</v>
      </c>
      <c r="W1192" s="45" t="s">
        <v>28</v>
      </c>
      <c r="X1192" s="44" t="s">
        <v>27</v>
      </c>
      <c r="Y1192" s="45" t="s">
        <v>28</v>
      </c>
      <c r="Z1192" s="46"/>
      <c r="AA1192" s="46"/>
      <c r="AB1192" s="121" t="s">
        <v>29</v>
      </c>
      <c r="AC1192" s="122" t="s">
        <v>30</v>
      </c>
      <c r="AD1192" s="123" t="s">
        <v>31</v>
      </c>
      <c r="AE1192" s="121" t="s">
        <v>27</v>
      </c>
      <c r="AF1192" s="123" t="s">
        <v>28</v>
      </c>
      <c r="AG1192" s="1"/>
    </row>
    <row r="1193" ht="21.0" customHeight="1">
      <c r="A1193" s="1"/>
      <c r="B1193" s="48" t="s">
        <v>32</v>
      </c>
      <c r="C1193" s="49"/>
      <c r="D1193" s="50"/>
      <c r="E1193" s="51" t="s">
        <v>33</v>
      </c>
      <c r="F1193" s="52" t="s">
        <v>34</v>
      </c>
      <c r="G1193" s="53"/>
      <c r="H1193" s="148"/>
      <c r="I1193" s="55"/>
      <c r="J1193" s="58"/>
      <c r="K1193" s="59"/>
      <c r="L1193" s="58"/>
      <c r="M1193" s="59"/>
      <c r="N1193" s="58"/>
      <c r="O1193" s="59"/>
      <c r="P1193" s="58"/>
      <c r="Q1193" s="59"/>
      <c r="R1193" s="58"/>
      <c r="S1193" s="59"/>
      <c r="T1193" s="58"/>
      <c r="U1193" s="59"/>
      <c r="V1193" s="58"/>
      <c r="W1193" s="59"/>
      <c r="X1193" s="58"/>
      <c r="Y1193" s="59"/>
      <c r="Z1193" s="60" t="b">
        <v>0</v>
      </c>
      <c r="AA1193" s="125">
        <f t="shared" ref="AA1193:AA1201" si="475">(J1193*K1193+L1193*M1193+N1193*O1193+P1193*Q1193+R1193*S1193+T1193*U1193+V1193*W1193+X1193*Y1193)*if(Z1193=true,0.453592,1)</f>
        <v>0</v>
      </c>
      <c r="AB1193" s="126">
        <f t="shared" ref="AB1193:AB1201" si="476">SUM(AE1193*AF1193*0.025,AE1193)</f>
        <v>0</v>
      </c>
      <c r="AC1193" s="127">
        <f t="shared" ref="AC1193:AC1201" si="477">AB1193*87%</f>
        <v>0</v>
      </c>
      <c r="AD1193" s="128">
        <f t="shared" ref="AD1193:AD1201" si="478">AB1193*67%</f>
        <v>0</v>
      </c>
      <c r="AE1193" s="126">
        <f t="shared" ref="AE1193:AE1201" si="479">MAX(J1193,L1193,N1193,P1193,R1193,T1193,V1193,X1193)*if(Z1193=true,0.453592,1)</f>
        <v>0</v>
      </c>
      <c r="AF1193" s="128">
        <f t="shared" ref="AF1193:AF1201" si="480">MAX(IF(J1193*if(Z1193=true,0.453592,1)=$AE1193,K1193,0),IF(L1193*if(Z1193=true,0.453592,1)=$AE1193,M1193,0),IF(N1193*if(Z1193=true,0.453592,1)=$AE1193,O1193,0),IF(P1193*if(Z1193=true,0.453592,1)=$AE1193,Q1193,0),IF(R1193*if(Z1193=true,0.453592,1)=$AE1193,S1193,0),IF(T1193*if(Z1193=true,0.453592,1)=$AE1193,U1193,0),IF(V1193*if(Z1193=true,0.453592,1)=$AE1193,W1193,0),IF(X1193*if(Z1193=true,0.453592,1)=$AE1193,Y1193,0))</f>
        <v>0</v>
      </c>
      <c r="AG1193" s="1"/>
    </row>
    <row r="1194" ht="21.0" customHeight="1">
      <c r="A1194" s="1"/>
      <c r="B1194" s="48" t="s">
        <v>36</v>
      </c>
      <c r="C1194" s="49"/>
      <c r="D1194" s="65"/>
      <c r="E1194" s="66"/>
      <c r="F1194" s="52" t="s">
        <v>37</v>
      </c>
      <c r="G1194" s="67"/>
      <c r="H1194" s="129"/>
      <c r="I1194" s="69"/>
      <c r="J1194" s="72"/>
      <c r="K1194" s="73"/>
      <c r="L1194" s="72"/>
      <c r="M1194" s="73"/>
      <c r="N1194" s="72"/>
      <c r="O1194" s="73"/>
      <c r="P1194" s="72"/>
      <c r="Q1194" s="73"/>
      <c r="R1194" s="72"/>
      <c r="S1194" s="73"/>
      <c r="T1194" s="72"/>
      <c r="U1194" s="73"/>
      <c r="V1194" s="72"/>
      <c r="W1194" s="73"/>
      <c r="X1194" s="72"/>
      <c r="Y1194" s="73"/>
      <c r="Z1194" s="74" t="b">
        <v>0</v>
      </c>
      <c r="AA1194" s="130">
        <f t="shared" si="475"/>
        <v>0</v>
      </c>
      <c r="AB1194" s="131">
        <f t="shared" si="476"/>
        <v>0</v>
      </c>
      <c r="AC1194" s="132">
        <f t="shared" si="477"/>
        <v>0</v>
      </c>
      <c r="AD1194" s="133">
        <f t="shared" si="478"/>
        <v>0</v>
      </c>
      <c r="AE1194" s="131">
        <f t="shared" si="479"/>
        <v>0</v>
      </c>
      <c r="AF1194" s="133">
        <f t="shared" si="480"/>
        <v>0</v>
      </c>
      <c r="AG1194" s="1"/>
    </row>
    <row r="1195" ht="21.0" customHeight="1">
      <c r="A1195" s="1"/>
      <c r="B1195" s="48" t="s">
        <v>39</v>
      </c>
      <c r="C1195" s="49"/>
      <c r="D1195" s="65"/>
      <c r="E1195" s="41"/>
      <c r="F1195" s="52" t="s">
        <v>40</v>
      </c>
      <c r="G1195" s="79"/>
      <c r="H1195" s="80"/>
      <c r="I1195" s="69"/>
      <c r="J1195" s="72"/>
      <c r="K1195" s="73"/>
      <c r="L1195" s="72"/>
      <c r="M1195" s="73"/>
      <c r="N1195" s="72"/>
      <c r="O1195" s="73"/>
      <c r="P1195" s="72"/>
      <c r="Q1195" s="73"/>
      <c r="R1195" s="72"/>
      <c r="S1195" s="73"/>
      <c r="T1195" s="72"/>
      <c r="U1195" s="73"/>
      <c r="V1195" s="72"/>
      <c r="W1195" s="73"/>
      <c r="X1195" s="72"/>
      <c r="Y1195" s="73"/>
      <c r="Z1195" s="74" t="b">
        <v>0</v>
      </c>
      <c r="AA1195" s="130">
        <f t="shared" si="475"/>
        <v>0</v>
      </c>
      <c r="AB1195" s="131">
        <f t="shared" si="476"/>
        <v>0</v>
      </c>
      <c r="AC1195" s="132">
        <f t="shared" si="477"/>
        <v>0</v>
      </c>
      <c r="AD1195" s="133">
        <f t="shared" si="478"/>
        <v>0</v>
      </c>
      <c r="AE1195" s="131">
        <f t="shared" si="479"/>
        <v>0</v>
      </c>
      <c r="AF1195" s="133">
        <f t="shared" si="480"/>
        <v>0</v>
      </c>
      <c r="AG1195" s="1"/>
    </row>
    <row r="1196" ht="21.0" customHeight="1">
      <c r="A1196" s="1"/>
      <c r="B1196" s="48" t="s">
        <v>41</v>
      </c>
      <c r="C1196" s="81"/>
      <c r="D1196" s="82" t="b">
        <v>0</v>
      </c>
      <c r="E1196" s="51" t="s">
        <v>42</v>
      </c>
      <c r="F1196" s="52" t="s">
        <v>34</v>
      </c>
      <c r="G1196" s="83"/>
      <c r="H1196" s="84"/>
      <c r="I1196" s="85"/>
      <c r="J1196" s="72"/>
      <c r="K1196" s="73"/>
      <c r="L1196" s="72"/>
      <c r="M1196" s="73"/>
      <c r="N1196" s="72"/>
      <c r="O1196" s="73"/>
      <c r="P1196" s="72"/>
      <c r="Q1196" s="73"/>
      <c r="R1196" s="72"/>
      <c r="S1196" s="73"/>
      <c r="T1196" s="72"/>
      <c r="U1196" s="73"/>
      <c r="V1196" s="72"/>
      <c r="W1196" s="73"/>
      <c r="X1196" s="72"/>
      <c r="Y1196" s="73"/>
      <c r="Z1196" s="74" t="b">
        <v>0</v>
      </c>
      <c r="AA1196" s="130">
        <f t="shared" si="475"/>
        <v>0</v>
      </c>
      <c r="AB1196" s="131">
        <f t="shared" si="476"/>
        <v>0</v>
      </c>
      <c r="AC1196" s="132">
        <f t="shared" si="477"/>
        <v>0</v>
      </c>
      <c r="AD1196" s="133">
        <f t="shared" si="478"/>
        <v>0</v>
      </c>
      <c r="AE1196" s="131">
        <f t="shared" si="479"/>
        <v>0</v>
      </c>
      <c r="AF1196" s="133">
        <f t="shared" si="480"/>
        <v>0</v>
      </c>
      <c r="AG1196" s="1"/>
    </row>
    <row r="1197" ht="21.0" customHeight="1">
      <c r="A1197" s="1"/>
      <c r="B1197" s="48" t="s">
        <v>43</v>
      </c>
      <c r="C1197" s="49"/>
      <c r="D1197" s="86" t="b">
        <v>0</v>
      </c>
      <c r="E1197" s="66"/>
      <c r="F1197" s="52" t="s">
        <v>37</v>
      </c>
      <c r="G1197" s="67"/>
      <c r="H1197" s="80"/>
      <c r="I1197" s="69"/>
      <c r="J1197" s="72"/>
      <c r="K1197" s="73"/>
      <c r="L1197" s="72"/>
      <c r="M1197" s="73"/>
      <c r="N1197" s="72"/>
      <c r="O1197" s="73"/>
      <c r="P1197" s="72"/>
      <c r="Q1197" s="73"/>
      <c r="R1197" s="72"/>
      <c r="S1197" s="73"/>
      <c r="T1197" s="72"/>
      <c r="U1197" s="73"/>
      <c r="V1197" s="72"/>
      <c r="W1197" s="73"/>
      <c r="X1197" s="72"/>
      <c r="Y1197" s="73"/>
      <c r="Z1197" s="74" t="b">
        <v>0</v>
      </c>
      <c r="AA1197" s="130">
        <f t="shared" si="475"/>
        <v>0</v>
      </c>
      <c r="AB1197" s="131">
        <f t="shared" si="476"/>
        <v>0</v>
      </c>
      <c r="AC1197" s="132">
        <f t="shared" si="477"/>
        <v>0</v>
      </c>
      <c r="AD1197" s="133">
        <f t="shared" si="478"/>
        <v>0</v>
      </c>
      <c r="AE1197" s="131">
        <f t="shared" si="479"/>
        <v>0</v>
      </c>
      <c r="AF1197" s="133">
        <f t="shared" si="480"/>
        <v>0</v>
      </c>
      <c r="AG1197" s="1"/>
    </row>
    <row r="1198" ht="21.0" customHeight="1">
      <c r="A1198" s="1"/>
      <c r="B1198" s="87" t="str">
        <f t="array" ref="B1198">"📌최근 인바디 결과 : "&amp;text(xlookup(B1190,'현황'!O:O,'현황'!O:O,,-1,-1),"m/d(ddd)")</f>
        <v>#REF!</v>
      </c>
      <c r="C1198" s="88"/>
      <c r="D1198" s="49"/>
      <c r="E1198" s="41"/>
      <c r="F1198" s="52" t="s">
        <v>40</v>
      </c>
      <c r="G1198" s="79"/>
      <c r="H1198" s="80"/>
      <c r="I1198" s="69"/>
      <c r="J1198" s="72"/>
      <c r="K1198" s="73"/>
      <c r="L1198" s="72"/>
      <c r="M1198" s="73"/>
      <c r="N1198" s="72"/>
      <c r="O1198" s="73"/>
      <c r="P1198" s="72"/>
      <c r="Q1198" s="73"/>
      <c r="R1198" s="72"/>
      <c r="S1198" s="73"/>
      <c r="T1198" s="72"/>
      <c r="U1198" s="73"/>
      <c r="V1198" s="72"/>
      <c r="W1198" s="73"/>
      <c r="X1198" s="72"/>
      <c r="Y1198" s="73"/>
      <c r="Z1198" s="74" t="b">
        <v>0</v>
      </c>
      <c r="AA1198" s="130">
        <f t="shared" si="475"/>
        <v>0</v>
      </c>
      <c r="AB1198" s="131">
        <f t="shared" si="476"/>
        <v>0</v>
      </c>
      <c r="AC1198" s="132">
        <f t="shared" si="477"/>
        <v>0</v>
      </c>
      <c r="AD1198" s="133">
        <f t="shared" si="478"/>
        <v>0</v>
      </c>
      <c r="AE1198" s="131">
        <f t="shared" si="479"/>
        <v>0</v>
      </c>
      <c r="AF1198" s="133">
        <f t="shared" si="480"/>
        <v>0</v>
      </c>
      <c r="AG1198" s="1"/>
    </row>
    <row r="1199" ht="21.0" customHeight="1">
      <c r="A1199" s="1"/>
      <c r="B1199" s="89" t="s">
        <v>44</v>
      </c>
      <c r="C1199" s="49"/>
      <c r="D1199" s="90">
        <f t="array" ref="D1199">iferror(vlookup(xlookup(B1190,'현황'!O:O,'현황'!O:O,,-1,-1),'현황'!O:S,2,false),0)</f>
        <v>0</v>
      </c>
      <c r="E1199" s="51" t="s">
        <v>45</v>
      </c>
      <c r="F1199" s="52" t="s">
        <v>34</v>
      </c>
      <c r="G1199" s="83"/>
      <c r="H1199" s="84"/>
      <c r="I1199" s="85"/>
      <c r="J1199" s="72"/>
      <c r="K1199" s="73"/>
      <c r="L1199" s="72"/>
      <c r="M1199" s="73"/>
      <c r="N1199" s="72"/>
      <c r="O1199" s="73"/>
      <c r="P1199" s="72"/>
      <c r="Q1199" s="73"/>
      <c r="R1199" s="72"/>
      <c r="S1199" s="73"/>
      <c r="T1199" s="72"/>
      <c r="U1199" s="73"/>
      <c r="V1199" s="72"/>
      <c r="W1199" s="73"/>
      <c r="X1199" s="72"/>
      <c r="Y1199" s="73"/>
      <c r="Z1199" s="74" t="b">
        <v>0</v>
      </c>
      <c r="AA1199" s="130">
        <f t="shared" si="475"/>
        <v>0</v>
      </c>
      <c r="AB1199" s="131">
        <f t="shared" si="476"/>
        <v>0</v>
      </c>
      <c r="AC1199" s="132">
        <f t="shared" si="477"/>
        <v>0</v>
      </c>
      <c r="AD1199" s="133">
        <f t="shared" si="478"/>
        <v>0</v>
      </c>
      <c r="AE1199" s="131">
        <f t="shared" si="479"/>
        <v>0</v>
      </c>
      <c r="AF1199" s="133">
        <f t="shared" si="480"/>
        <v>0</v>
      </c>
      <c r="AG1199" s="1"/>
    </row>
    <row r="1200" ht="21.0" customHeight="1">
      <c r="A1200" s="1"/>
      <c r="B1200" s="48" t="s">
        <v>46</v>
      </c>
      <c r="C1200" s="49"/>
      <c r="D1200" s="91">
        <f t="array" ref="D1200">iferror(vlookup(xlookup(B1190,'현황'!O:O,'현황'!O:O,,-1,-1),'현황'!O:S,3,false),0)</f>
        <v>0</v>
      </c>
      <c r="E1200" s="66"/>
      <c r="F1200" s="52" t="s">
        <v>37</v>
      </c>
      <c r="G1200" s="67"/>
      <c r="H1200" s="80"/>
      <c r="I1200" s="69"/>
      <c r="J1200" s="72"/>
      <c r="K1200" s="73"/>
      <c r="L1200" s="72"/>
      <c r="M1200" s="73"/>
      <c r="N1200" s="72"/>
      <c r="O1200" s="73"/>
      <c r="P1200" s="72"/>
      <c r="Q1200" s="73"/>
      <c r="R1200" s="72"/>
      <c r="S1200" s="73"/>
      <c r="T1200" s="72"/>
      <c r="U1200" s="73"/>
      <c r="V1200" s="72"/>
      <c r="W1200" s="73"/>
      <c r="X1200" s="72"/>
      <c r="Y1200" s="73"/>
      <c r="Z1200" s="74" t="b">
        <v>0</v>
      </c>
      <c r="AA1200" s="130">
        <f t="shared" si="475"/>
        <v>0</v>
      </c>
      <c r="AB1200" s="131">
        <f t="shared" si="476"/>
        <v>0</v>
      </c>
      <c r="AC1200" s="132">
        <f t="shared" si="477"/>
        <v>0</v>
      </c>
      <c r="AD1200" s="133">
        <f t="shared" si="478"/>
        <v>0</v>
      </c>
      <c r="AE1200" s="131">
        <f t="shared" si="479"/>
        <v>0</v>
      </c>
      <c r="AF1200" s="133">
        <f t="shared" si="480"/>
        <v>0</v>
      </c>
      <c r="AG1200" s="1"/>
    </row>
    <row r="1201" ht="21.0" customHeight="1">
      <c r="A1201" s="1"/>
      <c r="B1201" s="48" t="s">
        <v>47</v>
      </c>
      <c r="C1201" s="49"/>
      <c r="D1201" s="91">
        <f t="array" ref="D1201">iferror(vlookup(xlookup(B1190,'현황'!O:O,'현황'!O:O,,-1,-1),'현황'!O:S,4,false),0)</f>
        <v>0</v>
      </c>
      <c r="E1201" s="41"/>
      <c r="F1201" s="92" t="s">
        <v>40</v>
      </c>
      <c r="G1201" s="79"/>
      <c r="H1201" s="93"/>
      <c r="I1201" s="94"/>
      <c r="J1201" s="95"/>
      <c r="K1201" s="96"/>
      <c r="L1201" s="95"/>
      <c r="M1201" s="96"/>
      <c r="N1201" s="95"/>
      <c r="O1201" s="96"/>
      <c r="P1201" s="95"/>
      <c r="Q1201" s="96"/>
      <c r="R1201" s="95"/>
      <c r="S1201" s="96"/>
      <c r="T1201" s="95"/>
      <c r="U1201" s="96"/>
      <c r="V1201" s="95"/>
      <c r="W1201" s="96"/>
      <c r="X1201" s="95"/>
      <c r="Y1201" s="96"/>
      <c r="Z1201" s="97" t="b">
        <v>0</v>
      </c>
      <c r="AA1201" s="135">
        <f t="shared" si="475"/>
        <v>0</v>
      </c>
      <c r="AB1201" s="136">
        <f t="shared" si="476"/>
        <v>0</v>
      </c>
      <c r="AC1201" s="137">
        <f t="shared" si="477"/>
        <v>0</v>
      </c>
      <c r="AD1201" s="138">
        <f t="shared" si="478"/>
        <v>0</v>
      </c>
      <c r="AE1201" s="136">
        <f t="shared" si="479"/>
        <v>0</v>
      </c>
      <c r="AF1201" s="138">
        <f t="shared" si="480"/>
        <v>0</v>
      </c>
      <c r="AG1201" s="1"/>
    </row>
    <row r="1202" ht="21.0" customHeight="1">
      <c r="A1202" s="1"/>
      <c r="B1202" s="102" t="s">
        <v>48</v>
      </c>
      <c r="C1202" s="103"/>
      <c r="D1202" s="104">
        <f>iferror(D1201/D1199,0)</f>
        <v>0</v>
      </c>
      <c r="E1202" s="102" t="s">
        <v>49</v>
      </c>
      <c r="F1202" s="103"/>
      <c r="G1202" s="105"/>
      <c r="H1202" s="143" t="s">
        <v>50</v>
      </c>
      <c r="I1202" s="144"/>
      <c r="J1202" s="11"/>
      <c r="K1202" s="11"/>
      <c r="L1202" s="11"/>
      <c r="M1202" s="11"/>
      <c r="N1202" s="11"/>
      <c r="O1202" s="11"/>
      <c r="P1202" s="145" t="s">
        <v>51</v>
      </c>
      <c r="Q1202" s="12"/>
      <c r="R1202" s="146"/>
      <c r="S1202" s="11"/>
      <c r="T1202" s="11"/>
      <c r="U1202" s="11"/>
      <c r="V1202" s="11"/>
      <c r="W1202" s="11"/>
      <c r="X1202" s="11"/>
      <c r="Y1202" s="11"/>
      <c r="Z1202" s="12"/>
      <c r="AA1202" s="139">
        <f>SUM(AA1193:AA1201)</f>
        <v>0</v>
      </c>
      <c r="AB1202" s="140" t="s">
        <v>257</v>
      </c>
      <c r="AG1202" s="1"/>
    </row>
    <row r="1203" ht="21.0" customHeight="1">
      <c r="A1203" s="1"/>
      <c r="B1203" s="1"/>
      <c r="C1203" s="1"/>
      <c r="D1203" s="1"/>
      <c r="E1203" s="1"/>
      <c r="F1203" s="1"/>
      <c r="G1203" s="1"/>
      <c r="H1203" s="1"/>
      <c r="I1203" s="1"/>
      <c r="AA1203" s="1"/>
      <c r="AB1203" s="1"/>
      <c r="AC1203" s="3"/>
      <c r="AD1203" s="1"/>
      <c r="AE1203" s="1"/>
      <c r="AF1203" s="1"/>
      <c r="AG1203" s="1"/>
    </row>
    <row r="1204" ht="21.0" customHeight="1">
      <c r="A1204" s="1"/>
      <c r="B1204" s="4" t="s">
        <v>1</v>
      </c>
      <c r="C1204" s="5"/>
      <c r="D1204" s="6" t="s">
        <v>2</v>
      </c>
      <c r="E1204" s="7"/>
      <c r="F1204" s="7"/>
      <c r="G1204" s="5"/>
      <c r="H1204" s="8" t="s">
        <v>3</v>
      </c>
      <c r="I1204" s="8" t="s">
        <v>4</v>
      </c>
      <c r="J1204" s="9" t="s">
        <v>5</v>
      </c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5"/>
      <c r="AA1204" s="117" t="s">
        <v>6</v>
      </c>
      <c r="AB1204" s="11"/>
      <c r="AC1204" s="11"/>
      <c r="AD1204" s="11"/>
      <c r="AE1204" s="11"/>
      <c r="AF1204" s="12"/>
      <c r="AG1204" s="1"/>
    </row>
    <row r="1205" ht="21.0" customHeight="1">
      <c r="A1205" s="1"/>
      <c r="B1205" s="149" t="s">
        <v>138</v>
      </c>
      <c r="C1205" s="14" t="str">
        <f>if(B1205="0/0","",choose(weekday(B1205),"(일)","(월)","(화)","(수)","(목)","(금)","(토)"))</f>
        <v/>
      </c>
      <c r="D1205" s="15" t="s">
        <v>7</v>
      </c>
      <c r="E1205" s="16" t="s">
        <v>8</v>
      </c>
      <c r="F1205" s="17"/>
      <c r="G1205" s="18" t="s">
        <v>9</v>
      </c>
      <c r="H1205" s="150" t="s">
        <v>139</v>
      </c>
      <c r="I1205" s="151"/>
      <c r="J1205" s="21" t="s">
        <v>12</v>
      </c>
      <c r="K1205" s="22"/>
      <c r="L1205" s="21" t="s">
        <v>13</v>
      </c>
      <c r="M1205" s="22"/>
      <c r="N1205" s="21" t="s">
        <v>14</v>
      </c>
      <c r="O1205" s="22"/>
      <c r="P1205" s="21" t="s">
        <v>15</v>
      </c>
      <c r="Q1205" s="22"/>
      <c r="R1205" s="23" t="s">
        <v>16</v>
      </c>
      <c r="S1205" s="22"/>
      <c r="T1205" s="23" t="s">
        <v>17</v>
      </c>
      <c r="U1205" s="22"/>
      <c r="V1205" s="23" t="s">
        <v>18</v>
      </c>
      <c r="W1205" s="22"/>
      <c r="X1205" s="23" t="s">
        <v>19</v>
      </c>
      <c r="Y1205" s="22"/>
      <c r="Z1205" s="24" t="s">
        <v>258</v>
      </c>
      <c r="AA1205" s="118" t="s">
        <v>21</v>
      </c>
      <c r="AB1205" s="119" t="s">
        <v>22</v>
      </c>
      <c r="AC1205" s="7"/>
      <c r="AD1205" s="22"/>
      <c r="AE1205" s="120" t="s">
        <v>23</v>
      </c>
      <c r="AF1205" s="22"/>
      <c r="AG1205" s="1"/>
    </row>
    <row r="1206" ht="21.0" customHeight="1">
      <c r="A1206" s="1"/>
      <c r="B1206" s="27">
        <f>iferror(B1205-'현황'!$C$4+1,0)</f>
        <v>0</v>
      </c>
      <c r="C1206" s="28"/>
      <c r="D1206" s="29">
        <v>0.0</v>
      </c>
      <c r="E1206" s="30">
        <v>0.0</v>
      </c>
      <c r="F1206" s="31"/>
      <c r="G1206" s="32">
        <v>0.0</v>
      </c>
      <c r="H1206" s="33">
        <v>0.0</v>
      </c>
      <c r="I1206" s="34"/>
      <c r="J1206" s="35"/>
      <c r="K1206" s="36"/>
      <c r="L1206" s="35"/>
      <c r="M1206" s="36"/>
      <c r="N1206" s="35"/>
      <c r="O1206" s="36"/>
      <c r="P1206" s="35"/>
      <c r="Q1206" s="36"/>
      <c r="R1206" s="35"/>
      <c r="S1206" s="36"/>
      <c r="T1206" s="35"/>
      <c r="U1206" s="36"/>
      <c r="V1206" s="35"/>
      <c r="W1206" s="36"/>
      <c r="X1206" s="35"/>
      <c r="Y1206" s="36"/>
      <c r="Z1206" s="37"/>
      <c r="AA1206" s="37"/>
      <c r="AB1206" s="35"/>
      <c r="AC1206" s="38"/>
      <c r="AD1206" s="36"/>
      <c r="AE1206" s="35"/>
      <c r="AF1206" s="36"/>
      <c r="AG1206" s="1"/>
    </row>
    <row r="1207" ht="21.0" customHeight="1">
      <c r="A1207" s="1"/>
      <c r="B1207" s="39" t="s">
        <v>24</v>
      </c>
      <c r="C1207" s="40"/>
      <c r="D1207" s="41"/>
      <c r="E1207" s="42" t="s">
        <v>25</v>
      </c>
      <c r="F1207" s="40"/>
      <c r="G1207" s="41"/>
      <c r="H1207" s="43" t="s">
        <v>26</v>
      </c>
      <c r="J1207" s="44" t="s">
        <v>27</v>
      </c>
      <c r="K1207" s="45" t="s">
        <v>28</v>
      </c>
      <c r="L1207" s="44" t="s">
        <v>27</v>
      </c>
      <c r="M1207" s="45" t="s">
        <v>28</v>
      </c>
      <c r="N1207" s="44" t="s">
        <v>27</v>
      </c>
      <c r="O1207" s="45" t="s">
        <v>28</v>
      </c>
      <c r="P1207" s="44" t="s">
        <v>27</v>
      </c>
      <c r="Q1207" s="45" t="s">
        <v>28</v>
      </c>
      <c r="R1207" s="44" t="s">
        <v>27</v>
      </c>
      <c r="S1207" s="45" t="s">
        <v>28</v>
      </c>
      <c r="T1207" s="44" t="s">
        <v>27</v>
      </c>
      <c r="U1207" s="45" t="s">
        <v>28</v>
      </c>
      <c r="V1207" s="44" t="s">
        <v>27</v>
      </c>
      <c r="W1207" s="45" t="s">
        <v>28</v>
      </c>
      <c r="X1207" s="44" t="s">
        <v>27</v>
      </c>
      <c r="Y1207" s="45" t="s">
        <v>28</v>
      </c>
      <c r="Z1207" s="46"/>
      <c r="AA1207" s="46"/>
      <c r="AB1207" s="121" t="s">
        <v>29</v>
      </c>
      <c r="AC1207" s="122" t="s">
        <v>30</v>
      </c>
      <c r="AD1207" s="123" t="s">
        <v>31</v>
      </c>
      <c r="AE1207" s="121" t="s">
        <v>27</v>
      </c>
      <c r="AF1207" s="123" t="s">
        <v>28</v>
      </c>
      <c r="AG1207" s="1"/>
    </row>
    <row r="1208" ht="21.0" customHeight="1">
      <c r="A1208" s="1"/>
      <c r="B1208" s="48" t="s">
        <v>32</v>
      </c>
      <c r="C1208" s="49"/>
      <c r="D1208" s="50"/>
      <c r="E1208" s="51" t="s">
        <v>33</v>
      </c>
      <c r="F1208" s="52" t="s">
        <v>34</v>
      </c>
      <c r="G1208" s="53"/>
      <c r="H1208" s="148"/>
      <c r="I1208" s="55"/>
      <c r="J1208" s="58"/>
      <c r="K1208" s="59"/>
      <c r="L1208" s="58"/>
      <c r="M1208" s="59"/>
      <c r="N1208" s="58"/>
      <c r="O1208" s="59"/>
      <c r="P1208" s="58"/>
      <c r="Q1208" s="59"/>
      <c r="R1208" s="58"/>
      <c r="S1208" s="59"/>
      <c r="T1208" s="58"/>
      <c r="U1208" s="59"/>
      <c r="V1208" s="58"/>
      <c r="W1208" s="59"/>
      <c r="X1208" s="58"/>
      <c r="Y1208" s="59"/>
      <c r="Z1208" s="60" t="b">
        <v>0</v>
      </c>
      <c r="AA1208" s="125">
        <f t="shared" ref="AA1208:AA1216" si="481">(J1208*K1208+L1208*M1208+N1208*O1208+P1208*Q1208+R1208*S1208+T1208*U1208+V1208*W1208+X1208*Y1208)*if(Z1208=true,0.453592,1)</f>
        <v>0</v>
      </c>
      <c r="AB1208" s="126">
        <f t="shared" ref="AB1208:AB1216" si="482">SUM(AE1208*AF1208*0.025,AE1208)</f>
        <v>0</v>
      </c>
      <c r="AC1208" s="127">
        <f t="shared" ref="AC1208:AC1216" si="483">AB1208*87%</f>
        <v>0</v>
      </c>
      <c r="AD1208" s="128">
        <f t="shared" ref="AD1208:AD1216" si="484">AB1208*67%</f>
        <v>0</v>
      </c>
      <c r="AE1208" s="126">
        <f t="shared" ref="AE1208:AE1216" si="485">MAX(J1208,L1208,N1208,P1208,R1208,T1208,V1208,X1208)*if(Z1208=true,0.453592,1)</f>
        <v>0</v>
      </c>
      <c r="AF1208" s="128">
        <f t="shared" ref="AF1208:AF1216" si="486">MAX(IF(J1208*if(Z1208=true,0.453592,1)=$AE1208,K1208,0),IF(L1208*if(Z1208=true,0.453592,1)=$AE1208,M1208,0),IF(N1208*if(Z1208=true,0.453592,1)=$AE1208,O1208,0),IF(P1208*if(Z1208=true,0.453592,1)=$AE1208,Q1208,0),IF(R1208*if(Z1208=true,0.453592,1)=$AE1208,S1208,0),IF(T1208*if(Z1208=true,0.453592,1)=$AE1208,U1208,0),IF(V1208*if(Z1208=true,0.453592,1)=$AE1208,W1208,0),IF(X1208*if(Z1208=true,0.453592,1)=$AE1208,Y1208,0))</f>
        <v>0</v>
      </c>
      <c r="AG1208" s="1"/>
    </row>
    <row r="1209" ht="21.0" customHeight="1">
      <c r="A1209" s="1"/>
      <c r="B1209" s="48" t="s">
        <v>36</v>
      </c>
      <c r="C1209" s="49"/>
      <c r="D1209" s="65"/>
      <c r="E1209" s="66"/>
      <c r="F1209" s="52" t="s">
        <v>37</v>
      </c>
      <c r="G1209" s="67"/>
      <c r="H1209" s="129"/>
      <c r="I1209" s="69"/>
      <c r="J1209" s="72"/>
      <c r="K1209" s="73"/>
      <c r="L1209" s="72"/>
      <c r="M1209" s="73"/>
      <c r="N1209" s="72"/>
      <c r="O1209" s="73"/>
      <c r="P1209" s="72"/>
      <c r="Q1209" s="73"/>
      <c r="R1209" s="72"/>
      <c r="S1209" s="73"/>
      <c r="T1209" s="72"/>
      <c r="U1209" s="73"/>
      <c r="V1209" s="72"/>
      <c r="W1209" s="73"/>
      <c r="X1209" s="72"/>
      <c r="Y1209" s="73"/>
      <c r="Z1209" s="74" t="b">
        <v>0</v>
      </c>
      <c r="AA1209" s="130">
        <f t="shared" si="481"/>
        <v>0</v>
      </c>
      <c r="AB1209" s="131">
        <f t="shared" si="482"/>
        <v>0</v>
      </c>
      <c r="AC1209" s="132">
        <f t="shared" si="483"/>
        <v>0</v>
      </c>
      <c r="AD1209" s="133">
        <f t="shared" si="484"/>
        <v>0</v>
      </c>
      <c r="AE1209" s="131">
        <f t="shared" si="485"/>
        <v>0</v>
      </c>
      <c r="AF1209" s="133">
        <f t="shared" si="486"/>
        <v>0</v>
      </c>
      <c r="AG1209" s="1"/>
    </row>
    <row r="1210" ht="21.0" customHeight="1">
      <c r="A1210" s="1"/>
      <c r="B1210" s="48" t="s">
        <v>39</v>
      </c>
      <c r="C1210" s="49"/>
      <c r="D1210" s="65"/>
      <c r="E1210" s="41"/>
      <c r="F1210" s="52" t="s">
        <v>40</v>
      </c>
      <c r="G1210" s="79"/>
      <c r="H1210" s="80"/>
      <c r="I1210" s="69"/>
      <c r="J1210" s="72"/>
      <c r="K1210" s="73"/>
      <c r="L1210" s="72"/>
      <c r="M1210" s="73"/>
      <c r="N1210" s="72"/>
      <c r="O1210" s="73"/>
      <c r="P1210" s="72"/>
      <c r="Q1210" s="73"/>
      <c r="R1210" s="72"/>
      <c r="S1210" s="73"/>
      <c r="T1210" s="72"/>
      <c r="U1210" s="73"/>
      <c r="V1210" s="72"/>
      <c r="W1210" s="73"/>
      <c r="X1210" s="72"/>
      <c r="Y1210" s="73"/>
      <c r="Z1210" s="74" t="b">
        <v>0</v>
      </c>
      <c r="AA1210" s="130">
        <f t="shared" si="481"/>
        <v>0</v>
      </c>
      <c r="AB1210" s="131">
        <f t="shared" si="482"/>
        <v>0</v>
      </c>
      <c r="AC1210" s="132">
        <f t="shared" si="483"/>
        <v>0</v>
      </c>
      <c r="AD1210" s="133">
        <f t="shared" si="484"/>
        <v>0</v>
      </c>
      <c r="AE1210" s="131">
        <f t="shared" si="485"/>
        <v>0</v>
      </c>
      <c r="AF1210" s="133">
        <f t="shared" si="486"/>
        <v>0</v>
      </c>
      <c r="AG1210" s="1"/>
    </row>
    <row r="1211" ht="21.0" customHeight="1">
      <c r="A1211" s="1"/>
      <c r="B1211" s="48" t="s">
        <v>41</v>
      </c>
      <c r="C1211" s="81"/>
      <c r="D1211" s="82" t="b">
        <v>0</v>
      </c>
      <c r="E1211" s="51" t="s">
        <v>42</v>
      </c>
      <c r="F1211" s="52" t="s">
        <v>34</v>
      </c>
      <c r="G1211" s="83"/>
      <c r="H1211" s="84"/>
      <c r="I1211" s="85"/>
      <c r="J1211" s="72"/>
      <c r="K1211" s="73"/>
      <c r="L1211" s="72"/>
      <c r="M1211" s="73"/>
      <c r="N1211" s="72"/>
      <c r="O1211" s="73"/>
      <c r="P1211" s="72"/>
      <c r="Q1211" s="73"/>
      <c r="R1211" s="72"/>
      <c r="S1211" s="73"/>
      <c r="T1211" s="72"/>
      <c r="U1211" s="73"/>
      <c r="V1211" s="72"/>
      <c r="W1211" s="73"/>
      <c r="X1211" s="72"/>
      <c r="Y1211" s="73"/>
      <c r="Z1211" s="74" t="b">
        <v>0</v>
      </c>
      <c r="AA1211" s="130">
        <f t="shared" si="481"/>
        <v>0</v>
      </c>
      <c r="AB1211" s="131">
        <f t="shared" si="482"/>
        <v>0</v>
      </c>
      <c r="AC1211" s="132">
        <f t="shared" si="483"/>
        <v>0</v>
      </c>
      <c r="AD1211" s="133">
        <f t="shared" si="484"/>
        <v>0</v>
      </c>
      <c r="AE1211" s="131">
        <f t="shared" si="485"/>
        <v>0</v>
      </c>
      <c r="AF1211" s="133">
        <f t="shared" si="486"/>
        <v>0</v>
      </c>
      <c r="AG1211" s="1"/>
    </row>
    <row r="1212" ht="21.0" customHeight="1">
      <c r="A1212" s="1"/>
      <c r="B1212" s="48" t="s">
        <v>43</v>
      </c>
      <c r="C1212" s="49"/>
      <c r="D1212" s="86" t="b">
        <v>0</v>
      </c>
      <c r="E1212" s="66"/>
      <c r="F1212" s="52" t="s">
        <v>37</v>
      </c>
      <c r="G1212" s="67"/>
      <c r="H1212" s="80"/>
      <c r="I1212" s="69"/>
      <c r="J1212" s="72"/>
      <c r="K1212" s="73"/>
      <c r="L1212" s="72"/>
      <c r="M1212" s="73"/>
      <c r="N1212" s="72"/>
      <c r="O1212" s="73"/>
      <c r="P1212" s="72"/>
      <c r="Q1212" s="73"/>
      <c r="R1212" s="72"/>
      <c r="S1212" s="73"/>
      <c r="T1212" s="72"/>
      <c r="U1212" s="73"/>
      <c r="V1212" s="72"/>
      <c r="W1212" s="73"/>
      <c r="X1212" s="72"/>
      <c r="Y1212" s="73"/>
      <c r="Z1212" s="74" t="b">
        <v>0</v>
      </c>
      <c r="AA1212" s="130">
        <f t="shared" si="481"/>
        <v>0</v>
      </c>
      <c r="AB1212" s="131">
        <f t="shared" si="482"/>
        <v>0</v>
      </c>
      <c r="AC1212" s="132">
        <f t="shared" si="483"/>
        <v>0</v>
      </c>
      <c r="AD1212" s="133">
        <f t="shared" si="484"/>
        <v>0</v>
      </c>
      <c r="AE1212" s="131">
        <f t="shared" si="485"/>
        <v>0</v>
      </c>
      <c r="AF1212" s="133">
        <f t="shared" si="486"/>
        <v>0</v>
      </c>
      <c r="AG1212" s="1"/>
    </row>
    <row r="1213" ht="21.0" customHeight="1">
      <c r="A1213" s="1"/>
      <c r="B1213" s="87" t="str">
        <f t="array" ref="B1213">"📌최근 인바디 결과 : "&amp;text(xlookup(B1205,'현황'!O:O,'현황'!O:O,,-1,-1),"m/d(ddd)")</f>
        <v>#REF!</v>
      </c>
      <c r="C1213" s="88"/>
      <c r="D1213" s="49"/>
      <c r="E1213" s="41"/>
      <c r="F1213" s="52" t="s">
        <v>40</v>
      </c>
      <c r="G1213" s="79"/>
      <c r="H1213" s="80"/>
      <c r="I1213" s="69"/>
      <c r="J1213" s="72"/>
      <c r="K1213" s="73"/>
      <c r="L1213" s="72"/>
      <c r="M1213" s="73"/>
      <c r="N1213" s="72"/>
      <c r="O1213" s="73"/>
      <c r="P1213" s="72"/>
      <c r="Q1213" s="73"/>
      <c r="R1213" s="72"/>
      <c r="S1213" s="73"/>
      <c r="T1213" s="72"/>
      <c r="U1213" s="73"/>
      <c r="V1213" s="72"/>
      <c r="W1213" s="73"/>
      <c r="X1213" s="72"/>
      <c r="Y1213" s="73"/>
      <c r="Z1213" s="74" t="b">
        <v>0</v>
      </c>
      <c r="AA1213" s="130">
        <f t="shared" si="481"/>
        <v>0</v>
      </c>
      <c r="AB1213" s="131">
        <f t="shared" si="482"/>
        <v>0</v>
      </c>
      <c r="AC1213" s="132">
        <f t="shared" si="483"/>
        <v>0</v>
      </c>
      <c r="AD1213" s="133">
        <f t="shared" si="484"/>
        <v>0</v>
      </c>
      <c r="AE1213" s="131">
        <f t="shared" si="485"/>
        <v>0</v>
      </c>
      <c r="AF1213" s="133">
        <f t="shared" si="486"/>
        <v>0</v>
      </c>
      <c r="AG1213" s="1"/>
    </row>
    <row r="1214" ht="21.0" customHeight="1">
      <c r="A1214" s="1"/>
      <c r="B1214" s="89" t="s">
        <v>44</v>
      </c>
      <c r="C1214" s="49"/>
      <c r="D1214" s="90">
        <f t="array" ref="D1214">iferror(vlookup(xlookup(B1205,'현황'!O:O,'현황'!O:O,,-1,-1),'현황'!O:S,2,false),0)</f>
        <v>0</v>
      </c>
      <c r="E1214" s="51" t="s">
        <v>45</v>
      </c>
      <c r="F1214" s="52" t="s">
        <v>34</v>
      </c>
      <c r="G1214" s="83"/>
      <c r="H1214" s="84"/>
      <c r="I1214" s="85"/>
      <c r="J1214" s="72"/>
      <c r="K1214" s="73"/>
      <c r="L1214" s="72"/>
      <c r="M1214" s="73"/>
      <c r="N1214" s="72"/>
      <c r="O1214" s="73"/>
      <c r="P1214" s="72"/>
      <c r="Q1214" s="73"/>
      <c r="R1214" s="72"/>
      <c r="S1214" s="73"/>
      <c r="T1214" s="72"/>
      <c r="U1214" s="73"/>
      <c r="V1214" s="72"/>
      <c r="W1214" s="73"/>
      <c r="X1214" s="72"/>
      <c r="Y1214" s="73"/>
      <c r="Z1214" s="74" t="b">
        <v>0</v>
      </c>
      <c r="AA1214" s="130">
        <f t="shared" si="481"/>
        <v>0</v>
      </c>
      <c r="AB1214" s="131">
        <f t="shared" si="482"/>
        <v>0</v>
      </c>
      <c r="AC1214" s="132">
        <f t="shared" si="483"/>
        <v>0</v>
      </c>
      <c r="AD1214" s="133">
        <f t="shared" si="484"/>
        <v>0</v>
      </c>
      <c r="AE1214" s="131">
        <f t="shared" si="485"/>
        <v>0</v>
      </c>
      <c r="AF1214" s="133">
        <f t="shared" si="486"/>
        <v>0</v>
      </c>
      <c r="AG1214" s="1"/>
    </row>
    <row r="1215" ht="21.0" customHeight="1">
      <c r="A1215" s="1"/>
      <c r="B1215" s="48" t="s">
        <v>46</v>
      </c>
      <c r="C1215" s="49"/>
      <c r="D1215" s="91">
        <f t="array" ref="D1215">iferror(vlookup(xlookup(B1205,'현황'!O:O,'현황'!O:O,,-1,-1),'현황'!O:S,3,false),0)</f>
        <v>0</v>
      </c>
      <c r="E1215" s="66"/>
      <c r="F1215" s="52" t="s">
        <v>37</v>
      </c>
      <c r="G1215" s="67"/>
      <c r="H1215" s="80"/>
      <c r="I1215" s="69"/>
      <c r="J1215" s="72"/>
      <c r="K1215" s="73"/>
      <c r="L1215" s="72"/>
      <c r="M1215" s="73"/>
      <c r="N1215" s="72"/>
      <c r="O1215" s="73"/>
      <c r="P1215" s="72"/>
      <c r="Q1215" s="73"/>
      <c r="R1215" s="72"/>
      <c r="S1215" s="73"/>
      <c r="T1215" s="72"/>
      <c r="U1215" s="73"/>
      <c r="V1215" s="72"/>
      <c r="W1215" s="73"/>
      <c r="X1215" s="72"/>
      <c r="Y1215" s="73"/>
      <c r="Z1215" s="74" t="b">
        <v>0</v>
      </c>
      <c r="AA1215" s="130">
        <f t="shared" si="481"/>
        <v>0</v>
      </c>
      <c r="AB1215" s="131">
        <f t="shared" si="482"/>
        <v>0</v>
      </c>
      <c r="AC1215" s="132">
        <f t="shared" si="483"/>
        <v>0</v>
      </c>
      <c r="AD1215" s="133">
        <f t="shared" si="484"/>
        <v>0</v>
      </c>
      <c r="AE1215" s="131">
        <f t="shared" si="485"/>
        <v>0</v>
      </c>
      <c r="AF1215" s="133">
        <f t="shared" si="486"/>
        <v>0</v>
      </c>
      <c r="AG1215" s="1"/>
    </row>
    <row r="1216" ht="21.0" customHeight="1">
      <c r="A1216" s="1"/>
      <c r="B1216" s="48" t="s">
        <v>47</v>
      </c>
      <c r="C1216" s="49"/>
      <c r="D1216" s="91">
        <f t="array" ref="D1216">iferror(vlookup(xlookup(B1205,'현황'!O:O,'현황'!O:O,,-1,-1),'현황'!O:S,4,false),0)</f>
        <v>0</v>
      </c>
      <c r="E1216" s="41"/>
      <c r="F1216" s="92" t="s">
        <v>40</v>
      </c>
      <c r="G1216" s="79"/>
      <c r="H1216" s="93"/>
      <c r="I1216" s="94"/>
      <c r="J1216" s="95"/>
      <c r="K1216" s="96"/>
      <c r="L1216" s="95"/>
      <c r="M1216" s="96"/>
      <c r="N1216" s="95"/>
      <c r="O1216" s="96"/>
      <c r="P1216" s="95"/>
      <c r="Q1216" s="96"/>
      <c r="R1216" s="95"/>
      <c r="S1216" s="96"/>
      <c r="T1216" s="95"/>
      <c r="U1216" s="96"/>
      <c r="V1216" s="95"/>
      <c r="W1216" s="96"/>
      <c r="X1216" s="95"/>
      <c r="Y1216" s="96"/>
      <c r="Z1216" s="97" t="b">
        <v>0</v>
      </c>
      <c r="AA1216" s="135">
        <f t="shared" si="481"/>
        <v>0</v>
      </c>
      <c r="AB1216" s="136">
        <f t="shared" si="482"/>
        <v>0</v>
      </c>
      <c r="AC1216" s="137">
        <f t="shared" si="483"/>
        <v>0</v>
      </c>
      <c r="AD1216" s="138">
        <f t="shared" si="484"/>
        <v>0</v>
      </c>
      <c r="AE1216" s="136">
        <f t="shared" si="485"/>
        <v>0</v>
      </c>
      <c r="AF1216" s="138">
        <f t="shared" si="486"/>
        <v>0</v>
      </c>
      <c r="AG1216" s="1"/>
    </row>
    <row r="1217" ht="21.0" customHeight="1">
      <c r="A1217" s="1"/>
      <c r="B1217" s="102" t="s">
        <v>48</v>
      </c>
      <c r="C1217" s="103"/>
      <c r="D1217" s="104">
        <f>iferror(D1216/D1214,0)</f>
        <v>0</v>
      </c>
      <c r="E1217" s="102" t="s">
        <v>49</v>
      </c>
      <c r="F1217" s="103"/>
      <c r="G1217" s="105"/>
      <c r="H1217" s="106" t="s">
        <v>50</v>
      </c>
      <c r="I1217" s="107"/>
      <c r="J1217" s="11"/>
      <c r="K1217" s="11"/>
      <c r="L1217" s="11"/>
      <c r="M1217" s="11"/>
      <c r="N1217" s="11"/>
      <c r="O1217" s="11"/>
      <c r="P1217" s="108" t="s">
        <v>51</v>
      </c>
      <c r="Q1217" s="12"/>
      <c r="R1217" s="109"/>
      <c r="S1217" s="11"/>
      <c r="T1217" s="11"/>
      <c r="U1217" s="11"/>
      <c r="V1217" s="11"/>
      <c r="W1217" s="11"/>
      <c r="X1217" s="11"/>
      <c r="Y1217" s="11"/>
      <c r="Z1217" s="12"/>
      <c r="AA1217" s="139">
        <f>SUM(AA1208:AA1216)</f>
        <v>0</v>
      </c>
      <c r="AB1217" s="140" t="s">
        <v>259</v>
      </c>
      <c r="AG1217" s="1"/>
    </row>
    <row r="1218" ht="21.0" customHeight="1">
      <c r="A1218" s="1"/>
      <c r="B1218" s="1"/>
      <c r="C1218" s="1"/>
      <c r="D1218" s="1"/>
      <c r="E1218" s="1"/>
      <c r="F1218" s="1"/>
      <c r="G1218" s="1"/>
      <c r="H1218" s="1"/>
      <c r="I1218" s="1"/>
      <c r="AA1218" s="1"/>
      <c r="AB1218" s="1"/>
      <c r="AC1218" s="3"/>
      <c r="AD1218" s="1"/>
      <c r="AE1218" s="1"/>
      <c r="AF1218" s="1"/>
      <c r="AG1218" s="1"/>
    </row>
    <row r="1219" ht="21.0" customHeight="1">
      <c r="A1219" s="1"/>
      <c r="B1219" s="4" t="s">
        <v>1</v>
      </c>
      <c r="C1219" s="5"/>
      <c r="D1219" s="6" t="s">
        <v>2</v>
      </c>
      <c r="E1219" s="7"/>
      <c r="F1219" s="7"/>
      <c r="G1219" s="5"/>
      <c r="H1219" s="8" t="s">
        <v>3</v>
      </c>
      <c r="I1219" s="8" t="s">
        <v>4</v>
      </c>
      <c r="J1219" s="9" t="s">
        <v>5</v>
      </c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5"/>
      <c r="AA1219" s="117" t="s">
        <v>6</v>
      </c>
      <c r="AB1219" s="11"/>
      <c r="AC1219" s="11"/>
      <c r="AD1219" s="11"/>
      <c r="AE1219" s="11"/>
      <c r="AF1219" s="12"/>
      <c r="AG1219" s="1"/>
    </row>
    <row r="1220" ht="21.0" customHeight="1">
      <c r="A1220" s="1"/>
      <c r="B1220" s="149" t="s">
        <v>138</v>
      </c>
      <c r="C1220" s="14" t="str">
        <f>if(B1220="0/0","",choose(weekday(B1220),"(일)","(월)","(화)","(수)","(목)","(금)","(토)"))</f>
        <v/>
      </c>
      <c r="D1220" s="15" t="s">
        <v>7</v>
      </c>
      <c r="E1220" s="16" t="s">
        <v>8</v>
      </c>
      <c r="F1220" s="17"/>
      <c r="G1220" s="18" t="s">
        <v>9</v>
      </c>
      <c r="H1220" s="150" t="s">
        <v>139</v>
      </c>
      <c r="I1220" s="151"/>
      <c r="J1220" s="21" t="s">
        <v>12</v>
      </c>
      <c r="K1220" s="22"/>
      <c r="L1220" s="21" t="s">
        <v>13</v>
      </c>
      <c r="M1220" s="22"/>
      <c r="N1220" s="21" t="s">
        <v>14</v>
      </c>
      <c r="O1220" s="22"/>
      <c r="P1220" s="21" t="s">
        <v>15</v>
      </c>
      <c r="Q1220" s="22"/>
      <c r="R1220" s="23" t="s">
        <v>16</v>
      </c>
      <c r="S1220" s="22"/>
      <c r="T1220" s="23" t="s">
        <v>17</v>
      </c>
      <c r="U1220" s="22"/>
      <c r="V1220" s="23" t="s">
        <v>18</v>
      </c>
      <c r="W1220" s="22"/>
      <c r="X1220" s="23" t="s">
        <v>19</v>
      </c>
      <c r="Y1220" s="22"/>
      <c r="Z1220" s="24" t="s">
        <v>260</v>
      </c>
      <c r="AA1220" s="118" t="s">
        <v>21</v>
      </c>
      <c r="AB1220" s="119" t="s">
        <v>22</v>
      </c>
      <c r="AC1220" s="7"/>
      <c r="AD1220" s="22"/>
      <c r="AE1220" s="120" t="s">
        <v>23</v>
      </c>
      <c r="AF1220" s="22"/>
      <c r="AG1220" s="1"/>
    </row>
    <row r="1221" ht="21.0" customHeight="1">
      <c r="A1221" s="1"/>
      <c r="B1221" s="27">
        <f>iferror(B1220-'현황'!$C$4+1,0)</f>
        <v>0</v>
      </c>
      <c r="C1221" s="28"/>
      <c r="D1221" s="29">
        <v>0.0</v>
      </c>
      <c r="E1221" s="30">
        <v>0.0</v>
      </c>
      <c r="F1221" s="31"/>
      <c r="G1221" s="32">
        <v>0.0</v>
      </c>
      <c r="H1221" s="33">
        <v>0.0</v>
      </c>
      <c r="I1221" s="34"/>
      <c r="J1221" s="35"/>
      <c r="K1221" s="36"/>
      <c r="L1221" s="35"/>
      <c r="M1221" s="36"/>
      <c r="N1221" s="35"/>
      <c r="O1221" s="36"/>
      <c r="P1221" s="35"/>
      <c r="Q1221" s="36"/>
      <c r="R1221" s="35"/>
      <c r="S1221" s="36"/>
      <c r="T1221" s="35"/>
      <c r="U1221" s="36"/>
      <c r="V1221" s="35"/>
      <c r="W1221" s="36"/>
      <c r="X1221" s="35"/>
      <c r="Y1221" s="36"/>
      <c r="Z1221" s="37"/>
      <c r="AA1221" s="37"/>
      <c r="AB1221" s="35"/>
      <c r="AC1221" s="38"/>
      <c r="AD1221" s="36"/>
      <c r="AE1221" s="35"/>
      <c r="AF1221" s="36"/>
      <c r="AG1221" s="1"/>
    </row>
    <row r="1222" ht="21.0" customHeight="1">
      <c r="A1222" s="1"/>
      <c r="B1222" s="39" t="s">
        <v>24</v>
      </c>
      <c r="C1222" s="40"/>
      <c r="D1222" s="41"/>
      <c r="E1222" s="42" t="s">
        <v>25</v>
      </c>
      <c r="F1222" s="40"/>
      <c r="G1222" s="41"/>
      <c r="H1222" s="43" t="s">
        <v>26</v>
      </c>
      <c r="J1222" s="44" t="s">
        <v>27</v>
      </c>
      <c r="K1222" s="45" t="s">
        <v>28</v>
      </c>
      <c r="L1222" s="44" t="s">
        <v>27</v>
      </c>
      <c r="M1222" s="45" t="s">
        <v>28</v>
      </c>
      <c r="N1222" s="44" t="s">
        <v>27</v>
      </c>
      <c r="O1222" s="45" t="s">
        <v>28</v>
      </c>
      <c r="P1222" s="44" t="s">
        <v>27</v>
      </c>
      <c r="Q1222" s="45" t="s">
        <v>28</v>
      </c>
      <c r="R1222" s="44" t="s">
        <v>27</v>
      </c>
      <c r="S1222" s="45" t="s">
        <v>28</v>
      </c>
      <c r="T1222" s="44" t="s">
        <v>27</v>
      </c>
      <c r="U1222" s="45" t="s">
        <v>28</v>
      </c>
      <c r="V1222" s="44" t="s">
        <v>27</v>
      </c>
      <c r="W1222" s="45" t="s">
        <v>28</v>
      </c>
      <c r="X1222" s="44" t="s">
        <v>27</v>
      </c>
      <c r="Y1222" s="45" t="s">
        <v>28</v>
      </c>
      <c r="Z1222" s="46"/>
      <c r="AA1222" s="46"/>
      <c r="AB1222" s="121" t="s">
        <v>29</v>
      </c>
      <c r="AC1222" s="122" t="s">
        <v>30</v>
      </c>
      <c r="AD1222" s="123" t="s">
        <v>31</v>
      </c>
      <c r="AE1222" s="121" t="s">
        <v>27</v>
      </c>
      <c r="AF1222" s="123" t="s">
        <v>28</v>
      </c>
      <c r="AG1222" s="1"/>
    </row>
    <row r="1223" ht="21.0" customHeight="1">
      <c r="A1223" s="1"/>
      <c r="B1223" s="48" t="s">
        <v>32</v>
      </c>
      <c r="C1223" s="49"/>
      <c r="D1223" s="50"/>
      <c r="E1223" s="51" t="s">
        <v>33</v>
      </c>
      <c r="F1223" s="52" t="s">
        <v>34</v>
      </c>
      <c r="G1223" s="53"/>
      <c r="H1223" s="148"/>
      <c r="I1223" s="55"/>
      <c r="J1223" s="58"/>
      <c r="K1223" s="59"/>
      <c r="L1223" s="58"/>
      <c r="M1223" s="59"/>
      <c r="N1223" s="58"/>
      <c r="O1223" s="59"/>
      <c r="P1223" s="58"/>
      <c r="Q1223" s="59"/>
      <c r="R1223" s="58"/>
      <c r="S1223" s="59"/>
      <c r="T1223" s="58"/>
      <c r="U1223" s="59"/>
      <c r="V1223" s="58"/>
      <c r="W1223" s="59"/>
      <c r="X1223" s="58"/>
      <c r="Y1223" s="59"/>
      <c r="Z1223" s="60" t="b">
        <v>0</v>
      </c>
      <c r="AA1223" s="125">
        <f t="shared" ref="AA1223:AA1231" si="487">(J1223*K1223+L1223*M1223+N1223*O1223+P1223*Q1223+R1223*S1223+T1223*U1223+V1223*W1223+X1223*Y1223)*if(Z1223=true,0.453592,1)</f>
        <v>0</v>
      </c>
      <c r="AB1223" s="126">
        <f t="shared" ref="AB1223:AB1231" si="488">SUM(AE1223*AF1223*0.025,AE1223)</f>
        <v>0</v>
      </c>
      <c r="AC1223" s="127">
        <f t="shared" ref="AC1223:AC1231" si="489">AB1223*87%</f>
        <v>0</v>
      </c>
      <c r="AD1223" s="128">
        <f t="shared" ref="AD1223:AD1231" si="490">AB1223*67%</f>
        <v>0</v>
      </c>
      <c r="AE1223" s="126">
        <f t="shared" ref="AE1223:AE1231" si="491">MAX(J1223,L1223,N1223,P1223,R1223,T1223,V1223,X1223)*if(Z1223=true,0.453592,1)</f>
        <v>0</v>
      </c>
      <c r="AF1223" s="128">
        <f t="shared" ref="AF1223:AF1231" si="492">MAX(IF(J1223*if(Z1223=true,0.453592,1)=$AE1223,K1223,0),IF(L1223*if(Z1223=true,0.453592,1)=$AE1223,M1223,0),IF(N1223*if(Z1223=true,0.453592,1)=$AE1223,O1223,0),IF(P1223*if(Z1223=true,0.453592,1)=$AE1223,Q1223,0),IF(R1223*if(Z1223=true,0.453592,1)=$AE1223,S1223,0),IF(T1223*if(Z1223=true,0.453592,1)=$AE1223,U1223,0),IF(V1223*if(Z1223=true,0.453592,1)=$AE1223,W1223,0),IF(X1223*if(Z1223=true,0.453592,1)=$AE1223,Y1223,0))</f>
        <v>0</v>
      </c>
      <c r="AG1223" s="1"/>
    </row>
    <row r="1224" ht="21.0" customHeight="1">
      <c r="A1224" s="1"/>
      <c r="B1224" s="48" t="s">
        <v>36</v>
      </c>
      <c r="C1224" s="49"/>
      <c r="D1224" s="65"/>
      <c r="E1224" s="66"/>
      <c r="F1224" s="52" t="s">
        <v>37</v>
      </c>
      <c r="G1224" s="67"/>
      <c r="H1224" s="129"/>
      <c r="I1224" s="69"/>
      <c r="J1224" s="72"/>
      <c r="K1224" s="73"/>
      <c r="L1224" s="72"/>
      <c r="M1224" s="73"/>
      <c r="N1224" s="72"/>
      <c r="O1224" s="73"/>
      <c r="P1224" s="72"/>
      <c r="Q1224" s="73"/>
      <c r="R1224" s="72"/>
      <c r="S1224" s="73"/>
      <c r="T1224" s="72"/>
      <c r="U1224" s="73"/>
      <c r="V1224" s="72"/>
      <c r="W1224" s="73"/>
      <c r="X1224" s="72"/>
      <c r="Y1224" s="73"/>
      <c r="Z1224" s="74" t="b">
        <v>0</v>
      </c>
      <c r="AA1224" s="130">
        <f t="shared" si="487"/>
        <v>0</v>
      </c>
      <c r="AB1224" s="131">
        <f t="shared" si="488"/>
        <v>0</v>
      </c>
      <c r="AC1224" s="132">
        <f t="shared" si="489"/>
        <v>0</v>
      </c>
      <c r="AD1224" s="133">
        <f t="shared" si="490"/>
        <v>0</v>
      </c>
      <c r="AE1224" s="131">
        <f t="shared" si="491"/>
        <v>0</v>
      </c>
      <c r="AF1224" s="133">
        <f t="shared" si="492"/>
        <v>0</v>
      </c>
      <c r="AG1224" s="1"/>
    </row>
    <row r="1225" ht="21.0" customHeight="1">
      <c r="A1225" s="1"/>
      <c r="B1225" s="48" t="s">
        <v>39</v>
      </c>
      <c r="C1225" s="49"/>
      <c r="D1225" s="65"/>
      <c r="E1225" s="41"/>
      <c r="F1225" s="52" t="s">
        <v>40</v>
      </c>
      <c r="G1225" s="79"/>
      <c r="H1225" s="80"/>
      <c r="I1225" s="69"/>
      <c r="J1225" s="72"/>
      <c r="K1225" s="73"/>
      <c r="L1225" s="72"/>
      <c r="M1225" s="73"/>
      <c r="N1225" s="72"/>
      <c r="O1225" s="73"/>
      <c r="P1225" s="72"/>
      <c r="Q1225" s="73"/>
      <c r="R1225" s="72"/>
      <c r="S1225" s="73"/>
      <c r="T1225" s="72"/>
      <c r="U1225" s="73"/>
      <c r="V1225" s="72"/>
      <c r="W1225" s="73"/>
      <c r="X1225" s="72"/>
      <c r="Y1225" s="73"/>
      <c r="Z1225" s="74" t="b">
        <v>0</v>
      </c>
      <c r="AA1225" s="130">
        <f t="shared" si="487"/>
        <v>0</v>
      </c>
      <c r="AB1225" s="131">
        <f t="shared" si="488"/>
        <v>0</v>
      </c>
      <c r="AC1225" s="132">
        <f t="shared" si="489"/>
        <v>0</v>
      </c>
      <c r="AD1225" s="133">
        <f t="shared" si="490"/>
        <v>0</v>
      </c>
      <c r="AE1225" s="131">
        <f t="shared" si="491"/>
        <v>0</v>
      </c>
      <c r="AF1225" s="133">
        <f t="shared" si="492"/>
        <v>0</v>
      </c>
      <c r="AG1225" s="1"/>
    </row>
    <row r="1226" ht="21.0" customHeight="1">
      <c r="A1226" s="1"/>
      <c r="B1226" s="48" t="s">
        <v>41</v>
      </c>
      <c r="C1226" s="81"/>
      <c r="D1226" s="82" t="b">
        <v>0</v>
      </c>
      <c r="E1226" s="51" t="s">
        <v>42</v>
      </c>
      <c r="F1226" s="52" t="s">
        <v>34</v>
      </c>
      <c r="G1226" s="83"/>
      <c r="H1226" s="84"/>
      <c r="I1226" s="85"/>
      <c r="J1226" s="72"/>
      <c r="K1226" s="73"/>
      <c r="L1226" s="72"/>
      <c r="M1226" s="73"/>
      <c r="N1226" s="72"/>
      <c r="O1226" s="73"/>
      <c r="P1226" s="72"/>
      <c r="Q1226" s="73"/>
      <c r="R1226" s="72"/>
      <c r="S1226" s="73"/>
      <c r="T1226" s="72"/>
      <c r="U1226" s="73"/>
      <c r="V1226" s="72"/>
      <c r="W1226" s="73"/>
      <c r="X1226" s="72"/>
      <c r="Y1226" s="73"/>
      <c r="Z1226" s="74" t="b">
        <v>0</v>
      </c>
      <c r="AA1226" s="130">
        <f t="shared" si="487"/>
        <v>0</v>
      </c>
      <c r="AB1226" s="131">
        <f t="shared" si="488"/>
        <v>0</v>
      </c>
      <c r="AC1226" s="132">
        <f t="shared" si="489"/>
        <v>0</v>
      </c>
      <c r="AD1226" s="133">
        <f t="shared" si="490"/>
        <v>0</v>
      </c>
      <c r="AE1226" s="131">
        <f t="shared" si="491"/>
        <v>0</v>
      </c>
      <c r="AF1226" s="133">
        <f t="shared" si="492"/>
        <v>0</v>
      </c>
      <c r="AG1226" s="1"/>
    </row>
    <row r="1227" ht="21.0" customHeight="1">
      <c r="A1227" s="1"/>
      <c r="B1227" s="48" t="s">
        <v>43</v>
      </c>
      <c r="C1227" s="49"/>
      <c r="D1227" s="86" t="b">
        <v>0</v>
      </c>
      <c r="E1227" s="66"/>
      <c r="F1227" s="52" t="s">
        <v>37</v>
      </c>
      <c r="G1227" s="67"/>
      <c r="H1227" s="80"/>
      <c r="I1227" s="69"/>
      <c r="J1227" s="72"/>
      <c r="K1227" s="73"/>
      <c r="L1227" s="72"/>
      <c r="M1227" s="73"/>
      <c r="N1227" s="72"/>
      <c r="O1227" s="73"/>
      <c r="P1227" s="72"/>
      <c r="Q1227" s="73"/>
      <c r="R1227" s="72"/>
      <c r="S1227" s="73"/>
      <c r="T1227" s="72"/>
      <c r="U1227" s="73"/>
      <c r="V1227" s="72"/>
      <c r="W1227" s="73"/>
      <c r="X1227" s="72"/>
      <c r="Y1227" s="73"/>
      <c r="Z1227" s="74" t="b">
        <v>0</v>
      </c>
      <c r="AA1227" s="130">
        <f t="shared" si="487"/>
        <v>0</v>
      </c>
      <c r="AB1227" s="131">
        <f t="shared" si="488"/>
        <v>0</v>
      </c>
      <c r="AC1227" s="132">
        <f t="shared" si="489"/>
        <v>0</v>
      </c>
      <c r="AD1227" s="133">
        <f t="shared" si="490"/>
        <v>0</v>
      </c>
      <c r="AE1227" s="131">
        <f t="shared" si="491"/>
        <v>0</v>
      </c>
      <c r="AF1227" s="133">
        <f t="shared" si="492"/>
        <v>0</v>
      </c>
      <c r="AG1227" s="1"/>
    </row>
    <row r="1228" ht="21.0" customHeight="1">
      <c r="A1228" s="1"/>
      <c r="B1228" s="87" t="str">
        <f t="array" ref="B1228">"📌최근 인바디 결과 : "&amp;text(xlookup(B1220,'현황'!O:O,'현황'!O:O,,-1,-1),"m/d(ddd)")</f>
        <v>#REF!</v>
      </c>
      <c r="C1228" s="88"/>
      <c r="D1228" s="49"/>
      <c r="E1228" s="41"/>
      <c r="F1228" s="52" t="s">
        <v>40</v>
      </c>
      <c r="G1228" s="79"/>
      <c r="H1228" s="80"/>
      <c r="I1228" s="69"/>
      <c r="J1228" s="72"/>
      <c r="K1228" s="73"/>
      <c r="L1228" s="72"/>
      <c r="M1228" s="73"/>
      <c r="N1228" s="72"/>
      <c r="O1228" s="73"/>
      <c r="P1228" s="72"/>
      <c r="Q1228" s="73"/>
      <c r="R1228" s="72"/>
      <c r="S1228" s="73"/>
      <c r="T1228" s="72"/>
      <c r="U1228" s="73"/>
      <c r="V1228" s="72"/>
      <c r="W1228" s="73"/>
      <c r="X1228" s="72"/>
      <c r="Y1228" s="73"/>
      <c r="Z1228" s="74" t="b">
        <v>0</v>
      </c>
      <c r="AA1228" s="130">
        <f t="shared" si="487"/>
        <v>0</v>
      </c>
      <c r="AB1228" s="131">
        <f t="shared" si="488"/>
        <v>0</v>
      </c>
      <c r="AC1228" s="132">
        <f t="shared" si="489"/>
        <v>0</v>
      </c>
      <c r="AD1228" s="133">
        <f t="shared" si="490"/>
        <v>0</v>
      </c>
      <c r="AE1228" s="131">
        <f t="shared" si="491"/>
        <v>0</v>
      </c>
      <c r="AF1228" s="133">
        <f t="shared" si="492"/>
        <v>0</v>
      </c>
      <c r="AG1228" s="1"/>
    </row>
    <row r="1229" ht="21.0" customHeight="1">
      <c r="A1229" s="1"/>
      <c r="B1229" s="89" t="s">
        <v>44</v>
      </c>
      <c r="C1229" s="49"/>
      <c r="D1229" s="90">
        <f t="array" ref="D1229">iferror(vlookup(xlookup(B1220,'현황'!O:O,'현황'!O:O,,-1,-1),'현황'!O:S,2,false),0)</f>
        <v>0</v>
      </c>
      <c r="E1229" s="51" t="s">
        <v>45</v>
      </c>
      <c r="F1229" s="52" t="s">
        <v>34</v>
      </c>
      <c r="G1229" s="83"/>
      <c r="H1229" s="84"/>
      <c r="I1229" s="85"/>
      <c r="J1229" s="72"/>
      <c r="K1229" s="73"/>
      <c r="L1229" s="72"/>
      <c r="M1229" s="73"/>
      <c r="N1229" s="72"/>
      <c r="O1229" s="73"/>
      <c r="P1229" s="72"/>
      <c r="Q1229" s="73"/>
      <c r="R1229" s="72"/>
      <c r="S1229" s="73"/>
      <c r="T1229" s="72"/>
      <c r="U1229" s="73"/>
      <c r="V1229" s="72"/>
      <c r="W1229" s="73"/>
      <c r="X1229" s="72"/>
      <c r="Y1229" s="73"/>
      <c r="Z1229" s="74" t="b">
        <v>0</v>
      </c>
      <c r="AA1229" s="130">
        <f t="shared" si="487"/>
        <v>0</v>
      </c>
      <c r="AB1229" s="131">
        <f t="shared" si="488"/>
        <v>0</v>
      </c>
      <c r="AC1229" s="132">
        <f t="shared" si="489"/>
        <v>0</v>
      </c>
      <c r="AD1229" s="133">
        <f t="shared" si="490"/>
        <v>0</v>
      </c>
      <c r="AE1229" s="131">
        <f t="shared" si="491"/>
        <v>0</v>
      </c>
      <c r="AF1229" s="133">
        <f t="shared" si="492"/>
        <v>0</v>
      </c>
      <c r="AG1229" s="1"/>
    </row>
    <row r="1230" ht="21.0" customHeight="1">
      <c r="A1230" s="1"/>
      <c r="B1230" s="48" t="s">
        <v>46</v>
      </c>
      <c r="C1230" s="49"/>
      <c r="D1230" s="91">
        <f t="array" ref="D1230">iferror(vlookup(xlookup(B1220,'현황'!O:O,'현황'!O:O,,-1,-1),'현황'!O:S,3,false),0)</f>
        <v>0</v>
      </c>
      <c r="E1230" s="66"/>
      <c r="F1230" s="52" t="s">
        <v>37</v>
      </c>
      <c r="G1230" s="67"/>
      <c r="H1230" s="80"/>
      <c r="I1230" s="69"/>
      <c r="J1230" s="72"/>
      <c r="K1230" s="73"/>
      <c r="L1230" s="72"/>
      <c r="M1230" s="73"/>
      <c r="N1230" s="72"/>
      <c r="O1230" s="73"/>
      <c r="P1230" s="72"/>
      <c r="Q1230" s="73"/>
      <c r="R1230" s="72"/>
      <c r="S1230" s="73"/>
      <c r="T1230" s="72"/>
      <c r="U1230" s="73"/>
      <c r="V1230" s="72"/>
      <c r="W1230" s="73"/>
      <c r="X1230" s="72"/>
      <c r="Y1230" s="73"/>
      <c r="Z1230" s="74" t="b">
        <v>0</v>
      </c>
      <c r="AA1230" s="130">
        <f t="shared" si="487"/>
        <v>0</v>
      </c>
      <c r="AB1230" s="131">
        <f t="shared" si="488"/>
        <v>0</v>
      </c>
      <c r="AC1230" s="132">
        <f t="shared" si="489"/>
        <v>0</v>
      </c>
      <c r="AD1230" s="133">
        <f t="shared" si="490"/>
        <v>0</v>
      </c>
      <c r="AE1230" s="131">
        <f t="shared" si="491"/>
        <v>0</v>
      </c>
      <c r="AF1230" s="133">
        <f t="shared" si="492"/>
        <v>0</v>
      </c>
      <c r="AG1230" s="1"/>
    </row>
    <row r="1231" ht="21.0" customHeight="1">
      <c r="A1231" s="1"/>
      <c r="B1231" s="48" t="s">
        <v>47</v>
      </c>
      <c r="C1231" s="49"/>
      <c r="D1231" s="91">
        <f t="array" ref="D1231">iferror(vlookup(xlookup(B1220,'현황'!O:O,'현황'!O:O,,-1,-1),'현황'!O:S,4,false),0)</f>
        <v>0</v>
      </c>
      <c r="E1231" s="41"/>
      <c r="F1231" s="92" t="s">
        <v>40</v>
      </c>
      <c r="G1231" s="79"/>
      <c r="H1231" s="93"/>
      <c r="I1231" s="94"/>
      <c r="J1231" s="95"/>
      <c r="K1231" s="96"/>
      <c r="L1231" s="95"/>
      <c r="M1231" s="96"/>
      <c r="N1231" s="95"/>
      <c r="O1231" s="96"/>
      <c r="P1231" s="95"/>
      <c r="Q1231" s="96"/>
      <c r="R1231" s="95"/>
      <c r="S1231" s="96"/>
      <c r="T1231" s="95"/>
      <c r="U1231" s="96"/>
      <c r="V1231" s="95"/>
      <c r="W1231" s="96"/>
      <c r="X1231" s="95"/>
      <c r="Y1231" s="96"/>
      <c r="Z1231" s="97" t="b">
        <v>0</v>
      </c>
      <c r="AA1231" s="135">
        <f t="shared" si="487"/>
        <v>0</v>
      </c>
      <c r="AB1231" s="136">
        <f t="shared" si="488"/>
        <v>0</v>
      </c>
      <c r="AC1231" s="137">
        <f t="shared" si="489"/>
        <v>0</v>
      </c>
      <c r="AD1231" s="138">
        <f t="shared" si="490"/>
        <v>0</v>
      </c>
      <c r="AE1231" s="136">
        <f t="shared" si="491"/>
        <v>0</v>
      </c>
      <c r="AF1231" s="138">
        <f t="shared" si="492"/>
        <v>0</v>
      </c>
      <c r="AG1231" s="1"/>
    </row>
    <row r="1232" ht="21.0" customHeight="1">
      <c r="A1232" s="1"/>
      <c r="B1232" s="102" t="s">
        <v>48</v>
      </c>
      <c r="C1232" s="103"/>
      <c r="D1232" s="104">
        <f>iferror(D1231/D1229,0)</f>
        <v>0</v>
      </c>
      <c r="E1232" s="102" t="s">
        <v>49</v>
      </c>
      <c r="F1232" s="103"/>
      <c r="G1232" s="105"/>
      <c r="H1232" s="106" t="s">
        <v>50</v>
      </c>
      <c r="I1232" s="107"/>
      <c r="J1232" s="11"/>
      <c r="K1232" s="11"/>
      <c r="L1232" s="11"/>
      <c r="M1232" s="11"/>
      <c r="N1232" s="11"/>
      <c r="O1232" s="11"/>
      <c r="P1232" s="108" t="s">
        <v>51</v>
      </c>
      <c r="Q1232" s="12"/>
      <c r="R1232" s="109"/>
      <c r="S1232" s="11"/>
      <c r="T1232" s="11"/>
      <c r="U1232" s="11"/>
      <c r="V1232" s="11"/>
      <c r="W1232" s="11"/>
      <c r="X1232" s="11"/>
      <c r="Y1232" s="11"/>
      <c r="Z1232" s="12"/>
      <c r="AA1232" s="139">
        <f>SUM(AA1223:AA1231)</f>
        <v>0</v>
      </c>
      <c r="AB1232" s="140" t="s">
        <v>261</v>
      </c>
      <c r="AG1232" s="1"/>
    </row>
    <row r="1233" ht="21.0" customHeight="1">
      <c r="A1233" s="1"/>
      <c r="B1233" s="1"/>
      <c r="C1233" s="1"/>
      <c r="D1233" s="1"/>
      <c r="E1233" s="1"/>
      <c r="F1233" s="1"/>
      <c r="G1233" s="1"/>
      <c r="H1233" s="1"/>
      <c r="I1233" s="1"/>
      <c r="AA1233" s="1"/>
      <c r="AB1233" s="1"/>
      <c r="AC1233" s="3"/>
      <c r="AD1233" s="1"/>
      <c r="AE1233" s="1"/>
      <c r="AF1233" s="1"/>
      <c r="AG1233" s="1"/>
    </row>
    <row r="1234" ht="21.0" customHeight="1">
      <c r="A1234" s="1"/>
      <c r="B1234" s="4" t="s">
        <v>1</v>
      </c>
      <c r="C1234" s="5"/>
      <c r="D1234" s="6" t="s">
        <v>2</v>
      </c>
      <c r="E1234" s="7"/>
      <c r="F1234" s="7"/>
      <c r="G1234" s="5"/>
      <c r="H1234" s="8" t="s">
        <v>3</v>
      </c>
      <c r="I1234" s="8" t="s">
        <v>4</v>
      </c>
      <c r="J1234" s="9" t="s">
        <v>5</v>
      </c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5"/>
      <c r="AA1234" s="117" t="s">
        <v>6</v>
      </c>
      <c r="AB1234" s="11"/>
      <c r="AC1234" s="11"/>
      <c r="AD1234" s="11"/>
      <c r="AE1234" s="11"/>
      <c r="AF1234" s="12"/>
      <c r="AG1234" s="1"/>
    </row>
    <row r="1235" ht="21.0" customHeight="1">
      <c r="A1235" s="1"/>
      <c r="B1235" s="149" t="s">
        <v>138</v>
      </c>
      <c r="C1235" s="14" t="str">
        <f>if(B1235="0/0","",choose(weekday(B1235),"(일)","(월)","(화)","(수)","(목)","(금)","(토)"))</f>
        <v/>
      </c>
      <c r="D1235" s="15" t="s">
        <v>7</v>
      </c>
      <c r="E1235" s="16" t="s">
        <v>8</v>
      </c>
      <c r="F1235" s="17"/>
      <c r="G1235" s="18" t="s">
        <v>9</v>
      </c>
      <c r="H1235" s="150" t="s">
        <v>139</v>
      </c>
      <c r="I1235" s="151"/>
      <c r="J1235" s="21" t="s">
        <v>12</v>
      </c>
      <c r="K1235" s="22"/>
      <c r="L1235" s="21" t="s">
        <v>13</v>
      </c>
      <c r="M1235" s="22"/>
      <c r="N1235" s="21" t="s">
        <v>14</v>
      </c>
      <c r="O1235" s="22"/>
      <c r="P1235" s="21" t="s">
        <v>15</v>
      </c>
      <c r="Q1235" s="22"/>
      <c r="R1235" s="23" t="s">
        <v>16</v>
      </c>
      <c r="S1235" s="22"/>
      <c r="T1235" s="23" t="s">
        <v>17</v>
      </c>
      <c r="U1235" s="22"/>
      <c r="V1235" s="23" t="s">
        <v>18</v>
      </c>
      <c r="W1235" s="22"/>
      <c r="X1235" s="23" t="s">
        <v>19</v>
      </c>
      <c r="Y1235" s="22"/>
      <c r="Z1235" s="24" t="s">
        <v>262</v>
      </c>
      <c r="AA1235" s="118" t="s">
        <v>21</v>
      </c>
      <c r="AB1235" s="119" t="s">
        <v>22</v>
      </c>
      <c r="AC1235" s="7"/>
      <c r="AD1235" s="22"/>
      <c r="AE1235" s="120" t="s">
        <v>23</v>
      </c>
      <c r="AF1235" s="22"/>
      <c r="AG1235" s="1"/>
    </row>
    <row r="1236" ht="21.0" customHeight="1">
      <c r="A1236" s="1"/>
      <c r="B1236" s="27">
        <f>iferror(B1235-'현황'!$C$4+1,0)</f>
        <v>0</v>
      </c>
      <c r="C1236" s="28"/>
      <c r="D1236" s="29">
        <v>0.0</v>
      </c>
      <c r="E1236" s="30">
        <v>0.0</v>
      </c>
      <c r="F1236" s="31"/>
      <c r="G1236" s="32">
        <v>0.0</v>
      </c>
      <c r="H1236" s="33">
        <v>0.0</v>
      </c>
      <c r="I1236" s="34"/>
      <c r="J1236" s="35"/>
      <c r="K1236" s="36"/>
      <c r="L1236" s="35"/>
      <c r="M1236" s="36"/>
      <c r="N1236" s="35"/>
      <c r="O1236" s="36"/>
      <c r="P1236" s="35"/>
      <c r="Q1236" s="36"/>
      <c r="R1236" s="35"/>
      <c r="S1236" s="36"/>
      <c r="T1236" s="35"/>
      <c r="U1236" s="36"/>
      <c r="V1236" s="35"/>
      <c r="W1236" s="36"/>
      <c r="X1236" s="35"/>
      <c r="Y1236" s="36"/>
      <c r="Z1236" s="37"/>
      <c r="AA1236" s="37"/>
      <c r="AB1236" s="35"/>
      <c r="AC1236" s="38"/>
      <c r="AD1236" s="36"/>
      <c r="AE1236" s="35"/>
      <c r="AF1236" s="36"/>
      <c r="AG1236" s="1"/>
    </row>
    <row r="1237" ht="21.0" customHeight="1">
      <c r="A1237" s="1"/>
      <c r="B1237" s="39" t="s">
        <v>24</v>
      </c>
      <c r="C1237" s="40"/>
      <c r="D1237" s="41"/>
      <c r="E1237" s="42" t="s">
        <v>25</v>
      </c>
      <c r="F1237" s="40"/>
      <c r="G1237" s="41"/>
      <c r="H1237" s="43" t="s">
        <v>26</v>
      </c>
      <c r="J1237" s="44" t="s">
        <v>27</v>
      </c>
      <c r="K1237" s="45" t="s">
        <v>28</v>
      </c>
      <c r="L1237" s="44" t="s">
        <v>27</v>
      </c>
      <c r="M1237" s="45" t="s">
        <v>28</v>
      </c>
      <c r="N1237" s="44" t="s">
        <v>27</v>
      </c>
      <c r="O1237" s="45" t="s">
        <v>28</v>
      </c>
      <c r="P1237" s="44" t="s">
        <v>27</v>
      </c>
      <c r="Q1237" s="45" t="s">
        <v>28</v>
      </c>
      <c r="R1237" s="44" t="s">
        <v>27</v>
      </c>
      <c r="S1237" s="45" t="s">
        <v>28</v>
      </c>
      <c r="T1237" s="44" t="s">
        <v>27</v>
      </c>
      <c r="U1237" s="45" t="s">
        <v>28</v>
      </c>
      <c r="V1237" s="44" t="s">
        <v>27</v>
      </c>
      <c r="W1237" s="45" t="s">
        <v>28</v>
      </c>
      <c r="X1237" s="44" t="s">
        <v>27</v>
      </c>
      <c r="Y1237" s="45" t="s">
        <v>28</v>
      </c>
      <c r="Z1237" s="46"/>
      <c r="AA1237" s="46"/>
      <c r="AB1237" s="121" t="s">
        <v>29</v>
      </c>
      <c r="AC1237" s="122" t="s">
        <v>30</v>
      </c>
      <c r="AD1237" s="123" t="s">
        <v>31</v>
      </c>
      <c r="AE1237" s="121" t="s">
        <v>27</v>
      </c>
      <c r="AF1237" s="123" t="s">
        <v>28</v>
      </c>
      <c r="AG1237" s="1"/>
    </row>
    <row r="1238" ht="21.0" customHeight="1">
      <c r="A1238" s="1"/>
      <c r="B1238" s="48" t="s">
        <v>32</v>
      </c>
      <c r="C1238" s="49"/>
      <c r="D1238" s="50"/>
      <c r="E1238" s="51" t="s">
        <v>33</v>
      </c>
      <c r="F1238" s="52" t="s">
        <v>34</v>
      </c>
      <c r="G1238" s="53"/>
      <c r="H1238" s="148"/>
      <c r="I1238" s="55"/>
      <c r="J1238" s="58"/>
      <c r="K1238" s="59"/>
      <c r="L1238" s="58"/>
      <c r="M1238" s="59"/>
      <c r="N1238" s="58"/>
      <c r="O1238" s="59"/>
      <c r="P1238" s="58"/>
      <c r="Q1238" s="59"/>
      <c r="R1238" s="58"/>
      <c r="S1238" s="59"/>
      <c r="T1238" s="58"/>
      <c r="U1238" s="59"/>
      <c r="V1238" s="58"/>
      <c r="W1238" s="59"/>
      <c r="X1238" s="58"/>
      <c r="Y1238" s="59"/>
      <c r="Z1238" s="60" t="b">
        <v>0</v>
      </c>
      <c r="AA1238" s="125">
        <f t="shared" ref="AA1238:AA1246" si="493">(J1238*K1238+L1238*M1238+N1238*O1238+P1238*Q1238+R1238*S1238+T1238*U1238+V1238*W1238+X1238*Y1238)*if(Z1238=true,0.453592,1)</f>
        <v>0</v>
      </c>
      <c r="AB1238" s="126">
        <f t="shared" ref="AB1238:AB1246" si="494">SUM(AE1238*AF1238*0.025,AE1238)</f>
        <v>0</v>
      </c>
      <c r="AC1238" s="127">
        <f t="shared" ref="AC1238:AC1246" si="495">AB1238*87%</f>
        <v>0</v>
      </c>
      <c r="AD1238" s="128">
        <f t="shared" ref="AD1238:AD1246" si="496">AB1238*67%</f>
        <v>0</v>
      </c>
      <c r="AE1238" s="126">
        <f t="shared" ref="AE1238:AE1246" si="497">MAX(J1238,L1238,N1238,P1238,R1238,T1238,V1238,X1238)*if(Z1238=true,0.453592,1)</f>
        <v>0</v>
      </c>
      <c r="AF1238" s="128">
        <f t="shared" ref="AF1238:AF1246" si="498">MAX(IF(J1238*if(Z1238=true,0.453592,1)=$AE1238,K1238,0),IF(L1238*if(Z1238=true,0.453592,1)=$AE1238,M1238,0),IF(N1238*if(Z1238=true,0.453592,1)=$AE1238,O1238,0),IF(P1238*if(Z1238=true,0.453592,1)=$AE1238,Q1238,0),IF(R1238*if(Z1238=true,0.453592,1)=$AE1238,S1238,0),IF(T1238*if(Z1238=true,0.453592,1)=$AE1238,U1238,0),IF(V1238*if(Z1238=true,0.453592,1)=$AE1238,W1238,0),IF(X1238*if(Z1238=true,0.453592,1)=$AE1238,Y1238,0))</f>
        <v>0</v>
      </c>
      <c r="AG1238" s="1"/>
    </row>
    <row r="1239" ht="21.0" customHeight="1">
      <c r="A1239" s="1"/>
      <c r="B1239" s="48" t="s">
        <v>36</v>
      </c>
      <c r="C1239" s="49"/>
      <c r="D1239" s="65"/>
      <c r="E1239" s="66"/>
      <c r="F1239" s="52" t="s">
        <v>37</v>
      </c>
      <c r="G1239" s="67"/>
      <c r="H1239" s="129"/>
      <c r="I1239" s="69"/>
      <c r="J1239" s="72"/>
      <c r="K1239" s="73"/>
      <c r="L1239" s="72"/>
      <c r="M1239" s="73"/>
      <c r="N1239" s="72"/>
      <c r="O1239" s="73"/>
      <c r="P1239" s="72"/>
      <c r="Q1239" s="73"/>
      <c r="R1239" s="72"/>
      <c r="S1239" s="73"/>
      <c r="T1239" s="72"/>
      <c r="U1239" s="73"/>
      <c r="V1239" s="72"/>
      <c r="W1239" s="73"/>
      <c r="X1239" s="72"/>
      <c r="Y1239" s="73"/>
      <c r="Z1239" s="74" t="b">
        <v>0</v>
      </c>
      <c r="AA1239" s="130">
        <f t="shared" si="493"/>
        <v>0</v>
      </c>
      <c r="AB1239" s="131">
        <f t="shared" si="494"/>
        <v>0</v>
      </c>
      <c r="AC1239" s="132">
        <f t="shared" si="495"/>
        <v>0</v>
      </c>
      <c r="AD1239" s="133">
        <f t="shared" si="496"/>
        <v>0</v>
      </c>
      <c r="AE1239" s="131">
        <f t="shared" si="497"/>
        <v>0</v>
      </c>
      <c r="AF1239" s="133">
        <f t="shared" si="498"/>
        <v>0</v>
      </c>
      <c r="AG1239" s="1"/>
    </row>
    <row r="1240" ht="21.0" customHeight="1">
      <c r="A1240" s="1"/>
      <c r="B1240" s="48" t="s">
        <v>39</v>
      </c>
      <c r="C1240" s="49"/>
      <c r="D1240" s="65"/>
      <c r="E1240" s="41"/>
      <c r="F1240" s="52" t="s">
        <v>40</v>
      </c>
      <c r="G1240" s="79"/>
      <c r="H1240" s="80"/>
      <c r="I1240" s="69"/>
      <c r="J1240" s="72"/>
      <c r="K1240" s="73"/>
      <c r="L1240" s="72"/>
      <c r="M1240" s="73"/>
      <c r="N1240" s="72"/>
      <c r="O1240" s="73"/>
      <c r="P1240" s="72"/>
      <c r="Q1240" s="73"/>
      <c r="R1240" s="72"/>
      <c r="S1240" s="73"/>
      <c r="T1240" s="72"/>
      <c r="U1240" s="73"/>
      <c r="V1240" s="72"/>
      <c r="W1240" s="73"/>
      <c r="X1240" s="72"/>
      <c r="Y1240" s="73"/>
      <c r="Z1240" s="74" t="b">
        <v>0</v>
      </c>
      <c r="AA1240" s="130">
        <f t="shared" si="493"/>
        <v>0</v>
      </c>
      <c r="AB1240" s="131">
        <f t="shared" si="494"/>
        <v>0</v>
      </c>
      <c r="AC1240" s="132">
        <f t="shared" si="495"/>
        <v>0</v>
      </c>
      <c r="AD1240" s="133">
        <f t="shared" si="496"/>
        <v>0</v>
      </c>
      <c r="AE1240" s="131">
        <f t="shared" si="497"/>
        <v>0</v>
      </c>
      <c r="AF1240" s="133">
        <f t="shared" si="498"/>
        <v>0</v>
      </c>
      <c r="AG1240" s="1"/>
    </row>
    <row r="1241" ht="21.0" customHeight="1">
      <c r="A1241" s="1"/>
      <c r="B1241" s="48" t="s">
        <v>41</v>
      </c>
      <c r="C1241" s="81"/>
      <c r="D1241" s="82" t="b">
        <v>0</v>
      </c>
      <c r="E1241" s="51" t="s">
        <v>42</v>
      </c>
      <c r="F1241" s="52" t="s">
        <v>34</v>
      </c>
      <c r="G1241" s="83"/>
      <c r="H1241" s="84"/>
      <c r="I1241" s="85"/>
      <c r="J1241" s="72"/>
      <c r="K1241" s="73"/>
      <c r="L1241" s="72"/>
      <c r="M1241" s="73"/>
      <c r="N1241" s="72"/>
      <c r="O1241" s="73"/>
      <c r="P1241" s="72"/>
      <c r="Q1241" s="73"/>
      <c r="R1241" s="72"/>
      <c r="S1241" s="73"/>
      <c r="T1241" s="72"/>
      <c r="U1241" s="73"/>
      <c r="V1241" s="72"/>
      <c r="W1241" s="73"/>
      <c r="X1241" s="72"/>
      <c r="Y1241" s="73"/>
      <c r="Z1241" s="74" t="b">
        <v>0</v>
      </c>
      <c r="AA1241" s="130">
        <f t="shared" si="493"/>
        <v>0</v>
      </c>
      <c r="AB1241" s="131">
        <f t="shared" si="494"/>
        <v>0</v>
      </c>
      <c r="AC1241" s="132">
        <f t="shared" si="495"/>
        <v>0</v>
      </c>
      <c r="AD1241" s="133">
        <f t="shared" si="496"/>
        <v>0</v>
      </c>
      <c r="AE1241" s="131">
        <f t="shared" si="497"/>
        <v>0</v>
      </c>
      <c r="AF1241" s="133">
        <f t="shared" si="498"/>
        <v>0</v>
      </c>
      <c r="AG1241" s="1"/>
    </row>
    <row r="1242" ht="21.0" customHeight="1">
      <c r="A1242" s="1"/>
      <c r="B1242" s="48" t="s">
        <v>43</v>
      </c>
      <c r="C1242" s="49"/>
      <c r="D1242" s="86" t="b">
        <v>0</v>
      </c>
      <c r="E1242" s="66"/>
      <c r="F1242" s="52" t="s">
        <v>37</v>
      </c>
      <c r="G1242" s="67"/>
      <c r="H1242" s="80"/>
      <c r="I1242" s="69"/>
      <c r="J1242" s="72"/>
      <c r="K1242" s="73"/>
      <c r="L1242" s="72"/>
      <c r="M1242" s="73"/>
      <c r="N1242" s="72"/>
      <c r="O1242" s="73"/>
      <c r="P1242" s="72"/>
      <c r="Q1242" s="73"/>
      <c r="R1242" s="72"/>
      <c r="S1242" s="73"/>
      <c r="T1242" s="72"/>
      <c r="U1242" s="73"/>
      <c r="V1242" s="72"/>
      <c r="W1242" s="73"/>
      <c r="X1242" s="72"/>
      <c r="Y1242" s="73"/>
      <c r="Z1242" s="74" t="b">
        <v>0</v>
      </c>
      <c r="AA1242" s="130">
        <f t="shared" si="493"/>
        <v>0</v>
      </c>
      <c r="AB1242" s="131">
        <f t="shared" si="494"/>
        <v>0</v>
      </c>
      <c r="AC1242" s="132">
        <f t="shared" si="495"/>
        <v>0</v>
      </c>
      <c r="AD1242" s="133">
        <f t="shared" si="496"/>
        <v>0</v>
      </c>
      <c r="AE1242" s="131">
        <f t="shared" si="497"/>
        <v>0</v>
      </c>
      <c r="AF1242" s="133">
        <f t="shared" si="498"/>
        <v>0</v>
      </c>
      <c r="AG1242" s="1"/>
    </row>
    <row r="1243" ht="21.0" customHeight="1">
      <c r="A1243" s="1"/>
      <c r="B1243" s="87" t="str">
        <f t="array" ref="B1243">"📌최근 인바디 결과 : "&amp;text(xlookup(B1235,'현황'!O:O,'현황'!O:O,,-1,-1),"m/d(ddd)")</f>
        <v>#REF!</v>
      </c>
      <c r="C1243" s="88"/>
      <c r="D1243" s="49"/>
      <c r="E1243" s="41"/>
      <c r="F1243" s="52" t="s">
        <v>40</v>
      </c>
      <c r="G1243" s="79"/>
      <c r="H1243" s="80"/>
      <c r="I1243" s="69"/>
      <c r="J1243" s="72"/>
      <c r="K1243" s="73"/>
      <c r="L1243" s="72"/>
      <c r="M1243" s="73"/>
      <c r="N1243" s="72"/>
      <c r="O1243" s="73"/>
      <c r="P1243" s="72"/>
      <c r="Q1243" s="73"/>
      <c r="R1243" s="72"/>
      <c r="S1243" s="73"/>
      <c r="T1243" s="72"/>
      <c r="U1243" s="73"/>
      <c r="V1243" s="72"/>
      <c r="W1243" s="73"/>
      <c r="X1243" s="72"/>
      <c r="Y1243" s="73"/>
      <c r="Z1243" s="74" t="b">
        <v>0</v>
      </c>
      <c r="AA1243" s="130">
        <f t="shared" si="493"/>
        <v>0</v>
      </c>
      <c r="AB1243" s="131">
        <f t="shared" si="494"/>
        <v>0</v>
      </c>
      <c r="AC1243" s="132">
        <f t="shared" si="495"/>
        <v>0</v>
      </c>
      <c r="AD1243" s="133">
        <f t="shared" si="496"/>
        <v>0</v>
      </c>
      <c r="AE1243" s="131">
        <f t="shared" si="497"/>
        <v>0</v>
      </c>
      <c r="AF1243" s="133">
        <f t="shared" si="498"/>
        <v>0</v>
      </c>
      <c r="AG1243" s="1"/>
    </row>
    <row r="1244" ht="21.0" customHeight="1">
      <c r="A1244" s="1"/>
      <c r="B1244" s="89" t="s">
        <v>44</v>
      </c>
      <c r="C1244" s="49"/>
      <c r="D1244" s="90">
        <f t="array" ref="D1244">iferror(vlookup(xlookup(B1235,'현황'!O:O,'현황'!O:O,,-1,-1),'현황'!O:S,2,false),0)</f>
        <v>0</v>
      </c>
      <c r="E1244" s="51" t="s">
        <v>45</v>
      </c>
      <c r="F1244" s="52" t="s">
        <v>34</v>
      </c>
      <c r="G1244" s="83"/>
      <c r="H1244" s="84"/>
      <c r="I1244" s="85"/>
      <c r="J1244" s="72"/>
      <c r="K1244" s="73"/>
      <c r="L1244" s="72"/>
      <c r="M1244" s="73"/>
      <c r="N1244" s="72"/>
      <c r="O1244" s="73"/>
      <c r="P1244" s="72"/>
      <c r="Q1244" s="73"/>
      <c r="R1244" s="72"/>
      <c r="S1244" s="73"/>
      <c r="T1244" s="72"/>
      <c r="U1244" s="73"/>
      <c r="V1244" s="72"/>
      <c r="W1244" s="73"/>
      <c r="X1244" s="72"/>
      <c r="Y1244" s="73"/>
      <c r="Z1244" s="74" t="b">
        <v>0</v>
      </c>
      <c r="AA1244" s="130">
        <f t="shared" si="493"/>
        <v>0</v>
      </c>
      <c r="AB1244" s="131">
        <f t="shared" si="494"/>
        <v>0</v>
      </c>
      <c r="AC1244" s="132">
        <f t="shared" si="495"/>
        <v>0</v>
      </c>
      <c r="AD1244" s="133">
        <f t="shared" si="496"/>
        <v>0</v>
      </c>
      <c r="AE1244" s="131">
        <f t="shared" si="497"/>
        <v>0</v>
      </c>
      <c r="AF1244" s="133">
        <f t="shared" si="498"/>
        <v>0</v>
      </c>
      <c r="AG1244" s="1"/>
    </row>
    <row r="1245" ht="21.0" customHeight="1">
      <c r="A1245" s="1"/>
      <c r="B1245" s="48" t="s">
        <v>46</v>
      </c>
      <c r="C1245" s="49"/>
      <c r="D1245" s="91">
        <f t="array" ref="D1245">iferror(vlookup(xlookup(B1235,'현황'!O:O,'현황'!O:O,,-1,-1),'현황'!O:S,3,false),0)</f>
        <v>0</v>
      </c>
      <c r="E1245" s="66"/>
      <c r="F1245" s="52" t="s">
        <v>37</v>
      </c>
      <c r="G1245" s="67"/>
      <c r="H1245" s="80"/>
      <c r="I1245" s="69"/>
      <c r="J1245" s="72"/>
      <c r="K1245" s="73"/>
      <c r="L1245" s="72"/>
      <c r="M1245" s="73"/>
      <c r="N1245" s="72"/>
      <c r="O1245" s="73"/>
      <c r="P1245" s="72"/>
      <c r="Q1245" s="73"/>
      <c r="R1245" s="72"/>
      <c r="S1245" s="73"/>
      <c r="T1245" s="72"/>
      <c r="U1245" s="73"/>
      <c r="V1245" s="72"/>
      <c r="W1245" s="73"/>
      <c r="X1245" s="72"/>
      <c r="Y1245" s="73"/>
      <c r="Z1245" s="74" t="b">
        <v>0</v>
      </c>
      <c r="AA1245" s="130">
        <f t="shared" si="493"/>
        <v>0</v>
      </c>
      <c r="AB1245" s="131">
        <f t="shared" si="494"/>
        <v>0</v>
      </c>
      <c r="AC1245" s="132">
        <f t="shared" si="495"/>
        <v>0</v>
      </c>
      <c r="AD1245" s="133">
        <f t="shared" si="496"/>
        <v>0</v>
      </c>
      <c r="AE1245" s="131">
        <f t="shared" si="497"/>
        <v>0</v>
      </c>
      <c r="AF1245" s="133">
        <f t="shared" si="498"/>
        <v>0</v>
      </c>
      <c r="AG1245" s="1"/>
    </row>
    <row r="1246" ht="21.0" customHeight="1">
      <c r="A1246" s="1"/>
      <c r="B1246" s="48" t="s">
        <v>47</v>
      </c>
      <c r="C1246" s="49"/>
      <c r="D1246" s="91">
        <f t="array" ref="D1246">iferror(vlookup(xlookup(B1235,'현황'!O:O,'현황'!O:O,,-1,-1),'현황'!O:S,4,false),0)</f>
        <v>0</v>
      </c>
      <c r="E1246" s="41"/>
      <c r="F1246" s="92" t="s">
        <v>40</v>
      </c>
      <c r="G1246" s="79"/>
      <c r="H1246" s="93"/>
      <c r="I1246" s="94"/>
      <c r="J1246" s="95"/>
      <c r="K1246" s="96"/>
      <c r="L1246" s="95"/>
      <c r="M1246" s="96"/>
      <c r="N1246" s="95"/>
      <c r="O1246" s="96"/>
      <c r="P1246" s="95"/>
      <c r="Q1246" s="96"/>
      <c r="R1246" s="95"/>
      <c r="S1246" s="96"/>
      <c r="T1246" s="95"/>
      <c r="U1246" s="96"/>
      <c r="V1246" s="95"/>
      <c r="W1246" s="96"/>
      <c r="X1246" s="95"/>
      <c r="Y1246" s="96"/>
      <c r="Z1246" s="97" t="b">
        <v>0</v>
      </c>
      <c r="AA1246" s="135">
        <f t="shared" si="493"/>
        <v>0</v>
      </c>
      <c r="AB1246" s="136">
        <f t="shared" si="494"/>
        <v>0</v>
      </c>
      <c r="AC1246" s="137">
        <f t="shared" si="495"/>
        <v>0</v>
      </c>
      <c r="AD1246" s="138">
        <f t="shared" si="496"/>
        <v>0</v>
      </c>
      <c r="AE1246" s="136">
        <f t="shared" si="497"/>
        <v>0</v>
      </c>
      <c r="AF1246" s="138">
        <f t="shared" si="498"/>
        <v>0</v>
      </c>
      <c r="AG1246" s="1"/>
    </row>
    <row r="1247" ht="21.0" customHeight="1">
      <c r="A1247" s="1"/>
      <c r="B1247" s="102" t="s">
        <v>48</v>
      </c>
      <c r="C1247" s="103"/>
      <c r="D1247" s="104">
        <f>iferror(D1246/D1244,0)</f>
        <v>0</v>
      </c>
      <c r="E1247" s="102" t="s">
        <v>49</v>
      </c>
      <c r="F1247" s="103"/>
      <c r="G1247" s="105"/>
      <c r="H1247" s="106" t="s">
        <v>50</v>
      </c>
      <c r="I1247" s="107"/>
      <c r="J1247" s="11"/>
      <c r="K1247" s="11"/>
      <c r="L1247" s="11"/>
      <c r="M1247" s="11"/>
      <c r="N1247" s="11"/>
      <c r="O1247" s="11"/>
      <c r="P1247" s="108" t="s">
        <v>51</v>
      </c>
      <c r="Q1247" s="12"/>
      <c r="R1247" s="109"/>
      <c r="S1247" s="11"/>
      <c r="T1247" s="11"/>
      <c r="U1247" s="11"/>
      <c r="V1247" s="11"/>
      <c r="W1247" s="11"/>
      <c r="X1247" s="11"/>
      <c r="Y1247" s="11"/>
      <c r="Z1247" s="12"/>
      <c r="AA1247" s="139">
        <f>SUM(AA1238:AA1246)</f>
        <v>0</v>
      </c>
      <c r="AB1247" s="140" t="s">
        <v>263</v>
      </c>
      <c r="AG1247" s="1"/>
    </row>
    <row r="1248" ht="21.0" customHeight="1">
      <c r="A1248" s="1"/>
      <c r="B1248" s="1"/>
      <c r="C1248" s="1"/>
      <c r="D1248" s="1"/>
      <c r="E1248" s="1"/>
      <c r="F1248" s="1"/>
      <c r="G1248" s="1"/>
      <c r="H1248" s="1"/>
      <c r="I1248" s="1"/>
      <c r="AA1248" s="1"/>
      <c r="AB1248" s="1"/>
      <c r="AC1248" s="3"/>
      <c r="AD1248" s="1"/>
      <c r="AE1248" s="1"/>
      <c r="AF1248" s="1"/>
      <c r="AG1248" s="1"/>
    </row>
    <row r="1249" ht="21.0" customHeight="1">
      <c r="A1249" s="1"/>
      <c r="B1249" s="4" t="s">
        <v>1</v>
      </c>
      <c r="C1249" s="5"/>
      <c r="D1249" s="6" t="s">
        <v>2</v>
      </c>
      <c r="E1249" s="7"/>
      <c r="F1249" s="7"/>
      <c r="G1249" s="5"/>
      <c r="H1249" s="8" t="s">
        <v>3</v>
      </c>
      <c r="I1249" s="8" t="s">
        <v>4</v>
      </c>
      <c r="J1249" s="9" t="s">
        <v>5</v>
      </c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5"/>
      <c r="AA1249" s="117" t="s">
        <v>6</v>
      </c>
      <c r="AB1249" s="11"/>
      <c r="AC1249" s="11"/>
      <c r="AD1249" s="11"/>
      <c r="AE1249" s="11"/>
      <c r="AF1249" s="12"/>
      <c r="AG1249" s="1"/>
    </row>
    <row r="1250" ht="21.0" customHeight="1">
      <c r="A1250" s="1"/>
      <c r="B1250" s="149" t="s">
        <v>138</v>
      </c>
      <c r="C1250" s="14" t="str">
        <f>if(B1250="0/0","",choose(weekday(B1250),"(일)","(월)","(화)","(수)","(목)","(금)","(토)"))</f>
        <v/>
      </c>
      <c r="D1250" s="15" t="s">
        <v>7</v>
      </c>
      <c r="E1250" s="16" t="s">
        <v>8</v>
      </c>
      <c r="F1250" s="17"/>
      <c r="G1250" s="18" t="s">
        <v>9</v>
      </c>
      <c r="H1250" s="150" t="s">
        <v>139</v>
      </c>
      <c r="I1250" s="151"/>
      <c r="J1250" s="21" t="s">
        <v>12</v>
      </c>
      <c r="K1250" s="22"/>
      <c r="L1250" s="21" t="s">
        <v>13</v>
      </c>
      <c r="M1250" s="22"/>
      <c r="N1250" s="21" t="s">
        <v>14</v>
      </c>
      <c r="O1250" s="22"/>
      <c r="P1250" s="21" t="s">
        <v>15</v>
      </c>
      <c r="Q1250" s="22"/>
      <c r="R1250" s="23" t="s">
        <v>16</v>
      </c>
      <c r="S1250" s="22"/>
      <c r="T1250" s="23" t="s">
        <v>17</v>
      </c>
      <c r="U1250" s="22"/>
      <c r="V1250" s="23" t="s">
        <v>18</v>
      </c>
      <c r="W1250" s="22"/>
      <c r="X1250" s="23" t="s">
        <v>19</v>
      </c>
      <c r="Y1250" s="22"/>
      <c r="Z1250" s="24" t="s">
        <v>264</v>
      </c>
      <c r="AA1250" s="118" t="s">
        <v>21</v>
      </c>
      <c r="AB1250" s="119" t="s">
        <v>22</v>
      </c>
      <c r="AC1250" s="7"/>
      <c r="AD1250" s="22"/>
      <c r="AE1250" s="120" t="s">
        <v>23</v>
      </c>
      <c r="AF1250" s="22"/>
      <c r="AG1250" s="1"/>
    </row>
    <row r="1251" ht="21.0" customHeight="1">
      <c r="A1251" s="1"/>
      <c r="B1251" s="27">
        <f>iferror(B1250-'현황'!$C$4+1,0)</f>
        <v>0</v>
      </c>
      <c r="C1251" s="28"/>
      <c r="D1251" s="29">
        <v>0.0</v>
      </c>
      <c r="E1251" s="30">
        <v>0.0</v>
      </c>
      <c r="F1251" s="31"/>
      <c r="G1251" s="32">
        <v>0.0</v>
      </c>
      <c r="H1251" s="33">
        <v>0.0</v>
      </c>
      <c r="I1251" s="34"/>
      <c r="J1251" s="35"/>
      <c r="K1251" s="36"/>
      <c r="L1251" s="35"/>
      <c r="M1251" s="36"/>
      <c r="N1251" s="35"/>
      <c r="O1251" s="36"/>
      <c r="P1251" s="35"/>
      <c r="Q1251" s="36"/>
      <c r="R1251" s="35"/>
      <c r="S1251" s="36"/>
      <c r="T1251" s="35"/>
      <c r="U1251" s="36"/>
      <c r="V1251" s="35"/>
      <c r="W1251" s="36"/>
      <c r="X1251" s="35"/>
      <c r="Y1251" s="36"/>
      <c r="Z1251" s="37"/>
      <c r="AA1251" s="37"/>
      <c r="AB1251" s="35"/>
      <c r="AC1251" s="38"/>
      <c r="AD1251" s="36"/>
      <c r="AE1251" s="35"/>
      <c r="AF1251" s="36"/>
      <c r="AG1251" s="1"/>
    </row>
    <row r="1252" ht="21.0" customHeight="1">
      <c r="A1252" s="1"/>
      <c r="B1252" s="39" t="s">
        <v>24</v>
      </c>
      <c r="C1252" s="40"/>
      <c r="D1252" s="41"/>
      <c r="E1252" s="42" t="s">
        <v>25</v>
      </c>
      <c r="F1252" s="40"/>
      <c r="G1252" s="41"/>
      <c r="H1252" s="43" t="s">
        <v>26</v>
      </c>
      <c r="J1252" s="44" t="s">
        <v>27</v>
      </c>
      <c r="K1252" s="45" t="s">
        <v>28</v>
      </c>
      <c r="L1252" s="44" t="s">
        <v>27</v>
      </c>
      <c r="M1252" s="45" t="s">
        <v>28</v>
      </c>
      <c r="N1252" s="44" t="s">
        <v>27</v>
      </c>
      <c r="O1252" s="45" t="s">
        <v>28</v>
      </c>
      <c r="P1252" s="44" t="s">
        <v>27</v>
      </c>
      <c r="Q1252" s="45" t="s">
        <v>28</v>
      </c>
      <c r="R1252" s="44" t="s">
        <v>27</v>
      </c>
      <c r="S1252" s="45" t="s">
        <v>28</v>
      </c>
      <c r="T1252" s="44" t="s">
        <v>27</v>
      </c>
      <c r="U1252" s="45" t="s">
        <v>28</v>
      </c>
      <c r="V1252" s="44" t="s">
        <v>27</v>
      </c>
      <c r="W1252" s="45" t="s">
        <v>28</v>
      </c>
      <c r="X1252" s="44" t="s">
        <v>27</v>
      </c>
      <c r="Y1252" s="45" t="s">
        <v>28</v>
      </c>
      <c r="Z1252" s="46"/>
      <c r="AA1252" s="46"/>
      <c r="AB1252" s="121" t="s">
        <v>29</v>
      </c>
      <c r="AC1252" s="122" t="s">
        <v>30</v>
      </c>
      <c r="AD1252" s="123" t="s">
        <v>31</v>
      </c>
      <c r="AE1252" s="121" t="s">
        <v>27</v>
      </c>
      <c r="AF1252" s="123" t="s">
        <v>28</v>
      </c>
      <c r="AG1252" s="1"/>
    </row>
    <row r="1253" ht="21.0" customHeight="1">
      <c r="A1253" s="1"/>
      <c r="B1253" s="48" t="s">
        <v>32</v>
      </c>
      <c r="C1253" s="49"/>
      <c r="D1253" s="50"/>
      <c r="E1253" s="51" t="s">
        <v>33</v>
      </c>
      <c r="F1253" s="52" t="s">
        <v>34</v>
      </c>
      <c r="G1253" s="53"/>
      <c r="H1253" s="148"/>
      <c r="I1253" s="55"/>
      <c r="J1253" s="58"/>
      <c r="K1253" s="59"/>
      <c r="L1253" s="58"/>
      <c r="M1253" s="59"/>
      <c r="N1253" s="58"/>
      <c r="O1253" s="59"/>
      <c r="P1253" s="58"/>
      <c r="Q1253" s="59"/>
      <c r="R1253" s="58"/>
      <c r="S1253" s="59"/>
      <c r="T1253" s="58"/>
      <c r="U1253" s="59"/>
      <c r="V1253" s="58"/>
      <c r="W1253" s="59"/>
      <c r="X1253" s="58"/>
      <c r="Y1253" s="59"/>
      <c r="Z1253" s="60" t="b">
        <v>0</v>
      </c>
      <c r="AA1253" s="125">
        <f t="shared" ref="AA1253:AA1261" si="499">(J1253*K1253+L1253*M1253+N1253*O1253+P1253*Q1253+R1253*S1253+T1253*U1253+V1253*W1253+X1253*Y1253)*if(Z1253=true,0.453592,1)</f>
        <v>0</v>
      </c>
      <c r="AB1253" s="126">
        <f t="shared" ref="AB1253:AB1261" si="500">SUM(AE1253*AF1253*0.025,AE1253)</f>
        <v>0</v>
      </c>
      <c r="AC1253" s="127">
        <f t="shared" ref="AC1253:AC1261" si="501">AB1253*87%</f>
        <v>0</v>
      </c>
      <c r="AD1253" s="128">
        <f t="shared" ref="AD1253:AD1261" si="502">AB1253*67%</f>
        <v>0</v>
      </c>
      <c r="AE1253" s="126">
        <f t="shared" ref="AE1253:AE1261" si="503">MAX(J1253,L1253,N1253,P1253,R1253,T1253,V1253,X1253)*if(Z1253=true,0.453592,1)</f>
        <v>0</v>
      </c>
      <c r="AF1253" s="128">
        <f t="shared" ref="AF1253:AF1261" si="504">MAX(IF(J1253*if(Z1253=true,0.453592,1)=$AE1253,K1253,0),IF(L1253*if(Z1253=true,0.453592,1)=$AE1253,M1253,0),IF(N1253*if(Z1253=true,0.453592,1)=$AE1253,O1253,0),IF(P1253*if(Z1253=true,0.453592,1)=$AE1253,Q1253,0),IF(R1253*if(Z1253=true,0.453592,1)=$AE1253,S1253,0),IF(T1253*if(Z1253=true,0.453592,1)=$AE1253,U1253,0),IF(V1253*if(Z1253=true,0.453592,1)=$AE1253,W1253,0),IF(X1253*if(Z1253=true,0.453592,1)=$AE1253,Y1253,0))</f>
        <v>0</v>
      </c>
      <c r="AG1253" s="1"/>
    </row>
    <row r="1254" ht="21.0" customHeight="1">
      <c r="A1254" s="1"/>
      <c r="B1254" s="48" t="s">
        <v>36</v>
      </c>
      <c r="C1254" s="49"/>
      <c r="D1254" s="65"/>
      <c r="E1254" s="66"/>
      <c r="F1254" s="52" t="s">
        <v>37</v>
      </c>
      <c r="G1254" s="67"/>
      <c r="H1254" s="129"/>
      <c r="I1254" s="69"/>
      <c r="J1254" s="72"/>
      <c r="K1254" s="73"/>
      <c r="L1254" s="72"/>
      <c r="M1254" s="73"/>
      <c r="N1254" s="72"/>
      <c r="O1254" s="73"/>
      <c r="P1254" s="72"/>
      <c r="Q1254" s="73"/>
      <c r="R1254" s="72"/>
      <c r="S1254" s="73"/>
      <c r="T1254" s="72"/>
      <c r="U1254" s="73"/>
      <c r="V1254" s="72"/>
      <c r="W1254" s="73"/>
      <c r="X1254" s="72"/>
      <c r="Y1254" s="73"/>
      <c r="Z1254" s="74" t="b">
        <v>0</v>
      </c>
      <c r="AA1254" s="130">
        <f t="shared" si="499"/>
        <v>0</v>
      </c>
      <c r="AB1254" s="131">
        <f t="shared" si="500"/>
        <v>0</v>
      </c>
      <c r="AC1254" s="132">
        <f t="shared" si="501"/>
        <v>0</v>
      </c>
      <c r="AD1254" s="133">
        <f t="shared" si="502"/>
        <v>0</v>
      </c>
      <c r="AE1254" s="131">
        <f t="shared" si="503"/>
        <v>0</v>
      </c>
      <c r="AF1254" s="133">
        <f t="shared" si="504"/>
        <v>0</v>
      </c>
      <c r="AG1254" s="1"/>
    </row>
    <row r="1255" ht="21.0" customHeight="1">
      <c r="A1255" s="1"/>
      <c r="B1255" s="48" t="s">
        <v>39</v>
      </c>
      <c r="C1255" s="49"/>
      <c r="D1255" s="65"/>
      <c r="E1255" s="41"/>
      <c r="F1255" s="52" t="s">
        <v>40</v>
      </c>
      <c r="G1255" s="79"/>
      <c r="H1255" s="80"/>
      <c r="I1255" s="69"/>
      <c r="J1255" s="72"/>
      <c r="K1255" s="73"/>
      <c r="L1255" s="72"/>
      <c r="M1255" s="73"/>
      <c r="N1255" s="72"/>
      <c r="O1255" s="73"/>
      <c r="P1255" s="72"/>
      <c r="Q1255" s="73"/>
      <c r="R1255" s="72"/>
      <c r="S1255" s="73"/>
      <c r="T1255" s="72"/>
      <c r="U1255" s="73"/>
      <c r="V1255" s="72"/>
      <c r="W1255" s="73"/>
      <c r="X1255" s="72"/>
      <c r="Y1255" s="73"/>
      <c r="Z1255" s="74" t="b">
        <v>0</v>
      </c>
      <c r="AA1255" s="130">
        <f t="shared" si="499"/>
        <v>0</v>
      </c>
      <c r="AB1255" s="131">
        <f t="shared" si="500"/>
        <v>0</v>
      </c>
      <c r="AC1255" s="132">
        <f t="shared" si="501"/>
        <v>0</v>
      </c>
      <c r="AD1255" s="133">
        <f t="shared" si="502"/>
        <v>0</v>
      </c>
      <c r="AE1255" s="131">
        <f t="shared" si="503"/>
        <v>0</v>
      </c>
      <c r="AF1255" s="133">
        <f t="shared" si="504"/>
        <v>0</v>
      </c>
      <c r="AG1255" s="1"/>
    </row>
    <row r="1256" ht="21.0" customHeight="1">
      <c r="A1256" s="1"/>
      <c r="B1256" s="48" t="s">
        <v>41</v>
      </c>
      <c r="C1256" s="81"/>
      <c r="D1256" s="82" t="b">
        <v>0</v>
      </c>
      <c r="E1256" s="51" t="s">
        <v>42</v>
      </c>
      <c r="F1256" s="52" t="s">
        <v>34</v>
      </c>
      <c r="G1256" s="83"/>
      <c r="H1256" s="84"/>
      <c r="I1256" s="85"/>
      <c r="J1256" s="72"/>
      <c r="K1256" s="73"/>
      <c r="L1256" s="72"/>
      <c r="M1256" s="73"/>
      <c r="N1256" s="72"/>
      <c r="O1256" s="73"/>
      <c r="P1256" s="72"/>
      <c r="Q1256" s="73"/>
      <c r="R1256" s="72"/>
      <c r="S1256" s="73"/>
      <c r="T1256" s="72"/>
      <c r="U1256" s="73"/>
      <c r="V1256" s="72"/>
      <c r="W1256" s="73"/>
      <c r="X1256" s="72"/>
      <c r="Y1256" s="73"/>
      <c r="Z1256" s="74" t="b">
        <v>0</v>
      </c>
      <c r="AA1256" s="130">
        <f t="shared" si="499"/>
        <v>0</v>
      </c>
      <c r="AB1256" s="131">
        <f t="shared" si="500"/>
        <v>0</v>
      </c>
      <c r="AC1256" s="132">
        <f t="shared" si="501"/>
        <v>0</v>
      </c>
      <c r="AD1256" s="133">
        <f t="shared" si="502"/>
        <v>0</v>
      </c>
      <c r="AE1256" s="131">
        <f t="shared" si="503"/>
        <v>0</v>
      </c>
      <c r="AF1256" s="133">
        <f t="shared" si="504"/>
        <v>0</v>
      </c>
      <c r="AG1256" s="1"/>
    </row>
    <row r="1257" ht="21.0" customHeight="1">
      <c r="A1257" s="1"/>
      <c r="B1257" s="48" t="s">
        <v>43</v>
      </c>
      <c r="C1257" s="49"/>
      <c r="D1257" s="86" t="b">
        <v>0</v>
      </c>
      <c r="E1257" s="66"/>
      <c r="F1257" s="52" t="s">
        <v>37</v>
      </c>
      <c r="G1257" s="67"/>
      <c r="H1257" s="80"/>
      <c r="I1257" s="69"/>
      <c r="J1257" s="72"/>
      <c r="K1257" s="73"/>
      <c r="L1257" s="72"/>
      <c r="M1257" s="73"/>
      <c r="N1257" s="72"/>
      <c r="O1257" s="73"/>
      <c r="P1257" s="72"/>
      <c r="Q1257" s="73"/>
      <c r="R1257" s="72"/>
      <c r="S1257" s="73"/>
      <c r="T1257" s="72"/>
      <c r="U1257" s="73"/>
      <c r="V1257" s="72"/>
      <c r="W1257" s="73"/>
      <c r="X1257" s="72"/>
      <c r="Y1257" s="73"/>
      <c r="Z1257" s="74" t="b">
        <v>0</v>
      </c>
      <c r="AA1257" s="130">
        <f t="shared" si="499"/>
        <v>0</v>
      </c>
      <c r="AB1257" s="131">
        <f t="shared" si="500"/>
        <v>0</v>
      </c>
      <c r="AC1257" s="132">
        <f t="shared" si="501"/>
        <v>0</v>
      </c>
      <c r="AD1257" s="133">
        <f t="shared" si="502"/>
        <v>0</v>
      </c>
      <c r="AE1257" s="131">
        <f t="shared" si="503"/>
        <v>0</v>
      </c>
      <c r="AF1257" s="133">
        <f t="shared" si="504"/>
        <v>0</v>
      </c>
      <c r="AG1257" s="1"/>
    </row>
    <row r="1258" ht="21.0" customHeight="1">
      <c r="A1258" s="1"/>
      <c r="B1258" s="87" t="str">
        <f t="array" ref="B1258">"📌최근 인바디 결과 : "&amp;text(xlookup(B1250,'현황'!O:O,'현황'!O:O,,-1,-1),"m/d(ddd)")</f>
        <v>#REF!</v>
      </c>
      <c r="C1258" s="88"/>
      <c r="D1258" s="49"/>
      <c r="E1258" s="41"/>
      <c r="F1258" s="52" t="s">
        <v>40</v>
      </c>
      <c r="G1258" s="79"/>
      <c r="H1258" s="80"/>
      <c r="I1258" s="69"/>
      <c r="J1258" s="72"/>
      <c r="K1258" s="73"/>
      <c r="L1258" s="72"/>
      <c r="M1258" s="73"/>
      <c r="N1258" s="72"/>
      <c r="O1258" s="73"/>
      <c r="P1258" s="72"/>
      <c r="Q1258" s="73"/>
      <c r="R1258" s="72"/>
      <c r="S1258" s="73"/>
      <c r="T1258" s="72"/>
      <c r="U1258" s="73"/>
      <c r="V1258" s="72"/>
      <c r="W1258" s="73"/>
      <c r="X1258" s="72"/>
      <c r="Y1258" s="73"/>
      <c r="Z1258" s="74" t="b">
        <v>0</v>
      </c>
      <c r="AA1258" s="130">
        <f t="shared" si="499"/>
        <v>0</v>
      </c>
      <c r="AB1258" s="131">
        <f t="shared" si="500"/>
        <v>0</v>
      </c>
      <c r="AC1258" s="132">
        <f t="shared" si="501"/>
        <v>0</v>
      </c>
      <c r="AD1258" s="133">
        <f t="shared" si="502"/>
        <v>0</v>
      </c>
      <c r="AE1258" s="131">
        <f t="shared" si="503"/>
        <v>0</v>
      </c>
      <c r="AF1258" s="133">
        <f t="shared" si="504"/>
        <v>0</v>
      </c>
      <c r="AG1258" s="1"/>
    </row>
    <row r="1259" ht="21.0" customHeight="1">
      <c r="A1259" s="1"/>
      <c r="B1259" s="89" t="s">
        <v>44</v>
      </c>
      <c r="C1259" s="49"/>
      <c r="D1259" s="90">
        <f t="array" ref="D1259">iferror(vlookup(xlookup(B1250,'현황'!O:O,'현황'!O:O,,-1,-1),'현황'!O:S,2,false),0)</f>
        <v>0</v>
      </c>
      <c r="E1259" s="51" t="s">
        <v>45</v>
      </c>
      <c r="F1259" s="52" t="s">
        <v>34</v>
      </c>
      <c r="G1259" s="83"/>
      <c r="H1259" s="84"/>
      <c r="I1259" s="85"/>
      <c r="J1259" s="72"/>
      <c r="K1259" s="73"/>
      <c r="L1259" s="72"/>
      <c r="M1259" s="73"/>
      <c r="N1259" s="72"/>
      <c r="O1259" s="73"/>
      <c r="P1259" s="72"/>
      <c r="Q1259" s="73"/>
      <c r="R1259" s="72"/>
      <c r="S1259" s="73"/>
      <c r="T1259" s="72"/>
      <c r="U1259" s="73"/>
      <c r="V1259" s="72"/>
      <c r="W1259" s="73"/>
      <c r="X1259" s="72"/>
      <c r="Y1259" s="73"/>
      <c r="Z1259" s="74" t="b">
        <v>0</v>
      </c>
      <c r="AA1259" s="130">
        <f t="shared" si="499"/>
        <v>0</v>
      </c>
      <c r="AB1259" s="131">
        <f t="shared" si="500"/>
        <v>0</v>
      </c>
      <c r="AC1259" s="132">
        <f t="shared" si="501"/>
        <v>0</v>
      </c>
      <c r="AD1259" s="133">
        <f t="shared" si="502"/>
        <v>0</v>
      </c>
      <c r="AE1259" s="131">
        <f t="shared" si="503"/>
        <v>0</v>
      </c>
      <c r="AF1259" s="133">
        <f t="shared" si="504"/>
        <v>0</v>
      </c>
      <c r="AG1259" s="1"/>
    </row>
    <row r="1260" ht="21.0" customHeight="1">
      <c r="A1260" s="1"/>
      <c r="B1260" s="48" t="s">
        <v>46</v>
      </c>
      <c r="C1260" s="49"/>
      <c r="D1260" s="91">
        <f t="array" ref="D1260">iferror(vlookup(xlookup(B1250,'현황'!O:O,'현황'!O:O,,-1,-1),'현황'!O:S,3,false),0)</f>
        <v>0</v>
      </c>
      <c r="E1260" s="66"/>
      <c r="F1260" s="52" t="s">
        <v>37</v>
      </c>
      <c r="G1260" s="67"/>
      <c r="H1260" s="80"/>
      <c r="I1260" s="69"/>
      <c r="J1260" s="72"/>
      <c r="K1260" s="73"/>
      <c r="L1260" s="72"/>
      <c r="M1260" s="73"/>
      <c r="N1260" s="72"/>
      <c r="O1260" s="73"/>
      <c r="P1260" s="72"/>
      <c r="Q1260" s="73"/>
      <c r="R1260" s="72"/>
      <c r="S1260" s="73"/>
      <c r="T1260" s="72"/>
      <c r="U1260" s="73"/>
      <c r="V1260" s="72"/>
      <c r="W1260" s="73"/>
      <c r="X1260" s="72"/>
      <c r="Y1260" s="73"/>
      <c r="Z1260" s="74" t="b">
        <v>0</v>
      </c>
      <c r="AA1260" s="130">
        <f t="shared" si="499"/>
        <v>0</v>
      </c>
      <c r="AB1260" s="131">
        <f t="shared" si="500"/>
        <v>0</v>
      </c>
      <c r="AC1260" s="132">
        <f t="shared" si="501"/>
        <v>0</v>
      </c>
      <c r="AD1260" s="133">
        <f t="shared" si="502"/>
        <v>0</v>
      </c>
      <c r="AE1260" s="131">
        <f t="shared" si="503"/>
        <v>0</v>
      </c>
      <c r="AF1260" s="133">
        <f t="shared" si="504"/>
        <v>0</v>
      </c>
      <c r="AG1260" s="1"/>
    </row>
    <row r="1261" ht="21.0" customHeight="1">
      <c r="A1261" s="1"/>
      <c r="B1261" s="48" t="s">
        <v>47</v>
      </c>
      <c r="C1261" s="49"/>
      <c r="D1261" s="91">
        <f t="array" ref="D1261">iferror(vlookup(xlookup(B1250,'현황'!O:O,'현황'!O:O,,-1,-1),'현황'!O:S,4,false),0)</f>
        <v>0</v>
      </c>
      <c r="E1261" s="41"/>
      <c r="F1261" s="92" t="s">
        <v>40</v>
      </c>
      <c r="G1261" s="79"/>
      <c r="H1261" s="93"/>
      <c r="I1261" s="94"/>
      <c r="J1261" s="95"/>
      <c r="K1261" s="96"/>
      <c r="L1261" s="95"/>
      <c r="M1261" s="96"/>
      <c r="N1261" s="95"/>
      <c r="O1261" s="96"/>
      <c r="P1261" s="95"/>
      <c r="Q1261" s="96"/>
      <c r="R1261" s="95"/>
      <c r="S1261" s="96"/>
      <c r="T1261" s="95"/>
      <c r="U1261" s="96"/>
      <c r="V1261" s="95"/>
      <c r="W1261" s="96"/>
      <c r="X1261" s="95"/>
      <c r="Y1261" s="96"/>
      <c r="Z1261" s="97" t="b">
        <v>0</v>
      </c>
      <c r="AA1261" s="135">
        <f t="shared" si="499"/>
        <v>0</v>
      </c>
      <c r="AB1261" s="136">
        <f t="shared" si="500"/>
        <v>0</v>
      </c>
      <c r="AC1261" s="137">
        <f t="shared" si="501"/>
        <v>0</v>
      </c>
      <c r="AD1261" s="138">
        <f t="shared" si="502"/>
        <v>0</v>
      </c>
      <c r="AE1261" s="136">
        <f t="shared" si="503"/>
        <v>0</v>
      </c>
      <c r="AF1261" s="138">
        <f t="shared" si="504"/>
        <v>0</v>
      </c>
      <c r="AG1261" s="1"/>
    </row>
    <row r="1262" ht="21.0" customHeight="1">
      <c r="A1262" s="1"/>
      <c r="B1262" s="102" t="s">
        <v>48</v>
      </c>
      <c r="C1262" s="103"/>
      <c r="D1262" s="104">
        <f>iferror(D1261/D1259,0)</f>
        <v>0</v>
      </c>
      <c r="E1262" s="102" t="s">
        <v>49</v>
      </c>
      <c r="F1262" s="103"/>
      <c r="G1262" s="105"/>
      <c r="H1262" s="143" t="s">
        <v>50</v>
      </c>
      <c r="I1262" s="144"/>
      <c r="J1262" s="11"/>
      <c r="K1262" s="11"/>
      <c r="L1262" s="11"/>
      <c r="M1262" s="11"/>
      <c r="N1262" s="11"/>
      <c r="O1262" s="11"/>
      <c r="P1262" s="145" t="s">
        <v>51</v>
      </c>
      <c r="Q1262" s="12"/>
      <c r="R1262" s="146"/>
      <c r="S1262" s="11"/>
      <c r="T1262" s="11"/>
      <c r="U1262" s="11"/>
      <c r="V1262" s="11"/>
      <c r="W1262" s="11"/>
      <c r="X1262" s="11"/>
      <c r="Y1262" s="11"/>
      <c r="Z1262" s="12"/>
      <c r="AA1262" s="139">
        <f>SUM(AA1253:AA1261)</f>
        <v>0</v>
      </c>
      <c r="AB1262" s="140" t="s">
        <v>265</v>
      </c>
      <c r="AG1262" s="1"/>
    </row>
    <row r="1263" ht="21.0" customHeight="1">
      <c r="A1263" s="1"/>
      <c r="B1263" s="1"/>
      <c r="C1263" s="1"/>
      <c r="D1263" s="1"/>
      <c r="E1263" s="1"/>
      <c r="F1263" s="1"/>
      <c r="G1263" s="1"/>
      <c r="H1263" s="1"/>
      <c r="I1263" s="1"/>
      <c r="AA1263" s="1"/>
      <c r="AB1263" s="1"/>
      <c r="AC1263" s="3"/>
      <c r="AD1263" s="1"/>
      <c r="AE1263" s="1"/>
      <c r="AF1263" s="1"/>
      <c r="AG1263" s="1"/>
    </row>
    <row r="1264" ht="21.0" customHeight="1">
      <c r="A1264" s="1"/>
      <c r="B1264" s="4" t="s">
        <v>1</v>
      </c>
      <c r="C1264" s="5"/>
      <c r="D1264" s="6" t="s">
        <v>2</v>
      </c>
      <c r="E1264" s="7"/>
      <c r="F1264" s="7"/>
      <c r="G1264" s="5"/>
      <c r="H1264" s="8" t="s">
        <v>3</v>
      </c>
      <c r="I1264" s="8" t="s">
        <v>4</v>
      </c>
      <c r="J1264" s="9" t="s">
        <v>5</v>
      </c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5"/>
      <c r="AA1264" s="117" t="s">
        <v>6</v>
      </c>
      <c r="AB1264" s="11"/>
      <c r="AC1264" s="11"/>
      <c r="AD1264" s="11"/>
      <c r="AE1264" s="11"/>
      <c r="AF1264" s="12"/>
      <c r="AG1264" s="1"/>
    </row>
    <row r="1265" ht="21.0" customHeight="1">
      <c r="A1265" s="1"/>
      <c r="B1265" s="149" t="s">
        <v>138</v>
      </c>
      <c r="C1265" s="14" t="str">
        <f>if(B1265="0/0","",choose(weekday(B1265),"(일)","(월)","(화)","(수)","(목)","(금)","(토)"))</f>
        <v/>
      </c>
      <c r="D1265" s="15" t="s">
        <v>7</v>
      </c>
      <c r="E1265" s="16" t="s">
        <v>8</v>
      </c>
      <c r="F1265" s="17"/>
      <c r="G1265" s="18" t="s">
        <v>9</v>
      </c>
      <c r="H1265" s="150" t="s">
        <v>139</v>
      </c>
      <c r="I1265" s="151"/>
      <c r="J1265" s="21" t="s">
        <v>12</v>
      </c>
      <c r="K1265" s="22"/>
      <c r="L1265" s="21" t="s">
        <v>13</v>
      </c>
      <c r="M1265" s="22"/>
      <c r="N1265" s="21" t="s">
        <v>14</v>
      </c>
      <c r="O1265" s="22"/>
      <c r="P1265" s="21" t="s">
        <v>15</v>
      </c>
      <c r="Q1265" s="22"/>
      <c r="R1265" s="23" t="s">
        <v>16</v>
      </c>
      <c r="S1265" s="22"/>
      <c r="T1265" s="23" t="s">
        <v>17</v>
      </c>
      <c r="U1265" s="22"/>
      <c r="V1265" s="23" t="s">
        <v>18</v>
      </c>
      <c r="W1265" s="22"/>
      <c r="X1265" s="23" t="s">
        <v>19</v>
      </c>
      <c r="Y1265" s="22"/>
      <c r="Z1265" s="24" t="s">
        <v>266</v>
      </c>
      <c r="AA1265" s="118" t="s">
        <v>21</v>
      </c>
      <c r="AB1265" s="119" t="s">
        <v>22</v>
      </c>
      <c r="AC1265" s="7"/>
      <c r="AD1265" s="22"/>
      <c r="AE1265" s="120" t="s">
        <v>23</v>
      </c>
      <c r="AF1265" s="22"/>
      <c r="AG1265" s="1"/>
    </row>
    <row r="1266" ht="21.0" customHeight="1">
      <c r="A1266" s="1"/>
      <c r="B1266" s="27">
        <f>iferror(B1265-'현황'!$C$4+1,0)</f>
        <v>0</v>
      </c>
      <c r="C1266" s="28"/>
      <c r="D1266" s="29">
        <v>0.0</v>
      </c>
      <c r="E1266" s="30">
        <v>0.0</v>
      </c>
      <c r="F1266" s="31"/>
      <c r="G1266" s="32">
        <v>0.0</v>
      </c>
      <c r="H1266" s="33">
        <v>0.0</v>
      </c>
      <c r="I1266" s="34"/>
      <c r="J1266" s="35"/>
      <c r="K1266" s="36"/>
      <c r="L1266" s="35"/>
      <c r="M1266" s="36"/>
      <c r="N1266" s="35"/>
      <c r="O1266" s="36"/>
      <c r="P1266" s="35"/>
      <c r="Q1266" s="36"/>
      <c r="R1266" s="35"/>
      <c r="S1266" s="36"/>
      <c r="T1266" s="35"/>
      <c r="U1266" s="36"/>
      <c r="V1266" s="35"/>
      <c r="W1266" s="36"/>
      <c r="X1266" s="35"/>
      <c r="Y1266" s="36"/>
      <c r="Z1266" s="37"/>
      <c r="AA1266" s="37"/>
      <c r="AB1266" s="35"/>
      <c r="AC1266" s="38"/>
      <c r="AD1266" s="36"/>
      <c r="AE1266" s="35"/>
      <c r="AF1266" s="36"/>
      <c r="AG1266" s="1"/>
    </row>
    <row r="1267" ht="21.0" customHeight="1">
      <c r="A1267" s="1"/>
      <c r="B1267" s="39" t="s">
        <v>24</v>
      </c>
      <c r="C1267" s="40"/>
      <c r="D1267" s="41"/>
      <c r="E1267" s="42" t="s">
        <v>25</v>
      </c>
      <c r="F1267" s="40"/>
      <c r="G1267" s="41"/>
      <c r="H1267" s="43" t="s">
        <v>26</v>
      </c>
      <c r="J1267" s="44" t="s">
        <v>27</v>
      </c>
      <c r="K1267" s="45" t="s">
        <v>28</v>
      </c>
      <c r="L1267" s="44" t="s">
        <v>27</v>
      </c>
      <c r="M1267" s="45" t="s">
        <v>28</v>
      </c>
      <c r="N1267" s="44" t="s">
        <v>27</v>
      </c>
      <c r="O1267" s="45" t="s">
        <v>28</v>
      </c>
      <c r="P1267" s="44" t="s">
        <v>27</v>
      </c>
      <c r="Q1267" s="45" t="s">
        <v>28</v>
      </c>
      <c r="R1267" s="44" t="s">
        <v>27</v>
      </c>
      <c r="S1267" s="45" t="s">
        <v>28</v>
      </c>
      <c r="T1267" s="44" t="s">
        <v>27</v>
      </c>
      <c r="U1267" s="45" t="s">
        <v>28</v>
      </c>
      <c r="V1267" s="44" t="s">
        <v>27</v>
      </c>
      <c r="W1267" s="45" t="s">
        <v>28</v>
      </c>
      <c r="X1267" s="44" t="s">
        <v>27</v>
      </c>
      <c r="Y1267" s="45" t="s">
        <v>28</v>
      </c>
      <c r="Z1267" s="46"/>
      <c r="AA1267" s="46"/>
      <c r="AB1267" s="121" t="s">
        <v>29</v>
      </c>
      <c r="AC1267" s="122" t="s">
        <v>30</v>
      </c>
      <c r="AD1267" s="123" t="s">
        <v>31</v>
      </c>
      <c r="AE1267" s="121" t="s">
        <v>27</v>
      </c>
      <c r="AF1267" s="123" t="s">
        <v>28</v>
      </c>
      <c r="AG1267" s="1"/>
    </row>
    <row r="1268" ht="21.0" customHeight="1">
      <c r="A1268" s="1"/>
      <c r="B1268" s="48" t="s">
        <v>32</v>
      </c>
      <c r="C1268" s="49"/>
      <c r="D1268" s="50"/>
      <c r="E1268" s="51" t="s">
        <v>33</v>
      </c>
      <c r="F1268" s="52" t="s">
        <v>34</v>
      </c>
      <c r="G1268" s="53"/>
      <c r="H1268" s="148"/>
      <c r="I1268" s="55"/>
      <c r="J1268" s="58"/>
      <c r="K1268" s="59"/>
      <c r="L1268" s="58"/>
      <c r="M1268" s="59"/>
      <c r="N1268" s="58"/>
      <c r="O1268" s="59"/>
      <c r="P1268" s="58"/>
      <c r="Q1268" s="59"/>
      <c r="R1268" s="58"/>
      <c r="S1268" s="59"/>
      <c r="T1268" s="58"/>
      <c r="U1268" s="59"/>
      <c r="V1268" s="58"/>
      <c r="W1268" s="59"/>
      <c r="X1268" s="58"/>
      <c r="Y1268" s="59"/>
      <c r="Z1268" s="60" t="b">
        <v>0</v>
      </c>
      <c r="AA1268" s="125">
        <f t="shared" ref="AA1268:AA1276" si="505">(J1268*K1268+L1268*M1268+N1268*O1268+P1268*Q1268+R1268*S1268+T1268*U1268+V1268*W1268+X1268*Y1268)*if(Z1268=true,0.453592,1)</f>
        <v>0</v>
      </c>
      <c r="AB1268" s="126">
        <f t="shared" ref="AB1268:AB1276" si="506">SUM(AE1268*AF1268*0.025,AE1268)</f>
        <v>0</v>
      </c>
      <c r="AC1268" s="127">
        <f t="shared" ref="AC1268:AC1276" si="507">AB1268*87%</f>
        <v>0</v>
      </c>
      <c r="AD1268" s="128">
        <f t="shared" ref="AD1268:AD1276" si="508">AB1268*67%</f>
        <v>0</v>
      </c>
      <c r="AE1268" s="126">
        <f t="shared" ref="AE1268:AE1276" si="509">MAX(J1268,L1268,N1268,P1268,R1268,T1268,V1268,X1268)*if(Z1268=true,0.453592,1)</f>
        <v>0</v>
      </c>
      <c r="AF1268" s="128">
        <f t="shared" ref="AF1268:AF1276" si="510">MAX(IF(J1268*if(Z1268=true,0.453592,1)=$AE1268,K1268,0),IF(L1268*if(Z1268=true,0.453592,1)=$AE1268,M1268,0),IF(N1268*if(Z1268=true,0.453592,1)=$AE1268,O1268,0),IF(P1268*if(Z1268=true,0.453592,1)=$AE1268,Q1268,0),IF(R1268*if(Z1268=true,0.453592,1)=$AE1268,S1268,0),IF(T1268*if(Z1268=true,0.453592,1)=$AE1268,U1268,0),IF(V1268*if(Z1268=true,0.453592,1)=$AE1268,W1268,0),IF(X1268*if(Z1268=true,0.453592,1)=$AE1268,Y1268,0))</f>
        <v>0</v>
      </c>
      <c r="AG1268" s="1"/>
    </row>
    <row r="1269" ht="21.0" customHeight="1">
      <c r="A1269" s="1"/>
      <c r="B1269" s="48" t="s">
        <v>36</v>
      </c>
      <c r="C1269" s="49"/>
      <c r="D1269" s="65"/>
      <c r="E1269" s="66"/>
      <c r="F1269" s="52" t="s">
        <v>37</v>
      </c>
      <c r="G1269" s="67"/>
      <c r="H1269" s="129"/>
      <c r="I1269" s="69"/>
      <c r="J1269" s="72"/>
      <c r="K1269" s="73"/>
      <c r="L1269" s="72"/>
      <c r="M1269" s="73"/>
      <c r="N1269" s="72"/>
      <c r="O1269" s="73"/>
      <c r="P1269" s="72"/>
      <c r="Q1269" s="73"/>
      <c r="R1269" s="72"/>
      <c r="S1269" s="73"/>
      <c r="T1269" s="72"/>
      <c r="U1269" s="73"/>
      <c r="V1269" s="72"/>
      <c r="W1269" s="73"/>
      <c r="X1269" s="72"/>
      <c r="Y1269" s="73"/>
      <c r="Z1269" s="74" t="b">
        <v>0</v>
      </c>
      <c r="AA1269" s="130">
        <f t="shared" si="505"/>
        <v>0</v>
      </c>
      <c r="AB1269" s="131">
        <f t="shared" si="506"/>
        <v>0</v>
      </c>
      <c r="AC1269" s="132">
        <f t="shared" si="507"/>
        <v>0</v>
      </c>
      <c r="AD1269" s="133">
        <f t="shared" si="508"/>
        <v>0</v>
      </c>
      <c r="AE1269" s="131">
        <f t="shared" si="509"/>
        <v>0</v>
      </c>
      <c r="AF1269" s="133">
        <f t="shared" si="510"/>
        <v>0</v>
      </c>
      <c r="AG1269" s="1"/>
    </row>
    <row r="1270" ht="21.0" customHeight="1">
      <c r="A1270" s="1"/>
      <c r="B1270" s="48" t="s">
        <v>39</v>
      </c>
      <c r="C1270" s="49"/>
      <c r="D1270" s="65"/>
      <c r="E1270" s="41"/>
      <c r="F1270" s="52" t="s">
        <v>40</v>
      </c>
      <c r="G1270" s="79"/>
      <c r="H1270" s="80"/>
      <c r="I1270" s="69"/>
      <c r="J1270" s="72"/>
      <c r="K1270" s="73"/>
      <c r="L1270" s="72"/>
      <c r="M1270" s="73"/>
      <c r="N1270" s="72"/>
      <c r="O1270" s="73"/>
      <c r="P1270" s="72"/>
      <c r="Q1270" s="73"/>
      <c r="R1270" s="72"/>
      <c r="S1270" s="73"/>
      <c r="T1270" s="72"/>
      <c r="U1270" s="73"/>
      <c r="V1270" s="72"/>
      <c r="W1270" s="73"/>
      <c r="X1270" s="72"/>
      <c r="Y1270" s="73"/>
      <c r="Z1270" s="74" t="b">
        <v>0</v>
      </c>
      <c r="AA1270" s="130">
        <f t="shared" si="505"/>
        <v>0</v>
      </c>
      <c r="AB1270" s="131">
        <f t="shared" si="506"/>
        <v>0</v>
      </c>
      <c r="AC1270" s="132">
        <f t="shared" si="507"/>
        <v>0</v>
      </c>
      <c r="AD1270" s="133">
        <f t="shared" si="508"/>
        <v>0</v>
      </c>
      <c r="AE1270" s="131">
        <f t="shared" si="509"/>
        <v>0</v>
      </c>
      <c r="AF1270" s="133">
        <f t="shared" si="510"/>
        <v>0</v>
      </c>
      <c r="AG1270" s="1"/>
    </row>
    <row r="1271" ht="21.0" customHeight="1">
      <c r="A1271" s="1"/>
      <c r="B1271" s="48" t="s">
        <v>41</v>
      </c>
      <c r="C1271" s="81"/>
      <c r="D1271" s="82" t="b">
        <v>0</v>
      </c>
      <c r="E1271" s="51" t="s">
        <v>42</v>
      </c>
      <c r="F1271" s="52" t="s">
        <v>34</v>
      </c>
      <c r="G1271" s="83"/>
      <c r="H1271" s="84"/>
      <c r="I1271" s="85"/>
      <c r="J1271" s="72"/>
      <c r="K1271" s="73"/>
      <c r="L1271" s="72"/>
      <c r="M1271" s="73"/>
      <c r="N1271" s="72"/>
      <c r="O1271" s="73"/>
      <c r="P1271" s="72"/>
      <c r="Q1271" s="73"/>
      <c r="R1271" s="72"/>
      <c r="S1271" s="73"/>
      <c r="T1271" s="72"/>
      <c r="U1271" s="73"/>
      <c r="V1271" s="72"/>
      <c r="W1271" s="73"/>
      <c r="X1271" s="72"/>
      <c r="Y1271" s="73"/>
      <c r="Z1271" s="74" t="b">
        <v>0</v>
      </c>
      <c r="AA1271" s="130">
        <f t="shared" si="505"/>
        <v>0</v>
      </c>
      <c r="AB1271" s="131">
        <f t="shared" si="506"/>
        <v>0</v>
      </c>
      <c r="AC1271" s="132">
        <f t="shared" si="507"/>
        <v>0</v>
      </c>
      <c r="AD1271" s="133">
        <f t="shared" si="508"/>
        <v>0</v>
      </c>
      <c r="AE1271" s="131">
        <f t="shared" si="509"/>
        <v>0</v>
      </c>
      <c r="AF1271" s="133">
        <f t="shared" si="510"/>
        <v>0</v>
      </c>
      <c r="AG1271" s="1"/>
    </row>
    <row r="1272" ht="21.0" customHeight="1">
      <c r="A1272" s="1"/>
      <c r="B1272" s="48" t="s">
        <v>43</v>
      </c>
      <c r="C1272" s="49"/>
      <c r="D1272" s="86" t="b">
        <v>0</v>
      </c>
      <c r="E1272" s="66"/>
      <c r="F1272" s="52" t="s">
        <v>37</v>
      </c>
      <c r="G1272" s="67"/>
      <c r="H1272" s="80"/>
      <c r="I1272" s="69"/>
      <c r="J1272" s="72"/>
      <c r="K1272" s="73"/>
      <c r="L1272" s="72"/>
      <c r="M1272" s="73"/>
      <c r="N1272" s="72"/>
      <c r="O1272" s="73"/>
      <c r="P1272" s="72"/>
      <c r="Q1272" s="73"/>
      <c r="R1272" s="72"/>
      <c r="S1272" s="73"/>
      <c r="T1272" s="72"/>
      <c r="U1272" s="73"/>
      <c r="V1272" s="72"/>
      <c r="W1272" s="73"/>
      <c r="X1272" s="72"/>
      <c r="Y1272" s="73"/>
      <c r="Z1272" s="74" t="b">
        <v>0</v>
      </c>
      <c r="AA1272" s="130">
        <f t="shared" si="505"/>
        <v>0</v>
      </c>
      <c r="AB1272" s="131">
        <f t="shared" si="506"/>
        <v>0</v>
      </c>
      <c r="AC1272" s="132">
        <f t="shared" si="507"/>
        <v>0</v>
      </c>
      <c r="AD1272" s="133">
        <f t="shared" si="508"/>
        <v>0</v>
      </c>
      <c r="AE1272" s="131">
        <f t="shared" si="509"/>
        <v>0</v>
      </c>
      <c r="AF1272" s="133">
        <f t="shared" si="510"/>
        <v>0</v>
      </c>
      <c r="AG1272" s="1"/>
    </row>
    <row r="1273" ht="21.0" customHeight="1">
      <c r="A1273" s="1"/>
      <c r="B1273" s="87" t="str">
        <f t="array" ref="B1273">"📌최근 인바디 결과 : "&amp;text(xlookup(B1265,'현황'!O:O,'현황'!O:O,,-1,-1),"m/d(ddd)")</f>
        <v>#REF!</v>
      </c>
      <c r="C1273" s="88"/>
      <c r="D1273" s="49"/>
      <c r="E1273" s="41"/>
      <c r="F1273" s="52" t="s">
        <v>40</v>
      </c>
      <c r="G1273" s="79"/>
      <c r="H1273" s="80"/>
      <c r="I1273" s="69"/>
      <c r="J1273" s="72"/>
      <c r="K1273" s="73"/>
      <c r="L1273" s="72"/>
      <c r="M1273" s="73"/>
      <c r="N1273" s="72"/>
      <c r="O1273" s="73"/>
      <c r="P1273" s="72"/>
      <c r="Q1273" s="73"/>
      <c r="R1273" s="72"/>
      <c r="S1273" s="73"/>
      <c r="T1273" s="72"/>
      <c r="U1273" s="73"/>
      <c r="V1273" s="72"/>
      <c r="W1273" s="73"/>
      <c r="X1273" s="72"/>
      <c r="Y1273" s="73"/>
      <c r="Z1273" s="74" t="b">
        <v>0</v>
      </c>
      <c r="AA1273" s="130">
        <f t="shared" si="505"/>
        <v>0</v>
      </c>
      <c r="AB1273" s="131">
        <f t="shared" si="506"/>
        <v>0</v>
      </c>
      <c r="AC1273" s="132">
        <f t="shared" si="507"/>
        <v>0</v>
      </c>
      <c r="AD1273" s="133">
        <f t="shared" si="508"/>
        <v>0</v>
      </c>
      <c r="AE1273" s="131">
        <f t="shared" si="509"/>
        <v>0</v>
      </c>
      <c r="AF1273" s="133">
        <f t="shared" si="510"/>
        <v>0</v>
      </c>
      <c r="AG1273" s="1"/>
    </row>
    <row r="1274" ht="21.0" customHeight="1">
      <c r="A1274" s="1"/>
      <c r="B1274" s="89" t="s">
        <v>44</v>
      </c>
      <c r="C1274" s="49"/>
      <c r="D1274" s="90">
        <f t="array" ref="D1274">iferror(vlookup(xlookup(B1265,'현황'!O:O,'현황'!O:O,,-1,-1),'현황'!O:S,2,false),0)</f>
        <v>0</v>
      </c>
      <c r="E1274" s="51" t="s">
        <v>45</v>
      </c>
      <c r="F1274" s="52" t="s">
        <v>34</v>
      </c>
      <c r="G1274" s="83"/>
      <c r="H1274" s="84"/>
      <c r="I1274" s="85"/>
      <c r="J1274" s="72"/>
      <c r="K1274" s="73"/>
      <c r="L1274" s="72"/>
      <c r="M1274" s="73"/>
      <c r="N1274" s="72"/>
      <c r="O1274" s="73"/>
      <c r="P1274" s="72"/>
      <c r="Q1274" s="73"/>
      <c r="R1274" s="72"/>
      <c r="S1274" s="73"/>
      <c r="T1274" s="72"/>
      <c r="U1274" s="73"/>
      <c r="V1274" s="72"/>
      <c r="W1274" s="73"/>
      <c r="X1274" s="72"/>
      <c r="Y1274" s="73"/>
      <c r="Z1274" s="74" t="b">
        <v>0</v>
      </c>
      <c r="AA1274" s="130">
        <f t="shared" si="505"/>
        <v>0</v>
      </c>
      <c r="AB1274" s="131">
        <f t="shared" si="506"/>
        <v>0</v>
      </c>
      <c r="AC1274" s="132">
        <f t="shared" si="507"/>
        <v>0</v>
      </c>
      <c r="AD1274" s="133">
        <f t="shared" si="508"/>
        <v>0</v>
      </c>
      <c r="AE1274" s="131">
        <f t="shared" si="509"/>
        <v>0</v>
      </c>
      <c r="AF1274" s="133">
        <f t="shared" si="510"/>
        <v>0</v>
      </c>
      <c r="AG1274" s="1"/>
    </row>
    <row r="1275" ht="21.0" customHeight="1">
      <c r="A1275" s="1"/>
      <c r="B1275" s="48" t="s">
        <v>46</v>
      </c>
      <c r="C1275" s="49"/>
      <c r="D1275" s="91">
        <f t="array" ref="D1275">iferror(vlookup(xlookup(B1265,'현황'!O:O,'현황'!O:O,,-1,-1),'현황'!O:S,3,false),0)</f>
        <v>0</v>
      </c>
      <c r="E1275" s="66"/>
      <c r="F1275" s="52" t="s">
        <v>37</v>
      </c>
      <c r="G1275" s="67"/>
      <c r="H1275" s="80"/>
      <c r="I1275" s="69"/>
      <c r="J1275" s="72"/>
      <c r="K1275" s="73"/>
      <c r="L1275" s="72"/>
      <c r="M1275" s="73"/>
      <c r="N1275" s="72"/>
      <c r="O1275" s="73"/>
      <c r="P1275" s="72"/>
      <c r="Q1275" s="73"/>
      <c r="R1275" s="72"/>
      <c r="S1275" s="73"/>
      <c r="T1275" s="72"/>
      <c r="U1275" s="73"/>
      <c r="V1275" s="72"/>
      <c r="W1275" s="73"/>
      <c r="X1275" s="72"/>
      <c r="Y1275" s="73"/>
      <c r="Z1275" s="74" t="b">
        <v>0</v>
      </c>
      <c r="AA1275" s="130">
        <f t="shared" si="505"/>
        <v>0</v>
      </c>
      <c r="AB1275" s="131">
        <f t="shared" si="506"/>
        <v>0</v>
      </c>
      <c r="AC1275" s="132">
        <f t="shared" si="507"/>
        <v>0</v>
      </c>
      <c r="AD1275" s="133">
        <f t="shared" si="508"/>
        <v>0</v>
      </c>
      <c r="AE1275" s="131">
        <f t="shared" si="509"/>
        <v>0</v>
      </c>
      <c r="AF1275" s="133">
        <f t="shared" si="510"/>
        <v>0</v>
      </c>
      <c r="AG1275" s="1"/>
    </row>
    <row r="1276" ht="21.0" customHeight="1">
      <c r="A1276" s="1"/>
      <c r="B1276" s="48" t="s">
        <v>47</v>
      </c>
      <c r="C1276" s="49"/>
      <c r="D1276" s="91">
        <f t="array" ref="D1276">iferror(vlookup(xlookup(B1265,'현황'!O:O,'현황'!O:O,,-1,-1),'현황'!O:S,4,false),0)</f>
        <v>0</v>
      </c>
      <c r="E1276" s="41"/>
      <c r="F1276" s="92" t="s">
        <v>40</v>
      </c>
      <c r="G1276" s="79"/>
      <c r="H1276" s="93"/>
      <c r="I1276" s="94"/>
      <c r="J1276" s="95"/>
      <c r="K1276" s="96"/>
      <c r="L1276" s="95"/>
      <c r="M1276" s="96"/>
      <c r="N1276" s="95"/>
      <c r="O1276" s="96"/>
      <c r="P1276" s="95"/>
      <c r="Q1276" s="96"/>
      <c r="R1276" s="95"/>
      <c r="S1276" s="96"/>
      <c r="T1276" s="95"/>
      <c r="U1276" s="96"/>
      <c r="V1276" s="95"/>
      <c r="W1276" s="96"/>
      <c r="X1276" s="95"/>
      <c r="Y1276" s="96"/>
      <c r="Z1276" s="97" t="b">
        <v>0</v>
      </c>
      <c r="AA1276" s="135">
        <f t="shared" si="505"/>
        <v>0</v>
      </c>
      <c r="AB1276" s="136">
        <f t="shared" si="506"/>
        <v>0</v>
      </c>
      <c r="AC1276" s="137">
        <f t="shared" si="507"/>
        <v>0</v>
      </c>
      <c r="AD1276" s="138">
        <f t="shared" si="508"/>
        <v>0</v>
      </c>
      <c r="AE1276" s="136">
        <f t="shared" si="509"/>
        <v>0</v>
      </c>
      <c r="AF1276" s="138">
        <f t="shared" si="510"/>
        <v>0</v>
      </c>
      <c r="AG1276" s="1"/>
    </row>
    <row r="1277" ht="21.0" customHeight="1">
      <c r="A1277" s="1"/>
      <c r="B1277" s="102" t="s">
        <v>48</v>
      </c>
      <c r="C1277" s="103"/>
      <c r="D1277" s="104">
        <f>iferror(D1276/D1274,0)</f>
        <v>0</v>
      </c>
      <c r="E1277" s="102" t="s">
        <v>49</v>
      </c>
      <c r="F1277" s="103"/>
      <c r="G1277" s="105"/>
      <c r="H1277" s="106" t="s">
        <v>50</v>
      </c>
      <c r="I1277" s="107"/>
      <c r="J1277" s="11"/>
      <c r="K1277" s="11"/>
      <c r="L1277" s="11"/>
      <c r="M1277" s="11"/>
      <c r="N1277" s="11"/>
      <c r="O1277" s="11"/>
      <c r="P1277" s="108" t="s">
        <v>51</v>
      </c>
      <c r="Q1277" s="12"/>
      <c r="R1277" s="109"/>
      <c r="S1277" s="11"/>
      <c r="T1277" s="11"/>
      <c r="U1277" s="11"/>
      <c r="V1277" s="11"/>
      <c r="W1277" s="11"/>
      <c r="X1277" s="11"/>
      <c r="Y1277" s="11"/>
      <c r="Z1277" s="12"/>
      <c r="AA1277" s="139">
        <f>SUM(AA1268:AA1276)</f>
        <v>0</v>
      </c>
      <c r="AB1277" s="140" t="s">
        <v>267</v>
      </c>
      <c r="AG1277" s="1"/>
    </row>
    <row r="1278" ht="21.0" customHeight="1">
      <c r="A1278" s="1"/>
      <c r="B1278" s="1"/>
      <c r="C1278" s="1"/>
      <c r="D1278" s="1"/>
      <c r="E1278" s="1"/>
      <c r="F1278" s="1"/>
      <c r="G1278" s="1"/>
      <c r="H1278" s="1"/>
      <c r="I1278" s="1"/>
      <c r="AA1278" s="1"/>
      <c r="AB1278" s="1"/>
      <c r="AC1278" s="3"/>
      <c r="AD1278" s="1"/>
      <c r="AE1278" s="1"/>
      <c r="AF1278" s="1"/>
      <c r="AG1278" s="1"/>
    </row>
    <row r="1279" ht="21.0" customHeight="1">
      <c r="A1279" s="1"/>
      <c r="B1279" s="4" t="s">
        <v>1</v>
      </c>
      <c r="C1279" s="5"/>
      <c r="D1279" s="6" t="s">
        <v>2</v>
      </c>
      <c r="E1279" s="7"/>
      <c r="F1279" s="7"/>
      <c r="G1279" s="5"/>
      <c r="H1279" s="8" t="s">
        <v>3</v>
      </c>
      <c r="I1279" s="8" t="s">
        <v>4</v>
      </c>
      <c r="J1279" s="9" t="s">
        <v>5</v>
      </c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5"/>
      <c r="AA1279" s="117" t="s">
        <v>6</v>
      </c>
      <c r="AB1279" s="11"/>
      <c r="AC1279" s="11"/>
      <c r="AD1279" s="11"/>
      <c r="AE1279" s="11"/>
      <c r="AF1279" s="12"/>
      <c r="AG1279" s="1"/>
    </row>
    <row r="1280" ht="21.0" customHeight="1">
      <c r="A1280" s="1"/>
      <c r="B1280" s="149" t="s">
        <v>138</v>
      </c>
      <c r="C1280" s="14" t="str">
        <f>if(B1280="0/0","",choose(weekday(B1280),"(일)","(월)","(화)","(수)","(목)","(금)","(토)"))</f>
        <v/>
      </c>
      <c r="D1280" s="15" t="s">
        <v>7</v>
      </c>
      <c r="E1280" s="16" t="s">
        <v>8</v>
      </c>
      <c r="F1280" s="17"/>
      <c r="G1280" s="18" t="s">
        <v>9</v>
      </c>
      <c r="H1280" s="150" t="s">
        <v>139</v>
      </c>
      <c r="I1280" s="151"/>
      <c r="J1280" s="21" t="s">
        <v>12</v>
      </c>
      <c r="K1280" s="22"/>
      <c r="L1280" s="21" t="s">
        <v>13</v>
      </c>
      <c r="M1280" s="22"/>
      <c r="N1280" s="21" t="s">
        <v>14</v>
      </c>
      <c r="O1280" s="22"/>
      <c r="P1280" s="21" t="s">
        <v>15</v>
      </c>
      <c r="Q1280" s="22"/>
      <c r="R1280" s="23" t="s">
        <v>16</v>
      </c>
      <c r="S1280" s="22"/>
      <c r="T1280" s="23" t="s">
        <v>17</v>
      </c>
      <c r="U1280" s="22"/>
      <c r="V1280" s="23" t="s">
        <v>18</v>
      </c>
      <c r="W1280" s="22"/>
      <c r="X1280" s="23" t="s">
        <v>19</v>
      </c>
      <c r="Y1280" s="22"/>
      <c r="Z1280" s="24" t="s">
        <v>268</v>
      </c>
      <c r="AA1280" s="118" t="s">
        <v>21</v>
      </c>
      <c r="AB1280" s="119" t="s">
        <v>22</v>
      </c>
      <c r="AC1280" s="7"/>
      <c r="AD1280" s="22"/>
      <c r="AE1280" s="120" t="s">
        <v>23</v>
      </c>
      <c r="AF1280" s="22"/>
      <c r="AG1280" s="1"/>
    </row>
    <row r="1281" ht="21.0" customHeight="1">
      <c r="A1281" s="1"/>
      <c r="B1281" s="27">
        <f>iferror(B1280-'현황'!$C$4+1,0)</f>
        <v>0</v>
      </c>
      <c r="C1281" s="28"/>
      <c r="D1281" s="29">
        <v>0.0</v>
      </c>
      <c r="E1281" s="30">
        <v>0.0</v>
      </c>
      <c r="F1281" s="31"/>
      <c r="G1281" s="32">
        <v>0.0</v>
      </c>
      <c r="H1281" s="33">
        <v>0.0</v>
      </c>
      <c r="I1281" s="34"/>
      <c r="J1281" s="35"/>
      <c r="K1281" s="36"/>
      <c r="L1281" s="35"/>
      <c r="M1281" s="36"/>
      <c r="N1281" s="35"/>
      <c r="O1281" s="36"/>
      <c r="P1281" s="35"/>
      <c r="Q1281" s="36"/>
      <c r="R1281" s="35"/>
      <c r="S1281" s="36"/>
      <c r="T1281" s="35"/>
      <c r="U1281" s="36"/>
      <c r="V1281" s="35"/>
      <c r="W1281" s="36"/>
      <c r="X1281" s="35"/>
      <c r="Y1281" s="36"/>
      <c r="Z1281" s="37"/>
      <c r="AA1281" s="37"/>
      <c r="AB1281" s="35"/>
      <c r="AC1281" s="38"/>
      <c r="AD1281" s="36"/>
      <c r="AE1281" s="35"/>
      <c r="AF1281" s="36"/>
      <c r="AG1281" s="1"/>
    </row>
    <row r="1282" ht="21.0" customHeight="1">
      <c r="A1282" s="1"/>
      <c r="B1282" s="39" t="s">
        <v>24</v>
      </c>
      <c r="C1282" s="40"/>
      <c r="D1282" s="41"/>
      <c r="E1282" s="42" t="s">
        <v>25</v>
      </c>
      <c r="F1282" s="40"/>
      <c r="G1282" s="41"/>
      <c r="H1282" s="43" t="s">
        <v>26</v>
      </c>
      <c r="J1282" s="44" t="s">
        <v>27</v>
      </c>
      <c r="K1282" s="45" t="s">
        <v>28</v>
      </c>
      <c r="L1282" s="44" t="s">
        <v>27</v>
      </c>
      <c r="M1282" s="45" t="s">
        <v>28</v>
      </c>
      <c r="N1282" s="44" t="s">
        <v>27</v>
      </c>
      <c r="O1282" s="45" t="s">
        <v>28</v>
      </c>
      <c r="P1282" s="44" t="s">
        <v>27</v>
      </c>
      <c r="Q1282" s="45" t="s">
        <v>28</v>
      </c>
      <c r="R1282" s="44" t="s">
        <v>27</v>
      </c>
      <c r="S1282" s="45" t="s">
        <v>28</v>
      </c>
      <c r="T1282" s="44" t="s">
        <v>27</v>
      </c>
      <c r="U1282" s="45" t="s">
        <v>28</v>
      </c>
      <c r="V1282" s="44" t="s">
        <v>27</v>
      </c>
      <c r="W1282" s="45" t="s">
        <v>28</v>
      </c>
      <c r="X1282" s="44" t="s">
        <v>27</v>
      </c>
      <c r="Y1282" s="45" t="s">
        <v>28</v>
      </c>
      <c r="Z1282" s="46"/>
      <c r="AA1282" s="46"/>
      <c r="AB1282" s="121" t="s">
        <v>29</v>
      </c>
      <c r="AC1282" s="122" t="s">
        <v>30</v>
      </c>
      <c r="AD1282" s="123" t="s">
        <v>31</v>
      </c>
      <c r="AE1282" s="121" t="s">
        <v>27</v>
      </c>
      <c r="AF1282" s="123" t="s">
        <v>28</v>
      </c>
      <c r="AG1282" s="1"/>
    </row>
    <row r="1283" ht="21.0" customHeight="1">
      <c r="A1283" s="1"/>
      <c r="B1283" s="48" t="s">
        <v>32</v>
      </c>
      <c r="C1283" s="49"/>
      <c r="D1283" s="50"/>
      <c r="E1283" s="51" t="s">
        <v>33</v>
      </c>
      <c r="F1283" s="52" t="s">
        <v>34</v>
      </c>
      <c r="G1283" s="53"/>
      <c r="H1283" s="148"/>
      <c r="I1283" s="55"/>
      <c r="J1283" s="58"/>
      <c r="K1283" s="59"/>
      <c r="L1283" s="58"/>
      <c r="M1283" s="59"/>
      <c r="N1283" s="58"/>
      <c r="O1283" s="59"/>
      <c r="P1283" s="58"/>
      <c r="Q1283" s="59"/>
      <c r="R1283" s="58"/>
      <c r="S1283" s="59"/>
      <c r="T1283" s="58"/>
      <c r="U1283" s="59"/>
      <c r="V1283" s="58"/>
      <c r="W1283" s="59"/>
      <c r="X1283" s="58"/>
      <c r="Y1283" s="59"/>
      <c r="Z1283" s="60" t="b">
        <v>0</v>
      </c>
      <c r="AA1283" s="125">
        <f t="shared" ref="AA1283:AA1291" si="511">(J1283*K1283+L1283*M1283+N1283*O1283+P1283*Q1283+R1283*S1283+T1283*U1283+V1283*W1283+X1283*Y1283)*if(Z1283=true,0.453592,1)</f>
        <v>0</v>
      </c>
      <c r="AB1283" s="126">
        <f t="shared" ref="AB1283:AB1291" si="512">SUM(AE1283*AF1283*0.025,AE1283)</f>
        <v>0</v>
      </c>
      <c r="AC1283" s="127">
        <f t="shared" ref="AC1283:AC1291" si="513">AB1283*87%</f>
        <v>0</v>
      </c>
      <c r="AD1283" s="128">
        <f t="shared" ref="AD1283:AD1291" si="514">AB1283*67%</f>
        <v>0</v>
      </c>
      <c r="AE1283" s="126">
        <f t="shared" ref="AE1283:AE1291" si="515">MAX(J1283,L1283,N1283,P1283,R1283,T1283,V1283,X1283)*if(Z1283=true,0.453592,1)</f>
        <v>0</v>
      </c>
      <c r="AF1283" s="128">
        <f t="shared" ref="AF1283:AF1291" si="516">MAX(IF(J1283*if(Z1283=true,0.453592,1)=$AE1283,K1283,0),IF(L1283*if(Z1283=true,0.453592,1)=$AE1283,M1283,0),IF(N1283*if(Z1283=true,0.453592,1)=$AE1283,O1283,0),IF(P1283*if(Z1283=true,0.453592,1)=$AE1283,Q1283,0),IF(R1283*if(Z1283=true,0.453592,1)=$AE1283,S1283,0),IF(T1283*if(Z1283=true,0.453592,1)=$AE1283,U1283,0),IF(V1283*if(Z1283=true,0.453592,1)=$AE1283,W1283,0),IF(X1283*if(Z1283=true,0.453592,1)=$AE1283,Y1283,0))</f>
        <v>0</v>
      </c>
      <c r="AG1283" s="1"/>
    </row>
    <row r="1284" ht="21.0" customHeight="1">
      <c r="A1284" s="1"/>
      <c r="B1284" s="48" t="s">
        <v>36</v>
      </c>
      <c r="C1284" s="49"/>
      <c r="D1284" s="65"/>
      <c r="E1284" s="66"/>
      <c r="F1284" s="52" t="s">
        <v>37</v>
      </c>
      <c r="G1284" s="67"/>
      <c r="H1284" s="129"/>
      <c r="I1284" s="69"/>
      <c r="J1284" s="72"/>
      <c r="K1284" s="73"/>
      <c r="L1284" s="72"/>
      <c r="M1284" s="73"/>
      <c r="N1284" s="72"/>
      <c r="O1284" s="73"/>
      <c r="P1284" s="72"/>
      <c r="Q1284" s="73"/>
      <c r="R1284" s="72"/>
      <c r="S1284" s="73"/>
      <c r="T1284" s="72"/>
      <c r="U1284" s="73"/>
      <c r="V1284" s="72"/>
      <c r="W1284" s="73"/>
      <c r="X1284" s="72"/>
      <c r="Y1284" s="73"/>
      <c r="Z1284" s="74" t="b">
        <v>0</v>
      </c>
      <c r="AA1284" s="130">
        <f t="shared" si="511"/>
        <v>0</v>
      </c>
      <c r="AB1284" s="131">
        <f t="shared" si="512"/>
        <v>0</v>
      </c>
      <c r="AC1284" s="132">
        <f t="shared" si="513"/>
        <v>0</v>
      </c>
      <c r="AD1284" s="133">
        <f t="shared" si="514"/>
        <v>0</v>
      </c>
      <c r="AE1284" s="131">
        <f t="shared" si="515"/>
        <v>0</v>
      </c>
      <c r="AF1284" s="133">
        <f t="shared" si="516"/>
        <v>0</v>
      </c>
      <c r="AG1284" s="1"/>
    </row>
    <row r="1285" ht="21.0" customHeight="1">
      <c r="A1285" s="1"/>
      <c r="B1285" s="48" t="s">
        <v>39</v>
      </c>
      <c r="C1285" s="49"/>
      <c r="D1285" s="65"/>
      <c r="E1285" s="41"/>
      <c r="F1285" s="52" t="s">
        <v>40</v>
      </c>
      <c r="G1285" s="79"/>
      <c r="H1285" s="80"/>
      <c r="I1285" s="69"/>
      <c r="J1285" s="72"/>
      <c r="K1285" s="73"/>
      <c r="L1285" s="72"/>
      <c r="M1285" s="73"/>
      <c r="N1285" s="72"/>
      <c r="O1285" s="73"/>
      <c r="P1285" s="72"/>
      <c r="Q1285" s="73"/>
      <c r="R1285" s="72"/>
      <c r="S1285" s="73"/>
      <c r="T1285" s="72"/>
      <c r="U1285" s="73"/>
      <c r="V1285" s="72"/>
      <c r="W1285" s="73"/>
      <c r="X1285" s="72"/>
      <c r="Y1285" s="73"/>
      <c r="Z1285" s="74" t="b">
        <v>0</v>
      </c>
      <c r="AA1285" s="130">
        <f t="shared" si="511"/>
        <v>0</v>
      </c>
      <c r="AB1285" s="131">
        <f t="shared" si="512"/>
        <v>0</v>
      </c>
      <c r="AC1285" s="132">
        <f t="shared" si="513"/>
        <v>0</v>
      </c>
      <c r="AD1285" s="133">
        <f t="shared" si="514"/>
        <v>0</v>
      </c>
      <c r="AE1285" s="131">
        <f t="shared" si="515"/>
        <v>0</v>
      </c>
      <c r="AF1285" s="133">
        <f t="shared" si="516"/>
        <v>0</v>
      </c>
      <c r="AG1285" s="1"/>
    </row>
    <row r="1286" ht="21.0" customHeight="1">
      <c r="A1286" s="1"/>
      <c r="B1286" s="48" t="s">
        <v>41</v>
      </c>
      <c r="C1286" s="81"/>
      <c r="D1286" s="82" t="b">
        <v>0</v>
      </c>
      <c r="E1286" s="51" t="s">
        <v>42</v>
      </c>
      <c r="F1286" s="52" t="s">
        <v>34</v>
      </c>
      <c r="G1286" s="83"/>
      <c r="H1286" s="84"/>
      <c r="I1286" s="85"/>
      <c r="J1286" s="72"/>
      <c r="K1286" s="73"/>
      <c r="L1286" s="72"/>
      <c r="M1286" s="73"/>
      <c r="N1286" s="72"/>
      <c r="O1286" s="73"/>
      <c r="P1286" s="72"/>
      <c r="Q1286" s="73"/>
      <c r="R1286" s="72"/>
      <c r="S1286" s="73"/>
      <c r="T1286" s="72"/>
      <c r="U1286" s="73"/>
      <c r="V1286" s="72"/>
      <c r="W1286" s="73"/>
      <c r="X1286" s="72"/>
      <c r="Y1286" s="73"/>
      <c r="Z1286" s="74" t="b">
        <v>0</v>
      </c>
      <c r="AA1286" s="130">
        <f t="shared" si="511"/>
        <v>0</v>
      </c>
      <c r="AB1286" s="131">
        <f t="shared" si="512"/>
        <v>0</v>
      </c>
      <c r="AC1286" s="132">
        <f t="shared" si="513"/>
        <v>0</v>
      </c>
      <c r="AD1286" s="133">
        <f t="shared" si="514"/>
        <v>0</v>
      </c>
      <c r="AE1286" s="131">
        <f t="shared" si="515"/>
        <v>0</v>
      </c>
      <c r="AF1286" s="133">
        <f t="shared" si="516"/>
        <v>0</v>
      </c>
      <c r="AG1286" s="1"/>
    </row>
    <row r="1287" ht="21.0" customHeight="1">
      <c r="A1287" s="1"/>
      <c r="B1287" s="48" t="s">
        <v>43</v>
      </c>
      <c r="C1287" s="49"/>
      <c r="D1287" s="86" t="b">
        <v>0</v>
      </c>
      <c r="E1287" s="66"/>
      <c r="F1287" s="52" t="s">
        <v>37</v>
      </c>
      <c r="G1287" s="67"/>
      <c r="H1287" s="80"/>
      <c r="I1287" s="69"/>
      <c r="J1287" s="72"/>
      <c r="K1287" s="73"/>
      <c r="L1287" s="72"/>
      <c r="M1287" s="73"/>
      <c r="N1287" s="72"/>
      <c r="O1287" s="73"/>
      <c r="P1287" s="72"/>
      <c r="Q1287" s="73"/>
      <c r="R1287" s="72"/>
      <c r="S1287" s="73"/>
      <c r="T1287" s="72"/>
      <c r="U1287" s="73"/>
      <c r="V1287" s="72"/>
      <c r="W1287" s="73"/>
      <c r="X1287" s="72"/>
      <c r="Y1287" s="73"/>
      <c r="Z1287" s="74" t="b">
        <v>0</v>
      </c>
      <c r="AA1287" s="130">
        <f t="shared" si="511"/>
        <v>0</v>
      </c>
      <c r="AB1287" s="131">
        <f t="shared" si="512"/>
        <v>0</v>
      </c>
      <c r="AC1287" s="132">
        <f t="shared" si="513"/>
        <v>0</v>
      </c>
      <c r="AD1287" s="133">
        <f t="shared" si="514"/>
        <v>0</v>
      </c>
      <c r="AE1287" s="131">
        <f t="shared" si="515"/>
        <v>0</v>
      </c>
      <c r="AF1287" s="133">
        <f t="shared" si="516"/>
        <v>0</v>
      </c>
      <c r="AG1287" s="1"/>
    </row>
    <row r="1288" ht="21.0" customHeight="1">
      <c r="A1288" s="1"/>
      <c r="B1288" s="87" t="str">
        <f t="array" ref="B1288">"📌최근 인바디 결과 : "&amp;text(xlookup(B1280,'현황'!O:O,'현황'!O:O,,-1,-1),"m/d(ddd)")</f>
        <v>#REF!</v>
      </c>
      <c r="C1288" s="88"/>
      <c r="D1288" s="49"/>
      <c r="E1288" s="41"/>
      <c r="F1288" s="52" t="s">
        <v>40</v>
      </c>
      <c r="G1288" s="79"/>
      <c r="H1288" s="80"/>
      <c r="I1288" s="69"/>
      <c r="J1288" s="72"/>
      <c r="K1288" s="73"/>
      <c r="L1288" s="72"/>
      <c r="M1288" s="73"/>
      <c r="N1288" s="72"/>
      <c r="O1288" s="73"/>
      <c r="P1288" s="72"/>
      <c r="Q1288" s="73"/>
      <c r="R1288" s="72"/>
      <c r="S1288" s="73"/>
      <c r="T1288" s="72"/>
      <c r="U1288" s="73"/>
      <c r="V1288" s="72"/>
      <c r="W1288" s="73"/>
      <c r="X1288" s="72"/>
      <c r="Y1288" s="73"/>
      <c r="Z1288" s="74" t="b">
        <v>0</v>
      </c>
      <c r="AA1288" s="130">
        <f t="shared" si="511"/>
        <v>0</v>
      </c>
      <c r="AB1288" s="131">
        <f t="shared" si="512"/>
        <v>0</v>
      </c>
      <c r="AC1288" s="132">
        <f t="shared" si="513"/>
        <v>0</v>
      </c>
      <c r="AD1288" s="133">
        <f t="shared" si="514"/>
        <v>0</v>
      </c>
      <c r="AE1288" s="131">
        <f t="shared" si="515"/>
        <v>0</v>
      </c>
      <c r="AF1288" s="133">
        <f t="shared" si="516"/>
        <v>0</v>
      </c>
      <c r="AG1288" s="1"/>
    </row>
    <row r="1289" ht="21.0" customHeight="1">
      <c r="A1289" s="1"/>
      <c r="B1289" s="89" t="s">
        <v>44</v>
      </c>
      <c r="C1289" s="49"/>
      <c r="D1289" s="90">
        <f t="array" ref="D1289">iferror(vlookup(xlookup(B1280,'현황'!O:O,'현황'!O:O,,-1,-1),'현황'!O:S,2,false),0)</f>
        <v>0</v>
      </c>
      <c r="E1289" s="51" t="s">
        <v>45</v>
      </c>
      <c r="F1289" s="52" t="s">
        <v>34</v>
      </c>
      <c r="G1289" s="83"/>
      <c r="H1289" s="84"/>
      <c r="I1289" s="85"/>
      <c r="J1289" s="72"/>
      <c r="K1289" s="73"/>
      <c r="L1289" s="72"/>
      <c r="M1289" s="73"/>
      <c r="N1289" s="72"/>
      <c r="O1289" s="73"/>
      <c r="P1289" s="72"/>
      <c r="Q1289" s="73"/>
      <c r="R1289" s="72"/>
      <c r="S1289" s="73"/>
      <c r="T1289" s="72"/>
      <c r="U1289" s="73"/>
      <c r="V1289" s="72"/>
      <c r="W1289" s="73"/>
      <c r="X1289" s="72"/>
      <c r="Y1289" s="73"/>
      <c r="Z1289" s="74" t="b">
        <v>0</v>
      </c>
      <c r="AA1289" s="130">
        <f t="shared" si="511"/>
        <v>0</v>
      </c>
      <c r="AB1289" s="131">
        <f t="shared" si="512"/>
        <v>0</v>
      </c>
      <c r="AC1289" s="132">
        <f t="shared" si="513"/>
        <v>0</v>
      </c>
      <c r="AD1289" s="133">
        <f t="shared" si="514"/>
        <v>0</v>
      </c>
      <c r="AE1289" s="131">
        <f t="shared" si="515"/>
        <v>0</v>
      </c>
      <c r="AF1289" s="133">
        <f t="shared" si="516"/>
        <v>0</v>
      </c>
      <c r="AG1289" s="1"/>
    </row>
    <row r="1290" ht="21.0" customHeight="1">
      <c r="A1290" s="1"/>
      <c r="B1290" s="48" t="s">
        <v>46</v>
      </c>
      <c r="C1290" s="49"/>
      <c r="D1290" s="91">
        <f t="array" ref="D1290">iferror(vlookup(xlookup(B1280,'현황'!O:O,'현황'!O:O,,-1,-1),'현황'!O:S,3,false),0)</f>
        <v>0</v>
      </c>
      <c r="E1290" s="66"/>
      <c r="F1290" s="52" t="s">
        <v>37</v>
      </c>
      <c r="G1290" s="67"/>
      <c r="H1290" s="80"/>
      <c r="I1290" s="69"/>
      <c r="J1290" s="72"/>
      <c r="K1290" s="73"/>
      <c r="L1290" s="72"/>
      <c r="M1290" s="73"/>
      <c r="N1290" s="72"/>
      <c r="O1290" s="73"/>
      <c r="P1290" s="72"/>
      <c r="Q1290" s="73"/>
      <c r="R1290" s="72"/>
      <c r="S1290" s="73"/>
      <c r="T1290" s="72"/>
      <c r="U1290" s="73"/>
      <c r="V1290" s="72"/>
      <c r="W1290" s="73"/>
      <c r="X1290" s="72"/>
      <c r="Y1290" s="73"/>
      <c r="Z1290" s="74" t="b">
        <v>0</v>
      </c>
      <c r="AA1290" s="130">
        <f t="shared" si="511"/>
        <v>0</v>
      </c>
      <c r="AB1290" s="131">
        <f t="shared" si="512"/>
        <v>0</v>
      </c>
      <c r="AC1290" s="132">
        <f t="shared" si="513"/>
        <v>0</v>
      </c>
      <c r="AD1290" s="133">
        <f t="shared" si="514"/>
        <v>0</v>
      </c>
      <c r="AE1290" s="131">
        <f t="shared" si="515"/>
        <v>0</v>
      </c>
      <c r="AF1290" s="133">
        <f t="shared" si="516"/>
        <v>0</v>
      </c>
      <c r="AG1290" s="1"/>
    </row>
    <row r="1291" ht="21.0" customHeight="1">
      <c r="A1291" s="1"/>
      <c r="B1291" s="48" t="s">
        <v>47</v>
      </c>
      <c r="C1291" s="49"/>
      <c r="D1291" s="91">
        <f t="array" ref="D1291">iferror(vlookup(xlookup(B1280,'현황'!O:O,'현황'!O:O,,-1,-1),'현황'!O:S,4,false),0)</f>
        <v>0</v>
      </c>
      <c r="E1291" s="41"/>
      <c r="F1291" s="92" t="s">
        <v>40</v>
      </c>
      <c r="G1291" s="79"/>
      <c r="H1291" s="93"/>
      <c r="I1291" s="94"/>
      <c r="J1291" s="95"/>
      <c r="K1291" s="96"/>
      <c r="L1291" s="95"/>
      <c r="M1291" s="96"/>
      <c r="N1291" s="95"/>
      <c r="O1291" s="96"/>
      <c r="P1291" s="95"/>
      <c r="Q1291" s="96"/>
      <c r="R1291" s="95"/>
      <c r="S1291" s="96"/>
      <c r="T1291" s="95"/>
      <c r="U1291" s="96"/>
      <c r="V1291" s="95"/>
      <c r="W1291" s="96"/>
      <c r="X1291" s="95"/>
      <c r="Y1291" s="96"/>
      <c r="Z1291" s="97" t="b">
        <v>0</v>
      </c>
      <c r="AA1291" s="135">
        <f t="shared" si="511"/>
        <v>0</v>
      </c>
      <c r="AB1291" s="136">
        <f t="shared" si="512"/>
        <v>0</v>
      </c>
      <c r="AC1291" s="137">
        <f t="shared" si="513"/>
        <v>0</v>
      </c>
      <c r="AD1291" s="138">
        <f t="shared" si="514"/>
        <v>0</v>
      </c>
      <c r="AE1291" s="136">
        <f t="shared" si="515"/>
        <v>0</v>
      </c>
      <c r="AF1291" s="138">
        <f t="shared" si="516"/>
        <v>0</v>
      </c>
      <c r="AG1291" s="1"/>
    </row>
    <row r="1292" ht="21.0" customHeight="1">
      <c r="A1292" s="1"/>
      <c r="B1292" s="102" t="s">
        <v>48</v>
      </c>
      <c r="C1292" s="103"/>
      <c r="D1292" s="104">
        <f>iferror(D1291/D1289,0)</f>
        <v>0</v>
      </c>
      <c r="E1292" s="102" t="s">
        <v>49</v>
      </c>
      <c r="F1292" s="103"/>
      <c r="G1292" s="105"/>
      <c r="H1292" s="106" t="s">
        <v>50</v>
      </c>
      <c r="I1292" s="107"/>
      <c r="J1292" s="11"/>
      <c r="K1292" s="11"/>
      <c r="L1292" s="11"/>
      <c r="M1292" s="11"/>
      <c r="N1292" s="11"/>
      <c r="O1292" s="11"/>
      <c r="P1292" s="108" t="s">
        <v>51</v>
      </c>
      <c r="Q1292" s="12"/>
      <c r="R1292" s="109"/>
      <c r="S1292" s="11"/>
      <c r="T1292" s="11"/>
      <c r="U1292" s="11"/>
      <c r="V1292" s="11"/>
      <c r="W1292" s="11"/>
      <c r="X1292" s="11"/>
      <c r="Y1292" s="11"/>
      <c r="Z1292" s="12"/>
      <c r="AA1292" s="139">
        <f>SUM(AA1283:AA1291)</f>
        <v>0</v>
      </c>
      <c r="AB1292" s="140" t="s">
        <v>269</v>
      </c>
      <c r="AG1292" s="1"/>
    </row>
    <row r="1293" ht="21.0" customHeight="1">
      <c r="A1293" s="1"/>
      <c r="B1293" s="1"/>
      <c r="C1293" s="1"/>
      <c r="D1293" s="1"/>
      <c r="E1293" s="1"/>
      <c r="F1293" s="1"/>
      <c r="G1293" s="1"/>
      <c r="H1293" s="1"/>
      <c r="I1293" s="1"/>
      <c r="AA1293" s="1"/>
      <c r="AB1293" s="1"/>
      <c r="AC1293" s="3"/>
      <c r="AD1293" s="1"/>
      <c r="AE1293" s="1"/>
      <c r="AF1293" s="1"/>
      <c r="AG1293" s="1"/>
    </row>
    <row r="1294" ht="21.0" customHeight="1">
      <c r="A1294" s="1"/>
      <c r="B1294" s="4" t="s">
        <v>1</v>
      </c>
      <c r="C1294" s="5"/>
      <c r="D1294" s="6" t="s">
        <v>2</v>
      </c>
      <c r="E1294" s="7"/>
      <c r="F1294" s="7"/>
      <c r="G1294" s="5"/>
      <c r="H1294" s="8" t="s">
        <v>3</v>
      </c>
      <c r="I1294" s="8" t="s">
        <v>4</v>
      </c>
      <c r="J1294" s="9" t="s">
        <v>5</v>
      </c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5"/>
      <c r="AA1294" s="117" t="s">
        <v>6</v>
      </c>
      <c r="AB1294" s="11"/>
      <c r="AC1294" s="11"/>
      <c r="AD1294" s="11"/>
      <c r="AE1294" s="11"/>
      <c r="AF1294" s="12"/>
      <c r="AG1294" s="1"/>
    </row>
    <row r="1295" ht="21.0" customHeight="1">
      <c r="A1295" s="1"/>
      <c r="B1295" s="149" t="s">
        <v>138</v>
      </c>
      <c r="C1295" s="14" t="str">
        <f>if(B1295="0/0","",choose(weekday(B1295),"(일)","(월)","(화)","(수)","(목)","(금)","(토)"))</f>
        <v/>
      </c>
      <c r="D1295" s="15" t="s">
        <v>7</v>
      </c>
      <c r="E1295" s="16" t="s">
        <v>8</v>
      </c>
      <c r="F1295" s="17"/>
      <c r="G1295" s="18" t="s">
        <v>9</v>
      </c>
      <c r="H1295" s="150" t="s">
        <v>139</v>
      </c>
      <c r="I1295" s="151"/>
      <c r="J1295" s="21" t="s">
        <v>12</v>
      </c>
      <c r="K1295" s="22"/>
      <c r="L1295" s="21" t="s">
        <v>13</v>
      </c>
      <c r="M1295" s="22"/>
      <c r="N1295" s="21" t="s">
        <v>14</v>
      </c>
      <c r="O1295" s="22"/>
      <c r="P1295" s="21" t="s">
        <v>15</v>
      </c>
      <c r="Q1295" s="22"/>
      <c r="R1295" s="23" t="s">
        <v>16</v>
      </c>
      <c r="S1295" s="22"/>
      <c r="T1295" s="23" t="s">
        <v>17</v>
      </c>
      <c r="U1295" s="22"/>
      <c r="V1295" s="23" t="s">
        <v>18</v>
      </c>
      <c r="W1295" s="22"/>
      <c r="X1295" s="23" t="s">
        <v>19</v>
      </c>
      <c r="Y1295" s="22"/>
      <c r="Z1295" s="24" t="s">
        <v>270</v>
      </c>
      <c r="AA1295" s="118" t="s">
        <v>21</v>
      </c>
      <c r="AB1295" s="119" t="s">
        <v>22</v>
      </c>
      <c r="AC1295" s="7"/>
      <c r="AD1295" s="22"/>
      <c r="AE1295" s="120" t="s">
        <v>23</v>
      </c>
      <c r="AF1295" s="22"/>
      <c r="AG1295" s="1"/>
    </row>
    <row r="1296" ht="21.0" customHeight="1">
      <c r="A1296" s="1"/>
      <c r="B1296" s="27">
        <f>iferror(B1295-'현황'!$C$4+1,0)</f>
        <v>0</v>
      </c>
      <c r="C1296" s="28"/>
      <c r="D1296" s="29">
        <v>0.0</v>
      </c>
      <c r="E1296" s="30">
        <v>0.0</v>
      </c>
      <c r="F1296" s="31"/>
      <c r="G1296" s="32">
        <v>0.0</v>
      </c>
      <c r="H1296" s="33">
        <v>0.0</v>
      </c>
      <c r="I1296" s="34"/>
      <c r="J1296" s="35"/>
      <c r="K1296" s="36"/>
      <c r="L1296" s="35"/>
      <c r="M1296" s="36"/>
      <c r="N1296" s="35"/>
      <c r="O1296" s="36"/>
      <c r="P1296" s="35"/>
      <c r="Q1296" s="36"/>
      <c r="R1296" s="35"/>
      <c r="S1296" s="36"/>
      <c r="T1296" s="35"/>
      <c r="U1296" s="36"/>
      <c r="V1296" s="35"/>
      <c r="W1296" s="36"/>
      <c r="X1296" s="35"/>
      <c r="Y1296" s="36"/>
      <c r="Z1296" s="37"/>
      <c r="AA1296" s="37"/>
      <c r="AB1296" s="35"/>
      <c r="AC1296" s="38"/>
      <c r="AD1296" s="36"/>
      <c r="AE1296" s="35"/>
      <c r="AF1296" s="36"/>
      <c r="AG1296" s="1"/>
    </row>
    <row r="1297" ht="21.0" customHeight="1">
      <c r="A1297" s="1"/>
      <c r="B1297" s="39" t="s">
        <v>24</v>
      </c>
      <c r="C1297" s="40"/>
      <c r="D1297" s="41"/>
      <c r="E1297" s="42" t="s">
        <v>25</v>
      </c>
      <c r="F1297" s="40"/>
      <c r="G1297" s="41"/>
      <c r="H1297" s="43" t="s">
        <v>26</v>
      </c>
      <c r="J1297" s="44" t="s">
        <v>27</v>
      </c>
      <c r="K1297" s="45" t="s">
        <v>28</v>
      </c>
      <c r="L1297" s="44" t="s">
        <v>27</v>
      </c>
      <c r="M1297" s="45" t="s">
        <v>28</v>
      </c>
      <c r="N1297" s="44" t="s">
        <v>27</v>
      </c>
      <c r="O1297" s="45" t="s">
        <v>28</v>
      </c>
      <c r="P1297" s="44" t="s">
        <v>27</v>
      </c>
      <c r="Q1297" s="45" t="s">
        <v>28</v>
      </c>
      <c r="R1297" s="44" t="s">
        <v>27</v>
      </c>
      <c r="S1297" s="45" t="s">
        <v>28</v>
      </c>
      <c r="T1297" s="44" t="s">
        <v>27</v>
      </c>
      <c r="U1297" s="45" t="s">
        <v>28</v>
      </c>
      <c r="V1297" s="44" t="s">
        <v>27</v>
      </c>
      <c r="W1297" s="45" t="s">
        <v>28</v>
      </c>
      <c r="X1297" s="44" t="s">
        <v>27</v>
      </c>
      <c r="Y1297" s="45" t="s">
        <v>28</v>
      </c>
      <c r="Z1297" s="46"/>
      <c r="AA1297" s="46"/>
      <c r="AB1297" s="121" t="s">
        <v>29</v>
      </c>
      <c r="AC1297" s="122" t="s">
        <v>30</v>
      </c>
      <c r="AD1297" s="123" t="s">
        <v>31</v>
      </c>
      <c r="AE1297" s="121" t="s">
        <v>27</v>
      </c>
      <c r="AF1297" s="123" t="s">
        <v>28</v>
      </c>
      <c r="AG1297" s="1"/>
    </row>
    <row r="1298" ht="21.0" customHeight="1">
      <c r="A1298" s="1"/>
      <c r="B1298" s="48" t="s">
        <v>32</v>
      </c>
      <c r="C1298" s="49"/>
      <c r="D1298" s="50"/>
      <c r="E1298" s="51" t="s">
        <v>33</v>
      </c>
      <c r="F1298" s="52" t="s">
        <v>34</v>
      </c>
      <c r="G1298" s="53"/>
      <c r="H1298" s="148"/>
      <c r="I1298" s="55"/>
      <c r="J1298" s="58"/>
      <c r="K1298" s="59"/>
      <c r="L1298" s="58"/>
      <c r="M1298" s="59"/>
      <c r="N1298" s="58"/>
      <c r="O1298" s="59"/>
      <c r="P1298" s="58"/>
      <c r="Q1298" s="59"/>
      <c r="R1298" s="58"/>
      <c r="S1298" s="59"/>
      <c r="T1298" s="58"/>
      <c r="U1298" s="59"/>
      <c r="V1298" s="58"/>
      <c r="W1298" s="59"/>
      <c r="X1298" s="58"/>
      <c r="Y1298" s="59"/>
      <c r="Z1298" s="60" t="b">
        <v>0</v>
      </c>
      <c r="AA1298" s="125">
        <f t="shared" ref="AA1298:AA1306" si="517">(J1298*K1298+L1298*M1298+N1298*O1298+P1298*Q1298+R1298*S1298+T1298*U1298+V1298*W1298+X1298*Y1298)*if(Z1298=true,0.453592,1)</f>
        <v>0</v>
      </c>
      <c r="AB1298" s="126">
        <f t="shared" ref="AB1298:AB1306" si="518">SUM(AE1298*AF1298*0.025,AE1298)</f>
        <v>0</v>
      </c>
      <c r="AC1298" s="127">
        <f t="shared" ref="AC1298:AC1306" si="519">AB1298*87%</f>
        <v>0</v>
      </c>
      <c r="AD1298" s="128">
        <f t="shared" ref="AD1298:AD1306" si="520">AB1298*67%</f>
        <v>0</v>
      </c>
      <c r="AE1298" s="126">
        <f t="shared" ref="AE1298:AE1306" si="521">MAX(J1298,L1298,N1298,P1298,R1298,T1298,V1298,X1298)*if(Z1298=true,0.453592,1)</f>
        <v>0</v>
      </c>
      <c r="AF1298" s="128">
        <f t="shared" ref="AF1298:AF1306" si="522">MAX(IF(J1298*if(Z1298=true,0.453592,1)=$AE1298,K1298,0),IF(L1298*if(Z1298=true,0.453592,1)=$AE1298,M1298,0),IF(N1298*if(Z1298=true,0.453592,1)=$AE1298,O1298,0),IF(P1298*if(Z1298=true,0.453592,1)=$AE1298,Q1298,0),IF(R1298*if(Z1298=true,0.453592,1)=$AE1298,S1298,0),IF(T1298*if(Z1298=true,0.453592,1)=$AE1298,U1298,0),IF(V1298*if(Z1298=true,0.453592,1)=$AE1298,W1298,0),IF(X1298*if(Z1298=true,0.453592,1)=$AE1298,Y1298,0))</f>
        <v>0</v>
      </c>
      <c r="AG1298" s="1"/>
    </row>
    <row r="1299" ht="21.0" customHeight="1">
      <c r="A1299" s="1"/>
      <c r="B1299" s="48" t="s">
        <v>36</v>
      </c>
      <c r="C1299" s="49"/>
      <c r="D1299" s="65"/>
      <c r="E1299" s="66"/>
      <c r="F1299" s="52" t="s">
        <v>37</v>
      </c>
      <c r="G1299" s="67"/>
      <c r="H1299" s="129"/>
      <c r="I1299" s="69"/>
      <c r="J1299" s="72"/>
      <c r="K1299" s="73"/>
      <c r="L1299" s="72"/>
      <c r="M1299" s="73"/>
      <c r="N1299" s="72"/>
      <c r="O1299" s="73"/>
      <c r="P1299" s="72"/>
      <c r="Q1299" s="73"/>
      <c r="R1299" s="72"/>
      <c r="S1299" s="73"/>
      <c r="T1299" s="72"/>
      <c r="U1299" s="73"/>
      <c r="V1299" s="72"/>
      <c r="W1299" s="73"/>
      <c r="X1299" s="72"/>
      <c r="Y1299" s="73"/>
      <c r="Z1299" s="74" t="b">
        <v>0</v>
      </c>
      <c r="AA1299" s="130">
        <f t="shared" si="517"/>
        <v>0</v>
      </c>
      <c r="AB1299" s="131">
        <f t="shared" si="518"/>
        <v>0</v>
      </c>
      <c r="AC1299" s="132">
        <f t="shared" si="519"/>
        <v>0</v>
      </c>
      <c r="AD1299" s="133">
        <f t="shared" si="520"/>
        <v>0</v>
      </c>
      <c r="AE1299" s="131">
        <f t="shared" si="521"/>
        <v>0</v>
      </c>
      <c r="AF1299" s="133">
        <f t="shared" si="522"/>
        <v>0</v>
      </c>
      <c r="AG1299" s="1"/>
    </row>
    <row r="1300" ht="21.0" customHeight="1">
      <c r="A1300" s="1"/>
      <c r="B1300" s="48" t="s">
        <v>39</v>
      </c>
      <c r="C1300" s="49"/>
      <c r="D1300" s="65"/>
      <c r="E1300" s="41"/>
      <c r="F1300" s="52" t="s">
        <v>40</v>
      </c>
      <c r="G1300" s="79"/>
      <c r="H1300" s="80"/>
      <c r="I1300" s="69"/>
      <c r="J1300" s="72"/>
      <c r="K1300" s="73"/>
      <c r="L1300" s="72"/>
      <c r="M1300" s="73"/>
      <c r="N1300" s="72"/>
      <c r="O1300" s="73"/>
      <c r="P1300" s="72"/>
      <c r="Q1300" s="73"/>
      <c r="R1300" s="72"/>
      <c r="S1300" s="73"/>
      <c r="T1300" s="72"/>
      <c r="U1300" s="73"/>
      <c r="V1300" s="72"/>
      <c r="W1300" s="73"/>
      <c r="X1300" s="72"/>
      <c r="Y1300" s="73"/>
      <c r="Z1300" s="74" t="b">
        <v>0</v>
      </c>
      <c r="AA1300" s="130">
        <f t="shared" si="517"/>
        <v>0</v>
      </c>
      <c r="AB1300" s="131">
        <f t="shared" si="518"/>
        <v>0</v>
      </c>
      <c r="AC1300" s="132">
        <f t="shared" si="519"/>
        <v>0</v>
      </c>
      <c r="AD1300" s="133">
        <f t="shared" si="520"/>
        <v>0</v>
      </c>
      <c r="AE1300" s="131">
        <f t="shared" si="521"/>
        <v>0</v>
      </c>
      <c r="AF1300" s="133">
        <f t="shared" si="522"/>
        <v>0</v>
      </c>
      <c r="AG1300" s="1"/>
    </row>
    <row r="1301" ht="21.0" customHeight="1">
      <c r="A1301" s="1"/>
      <c r="B1301" s="48" t="s">
        <v>41</v>
      </c>
      <c r="C1301" s="81"/>
      <c r="D1301" s="82" t="b">
        <v>0</v>
      </c>
      <c r="E1301" s="51" t="s">
        <v>42</v>
      </c>
      <c r="F1301" s="52" t="s">
        <v>34</v>
      </c>
      <c r="G1301" s="83"/>
      <c r="H1301" s="84"/>
      <c r="I1301" s="85"/>
      <c r="J1301" s="72"/>
      <c r="K1301" s="73"/>
      <c r="L1301" s="72"/>
      <c r="M1301" s="73"/>
      <c r="N1301" s="72"/>
      <c r="O1301" s="73"/>
      <c r="P1301" s="72"/>
      <c r="Q1301" s="73"/>
      <c r="R1301" s="72"/>
      <c r="S1301" s="73"/>
      <c r="T1301" s="72"/>
      <c r="U1301" s="73"/>
      <c r="V1301" s="72"/>
      <c r="W1301" s="73"/>
      <c r="X1301" s="72"/>
      <c r="Y1301" s="73"/>
      <c r="Z1301" s="74" t="b">
        <v>0</v>
      </c>
      <c r="AA1301" s="130">
        <f t="shared" si="517"/>
        <v>0</v>
      </c>
      <c r="AB1301" s="131">
        <f t="shared" si="518"/>
        <v>0</v>
      </c>
      <c r="AC1301" s="132">
        <f t="shared" si="519"/>
        <v>0</v>
      </c>
      <c r="AD1301" s="133">
        <f t="shared" si="520"/>
        <v>0</v>
      </c>
      <c r="AE1301" s="131">
        <f t="shared" si="521"/>
        <v>0</v>
      </c>
      <c r="AF1301" s="133">
        <f t="shared" si="522"/>
        <v>0</v>
      </c>
      <c r="AG1301" s="1"/>
    </row>
    <row r="1302" ht="21.0" customHeight="1">
      <c r="A1302" s="1"/>
      <c r="B1302" s="48" t="s">
        <v>43</v>
      </c>
      <c r="C1302" s="49"/>
      <c r="D1302" s="86" t="b">
        <v>0</v>
      </c>
      <c r="E1302" s="66"/>
      <c r="F1302" s="52" t="s">
        <v>37</v>
      </c>
      <c r="G1302" s="67"/>
      <c r="H1302" s="80"/>
      <c r="I1302" s="69"/>
      <c r="J1302" s="72"/>
      <c r="K1302" s="73"/>
      <c r="L1302" s="72"/>
      <c r="M1302" s="73"/>
      <c r="N1302" s="72"/>
      <c r="O1302" s="73"/>
      <c r="P1302" s="72"/>
      <c r="Q1302" s="73"/>
      <c r="R1302" s="72"/>
      <c r="S1302" s="73"/>
      <c r="T1302" s="72"/>
      <c r="U1302" s="73"/>
      <c r="V1302" s="72"/>
      <c r="W1302" s="73"/>
      <c r="X1302" s="72"/>
      <c r="Y1302" s="73"/>
      <c r="Z1302" s="74" t="b">
        <v>0</v>
      </c>
      <c r="AA1302" s="130">
        <f t="shared" si="517"/>
        <v>0</v>
      </c>
      <c r="AB1302" s="131">
        <f t="shared" si="518"/>
        <v>0</v>
      </c>
      <c r="AC1302" s="132">
        <f t="shared" si="519"/>
        <v>0</v>
      </c>
      <c r="AD1302" s="133">
        <f t="shared" si="520"/>
        <v>0</v>
      </c>
      <c r="AE1302" s="131">
        <f t="shared" si="521"/>
        <v>0</v>
      </c>
      <c r="AF1302" s="133">
        <f t="shared" si="522"/>
        <v>0</v>
      </c>
      <c r="AG1302" s="1"/>
    </row>
    <row r="1303" ht="21.0" customHeight="1">
      <c r="A1303" s="1"/>
      <c r="B1303" s="87" t="str">
        <f t="array" ref="B1303">"📌최근 인바디 결과 : "&amp;text(xlookup(B1295,'현황'!O:O,'현황'!O:O,,-1,-1),"m/d(ddd)")</f>
        <v>#REF!</v>
      </c>
      <c r="C1303" s="88"/>
      <c r="D1303" s="49"/>
      <c r="E1303" s="41"/>
      <c r="F1303" s="52" t="s">
        <v>40</v>
      </c>
      <c r="G1303" s="79"/>
      <c r="H1303" s="80"/>
      <c r="I1303" s="69"/>
      <c r="J1303" s="72"/>
      <c r="K1303" s="73"/>
      <c r="L1303" s="72"/>
      <c r="M1303" s="73"/>
      <c r="N1303" s="72"/>
      <c r="O1303" s="73"/>
      <c r="P1303" s="72"/>
      <c r="Q1303" s="73"/>
      <c r="R1303" s="72"/>
      <c r="S1303" s="73"/>
      <c r="T1303" s="72"/>
      <c r="U1303" s="73"/>
      <c r="V1303" s="72"/>
      <c r="W1303" s="73"/>
      <c r="X1303" s="72"/>
      <c r="Y1303" s="73"/>
      <c r="Z1303" s="74" t="b">
        <v>0</v>
      </c>
      <c r="AA1303" s="130">
        <f t="shared" si="517"/>
        <v>0</v>
      </c>
      <c r="AB1303" s="131">
        <f t="shared" si="518"/>
        <v>0</v>
      </c>
      <c r="AC1303" s="132">
        <f t="shared" si="519"/>
        <v>0</v>
      </c>
      <c r="AD1303" s="133">
        <f t="shared" si="520"/>
        <v>0</v>
      </c>
      <c r="AE1303" s="131">
        <f t="shared" si="521"/>
        <v>0</v>
      </c>
      <c r="AF1303" s="133">
        <f t="shared" si="522"/>
        <v>0</v>
      </c>
      <c r="AG1303" s="1"/>
    </row>
    <row r="1304" ht="21.0" customHeight="1">
      <c r="A1304" s="1"/>
      <c r="B1304" s="89" t="s">
        <v>44</v>
      </c>
      <c r="C1304" s="49"/>
      <c r="D1304" s="90">
        <f t="array" ref="D1304">iferror(vlookup(xlookup(B1295,'현황'!O:O,'현황'!O:O,,-1,-1),'현황'!O:S,2,false),0)</f>
        <v>0</v>
      </c>
      <c r="E1304" s="51" t="s">
        <v>45</v>
      </c>
      <c r="F1304" s="52" t="s">
        <v>34</v>
      </c>
      <c r="G1304" s="83"/>
      <c r="H1304" s="84"/>
      <c r="I1304" s="85"/>
      <c r="J1304" s="72"/>
      <c r="K1304" s="73"/>
      <c r="L1304" s="72"/>
      <c r="M1304" s="73"/>
      <c r="N1304" s="72"/>
      <c r="O1304" s="73"/>
      <c r="P1304" s="72"/>
      <c r="Q1304" s="73"/>
      <c r="R1304" s="72"/>
      <c r="S1304" s="73"/>
      <c r="T1304" s="72"/>
      <c r="U1304" s="73"/>
      <c r="V1304" s="72"/>
      <c r="W1304" s="73"/>
      <c r="X1304" s="72"/>
      <c r="Y1304" s="73"/>
      <c r="Z1304" s="74" t="b">
        <v>0</v>
      </c>
      <c r="AA1304" s="130">
        <f t="shared" si="517"/>
        <v>0</v>
      </c>
      <c r="AB1304" s="131">
        <f t="shared" si="518"/>
        <v>0</v>
      </c>
      <c r="AC1304" s="132">
        <f t="shared" si="519"/>
        <v>0</v>
      </c>
      <c r="AD1304" s="133">
        <f t="shared" si="520"/>
        <v>0</v>
      </c>
      <c r="AE1304" s="131">
        <f t="shared" si="521"/>
        <v>0</v>
      </c>
      <c r="AF1304" s="133">
        <f t="shared" si="522"/>
        <v>0</v>
      </c>
      <c r="AG1304" s="1"/>
    </row>
    <row r="1305" ht="21.0" customHeight="1">
      <c r="A1305" s="1"/>
      <c r="B1305" s="48" t="s">
        <v>46</v>
      </c>
      <c r="C1305" s="49"/>
      <c r="D1305" s="91">
        <f t="array" ref="D1305">iferror(vlookup(xlookup(B1295,'현황'!O:O,'현황'!O:O,,-1,-1),'현황'!O:S,3,false),0)</f>
        <v>0</v>
      </c>
      <c r="E1305" s="66"/>
      <c r="F1305" s="52" t="s">
        <v>37</v>
      </c>
      <c r="G1305" s="67"/>
      <c r="H1305" s="80"/>
      <c r="I1305" s="69"/>
      <c r="J1305" s="72"/>
      <c r="K1305" s="73"/>
      <c r="L1305" s="72"/>
      <c r="M1305" s="73"/>
      <c r="N1305" s="72"/>
      <c r="O1305" s="73"/>
      <c r="P1305" s="72"/>
      <c r="Q1305" s="73"/>
      <c r="R1305" s="72"/>
      <c r="S1305" s="73"/>
      <c r="T1305" s="72"/>
      <c r="U1305" s="73"/>
      <c r="V1305" s="72"/>
      <c r="W1305" s="73"/>
      <c r="X1305" s="72"/>
      <c r="Y1305" s="73"/>
      <c r="Z1305" s="74" t="b">
        <v>0</v>
      </c>
      <c r="AA1305" s="130">
        <f t="shared" si="517"/>
        <v>0</v>
      </c>
      <c r="AB1305" s="131">
        <f t="shared" si="518"/>
        <v>0</v>
      </c>
      <c r="AC1305" s="132">
        <f t="shared" si="519"/>
        <v>0</v>
      </c>
      <c r="AD1305" s="133">
        <f t="shared" si="520"/>
        <v>0</v>
      </c>
      <c r="AE1305" s="131">
        <f t="shared" si="521"/>
        <v>0</v>
      </c>
      <c r="AF1305" s="133">
        <f t="shared" si="522"/>
        <v>0</v>
      </c>
      <c r="AG1305" s="1"/>
    </row>
    <row r="1306" ht="21.0" customHeight="1">
      <c r="A1306" s="1"/>
      <c r="B1306" s="48" t="s">
        <v>47</v>
      </c>
      <c r="C1306" s="49"/>
      <c r="D1306" s="91">
        <f t="array" ref="D1306">iferror(vlookup(xlookup(B1295,'현황'!O:O,'현황'!O:O,,-1,-1),'현황'!O:S,4,false),0)</f>
        <v>0</v>
      </c>
      <c r="E1306" s="41"/>
      <c r="F1306" s="92" t="s">
        <v>40</v>
      </c>
      <c r="G1306" s="79"/>
      <c r="H1306" s="93"/>
      <c r="I1306" s="94"/>
      <c r="J1306" s="95"/>
      <c r="K1306" s="96"/>
      <c r="L1306" s="95"/>
      <c r="M1306" s="96"/>
      <c r="N1306" s="95"/>
      <c r="O1306" s="96"/>
      <c r="P1306" s="95"/>
      <c r="Q1306" s="96"/>
      <c r="R1306" s="95"/>
      <c r="S1306" s="96"/>
      <c r="T1306" s="95"/>
      <c r="U1306" s="96"/>
      <c r="V1306" s="95"/>
      <c r="W1306" s="96"/>
      <c r="X1306" s="95"/>
      <c r="Y1306" s="96"/>
      <c r="Z1306" s="97" t="b">
        <v>0</v>
      </c>
      <c r="AA1306" s="135">
        <f t="shared" si="517"/>
        <v>0</v>
      </c>
      <c r="AB1306" s="136">
        <f t="shared" si="518"/>
        <v>0</v>
      </c>
      <c r="AC1306" s="137">
        <f t="shared" si="519"/>
        <v>0</v>
      </c>
      <c r="AD1306" s="138">
        <f t="shared" si="520"/>
        <v>0</v>
      </c>
      <c r="AE1306" s="136">
        <f t="shared" si="521"/>
        <v>0</v>
      </c>
      <c r="AF1306" s="138">
        <f t="shared" si="522"/>
        <v>0</v>
      </c>
      <c r="AG1306" s="1"/>
    </row>
    <row r="1307" ht="21.0" customHeight="1">
      <c r="A1307" s="1"/>
      <c r="B1307" s="102" t="s">
        <v>48</v>
      </c>
      <c r="C1307" s="103"/>
      <c r="D1307" s="104">
        <f>iferror(D1306/D1304,0)</f>
        <v>0</v>
      </c>
      <c r="E1307" s="102" t="s">
        <v>49</v>
      </c>
      <c r="F1307" s="103"/>
      <c r="G1307" s="105"/>
      <c r="H1307" s="106" t="s">
        <v>50</v>
      </c>
      <c r="I1307" s="107"/>
      <c r="J1307" s="11"/>
      <c r="K1307" s="11"/>
      <c r="L1307" s="11"/>
      <c r="M1307" s="11"/>
      <c r="N1307" s="11"/>
      <c r="O1307" s="11"/>
      <c r="P1307" s="108" t="s">
        <v>51</v>
      </c>
      <c r="Q1307" s="12"/>
      <c r="R1307" s="109"/>
      <c r="S1307" s="11"/>
      <c r="T1307" s="11"/>
      <c r="U1307" s="11"/>
      <c r="V1307" s="11"/>
      <c r="W1307" s="11"/>
      <c r="X1307" s="11"/>
      <c r="Y1307" s="11"/>
      <c r="Z1307" s="12"/>
      <c r="AA1307" s="139">
        <f>SUM(AA1298:AA1306)</f>
        <v>0</v>
      </c>
      <c r="AB1307" s="140" t="s">
        <v>271</v>
      </c>
      <c r="AG1307" s="1"/>
    </row>
    <row r="1308" ht="21.0" customHeight="1">
      <c r="A1308" s="1"/>
      <c r="B1308" s="1"/>
      <c r="C1308" s="1"/>
      <c r="D1308" s="1"/>
      <c r="E1308" s="1"/>
      <c r="F1308" s="1"/>
      <c r="G1308" s="1"/>
      <c r="H1308" s="1"/>
      <c r="I1308" s="1"/>
      <c r="AA1308" s="1"/>
      <c r="AB1308" s="1"/>
      <c r="AC1308" s="3"/>
      <c r="AD1308" s="1"/>
      <c r="AE1308" s="1"/>
      <c r="AF1308" s="1"/>
      <c r="AG1308" s="1"/>
    </row>
    <row r="1309" ht="21.0" customHeight="1">
      <c r="A1309" s="1"/>
      <c r="B1309" s="4" t="s">
        <v>1</v>
      </c>
      <c r="C1309" s="5"/>
      <c r="D1309" s="6" t="s">
        <v>2</v>
      </c>
      <c r="E1309" s="7"/>
      <c r="F1309" s="7"/>
      <c r="G1309" s="5"/>
      <c r="H1309" s="8" t="s">
        <v>3</v>
      </c>
      <c r="I1309" s="8" t="s">
        <v>4</v>
      </c>
      <c r="J1309" s="9" t="s">
        <v>5</v>
      </c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5"/>
      <c r="AA1309" s="117" t="s">
        <v>6</v>
      </c>
      <c r="AB1309" s="11"/>
      <c r="AC1309" s="11"/>
      <c r="AD1309" s="11"/>
      <c r="AE1309" s="11"/>
      <c r="AF1309" s="12"/>
      <c r="AG1309" s="1"/>
    </row>
    <row r="1310" ht="21.0" customHeight="1">
      <c r="A1310" s="1"/>
      <c r="B1310" s="149" t="s">
        <v>138</v>
      </c>
      <c r="C1310" s="14" t="str">
        <f>if(B1310="0/0","",choose(weekday(B1310),"(일)","(월)","(화)","(수)","(목)","(금)","(토)"))</f>
        <v/>
      </c>
      <c r="D1310" s="15" t="s">
        <v>7</v>
      </c>
      <c r="E1310" s="16" t="s">
        <v>8</v>
      </c>
      <c r="F1310" s="17"/>
      <c r="G1310" s="18" t="s">
        <v>9</v>
      </c>
      <c r="H1310" s="150" t="s">
        <v>139</v>
      </c>
      <c r="I1310" s="151"/>
      <c r="J1310" s="21" t="s">
        <v>12</v>
      </c>
      <c r="K1310" s="22"/>
      <c r="L1310" s="21" t="s">
        <v>13</v>
      </c>
      <c r="M1310" s="22"/>
      <c r="N1310" s="21" t="s">
        <v>14</v>
      </c>
      <c r="O1310" s="22"/>
      <c r="P1310" s="21" t="s">
        <v>15</v>
      </c>
      <c r="Q1310" s="22"/>
      <c r="R1310" s="23" t="s">
        <v>16</v>
      </c>
      <c r="S1310" s="22"/>
      <c r="T1310" s="23" t="s">
        <v>17</v>
      </c>
      <c r="U1310" s="22"/>
      <c r="V1310" s="23" t="s">
        <v>18</v>
      </c>
      <c r="W1310" s="22"/>
      <c r="X1310" s="23" t="s">
        <v>19</v>
      </c>
      <c r="Y1310" s="22"/>
      <c r="Z1310" s="24" t="s">
        <v>272</v>
      </c>
      <c r="AA1310" s="118" t="s">
        <v>21</v>
      </c>
      <c r="AB1310" s="119" t="s">
        <v>22</v>
      </c>
      <c r="AC1310" s="7"/>
      <c r="AD1310" s="22"/>
      <c r="AE1310" s="120" t="s">
        <v>23</v>
      </c>
      <c r="AF1310" s="22"/>
      <c r="AG1310" s="1"/>
    </row>
    <row r="1311" ht="21.0" customHeight="1">
      <c r="A1311" s="1"/>
      <c r="B1311" s="27">
        <f>iferror(B1310-'현황'!$C$4+1,0)</f>
        <v>0</v>
      </c>
      <c r="C1311" s="28"/>
      <c r="D1311" s="29">
        <v>0.0</v>
      </c>
      <c r="E1311" s="30">
        <v>0.0</v>
      </c>
      <c r="F1311" s="31"/>
      <c r="G1311" s="32">
        <v>0.0</v>
      </c>
      <c r="H1311" s="33">
        <v>0.0</v>
      </c>
      <c r="I1311" s="34"/>
      <c r="J1311" s="35"/>
      <c r="K1311" s="36"/>
      <c r="L1311" s="35"/>
      <c r="M1311" s="36"/>
      <c r="N1311" s="35"/>
      <c r="O1311" s="36"/>
      <c r="P1311" s="35"/>
      <c r="Q1311" s="36"/>
      <c r="R1311" s="35"/>
      <c r="S1311" s="36"/>
      <c r="T1311" s="35"/>
      <c r="U1311" s="36"/>
      <c r="V1311" s="35"/>
      <c r="W1311" s="36"/>
      <c r="X1311" s="35"/>
      <c r="Y1311" s="36"/>
      <c r="Z1311" s="37"/>
      <c r="AA1311" s="37"/>
      <c r="AB1311" s="35"/>
      <c r="AC1311" s="38"/>
      <c r="AD1311" s="36"/>
      <c r="AE1311" s="35"/>
      <c r="AF1311" s="36"/>
      <c r="AG1311" s="1"/>
    </row>
    <row r="1312" ht="21.0" customHeight="1">
      <c r="A1312" s="1"/>
      <c r="B1312" s="39" t="s">
        <v>24</v>
      </c>
      <c r="C1312" s="40"/>
      <c r="D1312" s="41"/>
      <c r="E1312" s="42" t="s">
        <v>25</v>
      </c>
      <c r="F1312" s="40"/>
      <c r="G1312" s="41"/>
      <c r="H1312" s="43" t="s">
        <v>26</v>
      </c>
      <c r="J1312" s="44" t="s">
        <v>27</v>
      </c>
      <c r="K1312" s="45" t="s">
        <v>28</v>
      </c>
      <c r="L1312" s="44" t="s">
        <v>27</v>
      </c>
      <c r="M1312" s="45" t="s">
        <v>28</v>
      </c>
      <c r="N1312" s="44" t="s">
        <v>27</v>
      </c>
      <c r="O1312" s="45" t="s">
        <v>28</v>
      </c>
      <c r="P1312" s="44" t="s">
        <v>27</v>
      </c>
      <c r="Q1312" s="45" t="s">
        <v>28</v>
      </c>
      <c r="R1312" s="44" t="s">
        <v>27</v>
      </c>
      <c r="S1312" s="45" t="s">
        <v>28</v>
      </c>
      <c r="T1312" s="44" t="s">
        <v>27</v>
      </c>
      <c r="U1312" s="45" t="s">
        <v>28</v>
      </c>
      <c r="V1312" s="44" t="s">
        <v>27</v>
      </c>
      <c r="W1312" s="45" t="s">
        <v>28</v>
      </c>
      <c r="X1312" s="44" t="s">
        <v>27</v>
      </c>
      <c r="Y1312" s="45" t="s">
        <v>28</v>
      </c>
      <c r="Z1312" s="46"/>
      <c r="AA1312" s="46"/>
      <c r="AB1312" s="121" t="s">
        <v>29</v>
      </c>
      <c r="AC1312" s="122" t="s">
        <v>30</v>
      </c>
      <c r="AD1312" s="123" t="s">
        <v>31</v>
      </c>
      <c r="AE1312" s="121" t="s">
        <v>27</v>
      </c>
      <c r="AF1312" s="123" t="s">
        <v>28</v>
      </c>
      <c r="AG1312" s="1"/>
    </row>
    <row r="1313" ht="21.0" customHeight="1">
      <c r="A1313" s="1"/>
      <c r="B1313" s="48" t="s">
        <v>32</v>
      </c>
      <c r="C1313" s="49"/>
      <c r="D1313" s="50"/>
      <c r="E1313" s="51" t="s">
        <v>33</v>
      </c>
      <c r="F1313" s="52" t="s">
        <v>34</v>
      </c>
      <c r="G1313" s="53"/>
      <c r="H1313" s="148"/>
      <c r="I1313" s="55"/>
      <c r="J1313" s="58"/>
      <c r="K1313" s="59"/>
      <c r="L1313" s="58"/>
      <c r="M1313" s="59"/>
      <c r="N1313" s="58"/>
      <c r="O1313" s="59"/>
      <c r="P1313" s="58"/>
      <c r="Q1313" s="59"/>
      <c r="R1313" s="58"/>
      <c r="S1313" s="59"/>
      <c r="T1313" s="58"/>
      <c r="U1313" s="59"/>
      <c r="V1313" s="58"/>
      <c r="W1313" s="59"/>
      <c r="X1313" s="58"/>
      <c r="Y1313" s="59"/>
      <c r="Z1313" s="60" t="b">
        <v>0</v>
      </c>
      <c r="AA1313" s="125">
        <f t="shared" ref="AA1313:AA1321" si="523">(J1313*K1313+L1313*M1313+N1313*O1313+P1313*Q1313+R1313*S1313+T1313*U1313+V1313*W1313+X1313*Y1313)*if(Z1313=true,0.453592,1)</f>
        <v>0</v>
      </c>
      <c r="AB1313" s="126">
        <f t="shared" ref="AB1313:AB1321" si="524">SUM(AE1313*AF1313*0.025,AE1313)</f>
        <v>0</v>
      </c>
      <c r="AC1313" s="127">
        <f t="shared" ref="AC1313:AC1321" si="525">AB1313*87%</f>
        <v>0</v>
      </c>
      <c r="AD1313" s="128">
        <f t="shared" ref="AD1313:AD1321" si="526">AB1313*67%</f>
        <v>0</v>
      </c>
      <c r="AE1313" s="126">
        <f t="shared" ref="AE1313:AE1321" si="527">MAX(J1313,L1313,N1313,P1313,R1313,T1313,V1313,X1313)*if(Z1313=true,0.453592,1)</f>
        <v>0</v>
      </c>
      <c r="AF1313" s="128">
        <f t="shared" ref="AF1313:AF1321" si="528">MAX(IF(J1313*if(Z1313=true,0.453592,1)=$AE1313,K1313,0),IF(L1313*if(Z1313=true,0.453592,1)=$AE1313,M1313,0),IF(N1313*if(Z1313=true,0.453592,1)=$AE1313,O1313,0),IF(P1313*if(Z1313=true,0.453592,1)=$AE1313,Q1313,0),IF(R1313*if(Z1313=true,0.453592,1)=$AE1313,S1313,0),IF(T1313*if(Z1313=true,0.453592,1)=$AE1313,U1313,0),IF(V1313*if(Z1313=true,0.453592,1)=$AE1313,W1313,0),IF(X1313*if(Z1313=true,0.453592,1)=$AE1313,Y1313,0))</f>
        <v>0</v>
      </c>
      <c r="AG1313" s="1"/>
    </row>
    <row r="1314" ht="21.0" customHeight="1">
      <c r="A1314" s="1"/>
      <c r="B1314" s="48" t="s">
        <v>36</v>
      </c>
      <c r="C1314" s="49"/>
      <c r="D1314" s="65"/>
      <c r="E1314" s="66"/>
      <c r="F1314" s="52" t="s">
        <v>37</v>
      </c>
      <c r="G1314" s="67"/>
      <c r="H1314" s="129"/>
      <c r="I1314" s="69"/>
      <c r="J1314" s="72"/>
      <c r="K1314" s="73"/>
      <c r="L1314" s="72"/>
      <c r="M1314" s="73"/>
      <c r="N1314" s="72"/>
      <c r="O1314" s="73"/>
      <c r="P1314" s="72"/>
      <c r="Q1314" s="73"/>
      <c r="R1314" s="72"/>
      <c r="S1314" s="73"/>
      <c r="T1314" s="72"/>
      <c r="U1314" s="73"/>
      <c r="V1314" s="72"/>
      <c r="W1314" s="73"/>
      <c r="X1314" s="72"/>
      <c r="Y1314" s="73"/>
      <c r="Z1314" s="74" t="b">
        <v>0</v>
      </c>
      <c r="AA1314" s="130">
        <f t="shared" si="523"/>
        <v>0</v>
      </c>
      <c r="AB1314" s="131">
        <f t="shared" si="524"/>
        <v>0</v>
      </c>
      <c r="AC1314" s="132">
        <f t="shared" si="525"/>
        <v>0</v>
      </c>
      <c r="AD1314" s="133">
        <f t="shared" si="526"/>
        <v>0</v>
      </c>
      <c r="AE1314" s="131">
        <f t="shared" si="527"/>
        <v>0</v>
      </c>
      <c r="AF1314" s="133">
        <f t="shared" si="528"/>
        <v>0</v>
      </c>
      <c r="AG1314" s="1"/>
    </row>
    <row r="1315" ht="21.0" customHeight="1">
      <c r="A1315" s="1"/>
      <c r="B1315" s="48" t="s">
        <v>39</v>
      </c>
      <c r="C1315" s="49"/>
      <c r="D1315" s="65"/>
      <c r="E1315" s="41"/>
      <c r="F1315" s="52" t="s">
        <v>40</v>
      </c>
      <c r="G1315" s="79"/>
      <c r="H1315" s="80"/>
      <c r="I1315" s="69"/>
      <c r="J1315" s="72"/>
      <c r="K1315" s="73"/>
      <c r="L1315" s="72"/>
      <c r="M1315" s="73"/>
      <c r="N1315" s="72"/>
      <c r="O1315" s="73"/>
      <c r="P1315" s="72"/>
      <c r="Q1315" s="73"/>
      <c r="R1315" s="72"/>
      <c r="S1315" s="73"/>
      <c r="T1315" s="72"/>
      <c r="U1315" s="73"/>
      <c r="V1315" s="72"/>
      <c r="W1315" s="73"/>
      <c r="X1315" s="72"/>
      <c r="Y1315" s="73"/>
      <c r="Z1315" s="74" t="b">
        <v>0</v>
      </c>
      <c r="AA1315" s="130">
        <f t="shared" si="523"/>
        <v>0</v>
      </c>
      <c r="AB1315" s="131">
        <f t="shared" si="524"/>
        <v>0</v>
      </c>
      <c r="AC1315" s="132">
        <f t="shared" si="525"/>
        <v>0</v>
      </c>
      <c r="AD1315" s="133">
        <f t="shared" si="526"/>
        <v>0</v>
      </c>
      <c r="AE1315" s="131">
        <f t="shared" si="527"/>
        <v>0</v>
      </c>
      <c r="AF1315" s="133">
        <f t="shared" si="528"/>
        <v>0</v>
      </c>
      <c r="AG1315" s="1"/>
    </row>
    <row r="1316" ht="21.0" customHeight="1">
      <c r="A1316" s="1"/>
      <c r="B1316" s="48" t="s">
        <v>41</v>
      </c>
      <c r="C1316" s="81"/>
      <c r="D1316" s="82" t="b">
        <v>0</v>
      </c>
      <c r="E1316" s="51" t="s">
        <v>42</v>
      </c>
      <c r="F1316" s="52" t="s">
        <v>34</v>
      </c>
      <c r="G1316" s="83"/>
      <c r="H1316" s="84"/>
      <c r="I1316" s="85"/>
      <c r="J1316" s="72"/>
      <c r="K1316" s="73"/>
      <c r="L1316" s="72"/>
      <c r="M1316" s="73"/>
      <c r="N1316" s="72"/>
      <c r="O1316" s="73"/>
      <c r="P1316" s="72"/>
      <c r="Q1316" s="73"/>
      <c r="R1316" s="72"/>
      <c r="S1316" s="73"/>
      <c r="T1316" s="72"/>
      <c r="U1316" s="73"/>
      <c r="V1316" s="72"/>
      <c r="W1316" s="73"/>
      <c r="X1316" s="72"/>
      <c r="Y1316" s="73"/>
      <c r="Z1316" s="74" t="b">
        <v>0</v>
      </c>
      <c r="AA1316" s="130">
        <f t="shared" si="523"/>
        <v>0</v>
      </c>
      <c r="AB1316" s="131">
        <f t="shared" si="524"/>
        <v>0</v>
      </c>
      <c r="AC1316" s="132">
        <f t="shared" si="525"/>
        <v>0</v>
      </c>
      <c r="AD1316" s="133">
        <f t="shared" si="526"/>
        <v>0</v>
      </c>
      <c r="AE1316" s="131">
        <f t="shared" si="527"/>
        <v>0</v>
      </c>
      <c r="AF1316" s="133">
        <f t="shared" si="528"/>
        <v>0</v>
      </c>
      <c r="AG1316" s="1"/>
    </row>
    <row r="1317" ht="21.0" customHeight="1">
      <c r="A1317" s="1"/>
      <c r="B1317" s="48" t="s">
        <v>43</v>
      </c>
      <c r="C1317" s="49"/>
      <c r="D1317" s="86" t="b">
        <v>0</v>
      </c>
      <c r="E1317" s="66"/>
      <c r="F1317" s="52" t="s">
        <v>37</v>
      </c>
      <c r="G1317" s="67"/>
      <c r="H1317" s="80"/>
      <c r="I1317" s="69"/>
      <c r="J1317" s="72"/>
      <c r="K1317" s="73"/>
      <c r="L1317" s="72"/>
      <c r="M1317" s="73"/>
      <c r="N1317" s="72"/>
      <c r="O1317" s="73"/>
      <c r="P1317" s="72"/>
      <c r="Q1317" s="73"/>
      <c r="R1317" s="72"/>
      <c r="S1317" s="73"/>
      <c r="T1317" s="72"/>
      <c r="U1317" s="73"/>
      <c r="V1317" s="72"/>
      <c r="W1317" s="73"/>
      <c r="X1317" s="72"/>
      <c r="Y1317" s="73"/>
      <c r="Z1317" s="74" t="b">
        <v>0</v>
      </c>
      <c r="AA1317" s="130">
        <f t="shared" si="523"/>
        <v>0</v>
      </c>
      <c r="AB1317" s="131">
        <f t="shared" si="524"/>
        <v>0</v>
      </c>
      <c r="AC1317" s="132">
        <f t="shared" si="525"/>
        <v>0</v>
      </c>
      <c r="AD1317" s="133">
        <f t="shared" si="526"/>
        <v>0</v>
      </c>
      <c r="AE1317" s="131">
        <f t="shared" si="527"/>
        <v>0</v>
      </c>
      <c r="AF1317" s="133">
        <f t="shared" si="528"/>
        <v>0</v>
      </c>
      <c r="AG1317" s="1"/>
    </row>
    <row r="1318" ht="21.0" customHeight="1">
      <c r="A1318" s="1"/>
      <c r="B1318" s="87" t="str">
        <f t="array" ref="B1318">"📌최근 인바디 결과 : "&amp;text(xlookup(B1310,'현황'!O:O,'현황'!O:O,,-1,-1),"m/d(ddd)")</f>
        <v>#REF!</v>
      </c>
      <c r="C1318" s="88"/>
      <c r="D1318" s="49"/>
      <c r="E1318" s="41"/>
      <c r="F1318" s="52" t="s">
        <v>40</v>
      </c>
      <c r="G1318" s="79"/>
      <c r="H1318" s="80"/>
      <c r="I1318" s="69"/>
      <c r="J1318" s="72"/>
      <c r="K1318" s="73"/>
      <c r="L1318" s="72"/>
      <c r="M1318" s="73"/>
      <c r="N1318" s="72"/>
      <c r="O1318" s="73"/>
      <c r="P1318" s="72"/>
      <c r="Q1318" s="73"/>
      <c r="R1318" s="72"/>
      <c r="S1318" s="73"/>
      <c r="T1318" s="72"/>
      <c r="U1318" s="73"/>
      <c r="V1318" s="72"/>
      <c r="W1318" s="73"/>
      <c r="X1318" s="72"/>
      <c r="Y1318" s="73"/>
      <c r="Z1318" s="74" t="b">
        <v>0</v>
      </c>
      <c r="AA1318" s="130">
        <f t="shared" si="523"/>
        <v>0</v>
      </c>
      <c r="AB1318" s="131">
        <f t="shared" si="524"/>
        <v>0</v>
      </c>
      <c r="AC1318" s="132">
        <f t="shared" si="525"/>
        <v>0</v>
      </c>
      <c r="AD1318" s="133">
        <f t="shared" si="526"/>
        <v>0</v>
      </c>
      <c r="AE1318" s="131">
        <f t="shared" si="527"/>
        <v>0</v>
      </c>
      <c r="AF1318" s="133">
        <f t="shared" si="528"/>
        <v>0</v>
      </c>
      <c r="AG1318" s="1"/>
    </row>
    <row r="1319" ht="21.0" customHeight="1">
      <c r="A1319" s="1"/>
      <c r="B1319" s="89" t="s">
        <v>44</v>
      </c>
      <c r="C1319" s="49"/>
      <c r="D1319" s="90">
        <f t="array" ref="D1319">iferror(vlookup(xlookup(B1310,'현황'!O:O,'현황'!O:O,,-1,-1),'현황'!O:S,2,false),0)</f>
        <v>0</v>
      </c>
      <c r="E1319" s="51" t="s">
        <v>45</v>
      </c>
      <c r="F1319" s="52" t="s">
        <v>34</v>
      </c>
      <c r="G1319" s="83"/>
      <c r="H1319" s="84"/>
      <c r="I1319" s="85"/>
      <c r="J1319" s="72"/>
      <c r="K1319" s="73"/>
      <c r="L1319" s="72"/>
      <c r="M1319" s="73"/>
      <c r="N1319" s="72"/>
      <c r="O1319" s="73"/>
      <c r="P1319" s="72"/>
      <c r="Q1319" s="73"/>
      <c r="R1319" s="72"/>
      <c r="S1319" s="73"/>
      <c r="T1319" s="72"/>
      <c r="U1319" s="73"/>
      <c r="V1319" s="72"/>
      <c r="W1319" s="73"/>
      <c r="X1319" s="72"/>
      <c r="Y1319" s="73"/>
      <c r="Z1319" s="74" t="b">
        <v>0</v>
      </c>
      <c r="AA1319" s="130">
        <f t="shared" si="523"/>
        <v>0</v>
      </c>
      <c r="AB1319" s="131">
        <f t="shared" si="524"/>
        <v>0</v>
      </c>
      <c r="AC1319" s="132">
        <f t="shared" si="525"/>
        <v>0</v>
      </c>
      <c r="AD1319" s="133">
        <f t="shared" si="526"/>
        <v>0</v>
      </c>
      <c r="AE1319" s="131">
        <f t="shared" si="527"/>
        <v>0</v>
      </c>
      <c r="AF1319" s="133">
        <f t="shared" si="528"/>
        <v>0</v>
      </c>
      <c r="AG1319" s="1"/>
    </row>
    <row r="1320" ht="21.0" customHeight="1">
      <c r="A1320" s="1"/>
      <c r="B1320" s="48" t="s">
        <v>46</v>
      </c>
      <c r="C1320" s="49"/>
      <c r="D1320" s="91">
        <f t="array" ref="D1320">iferror(vlookup(xlookup(B1310,'현황'!O:O,'현황'!O:O,,-1,-1),'현황'!O:S,3,false),0)</f>
        <v>0</v>
      </c>
      <c r="E1320" s="66"/>
      <c r="F1320" s="52" t="s">
        <v>37</v>
      </c>
      <c r="G1320" s="67"/>
      <c r="H1320" s="80"/>
      <c r="I1320" s="69"/>
      <c r="J1320" s="72"/>
      <c r="K1320" s="73"/>
      <c r="L1320" s="72"/>
      <c r="M1320" s="73"/>
      <c r="N1320" s="72"/>
      <c r="O1320" s="73"/>
      <c r="P1320" s="72"/>
      <c r="Q1320" s="73"/>
      <c r="R1320" s="72"/>
      <c r="S1320" s="73"/>
      <c r="T1320" s="72"/>
      <c r="U1320" s="73"/>
      <c r="V1320" s="72"/>
      <c r="W1320" s="73"/>
      <c r="X1320" s="72"/>
      <c r="Y1320" s="73"/>
      <c r="Z1320" s="74" t="b">
        <v>0</v>
      </c>
      <c r="AA1320" s="130">
        <f t="shared" si="523"/>
        <v>0</v>
      </c>
      <c r="AB1320" s="131">
        <f t="shared" si="524"/>
        <v>0</v>
      </c>
      <c r="AC1320" s="132">
        <f t="shared" si="525"/>
        <v>0</v>
      </c>
      <c r="AD1320" s="133">
        <f t="shared" si="526"/>
        <v>0</v>
      </c>
      <c r="AE1320" s="131">
        <f t="shared" si="527"/>
        <v>0</v>
      </c>
      <c r="AF1320" s="133">
        <f t="shared" si="528"/>
        <v>0</v>
      </c>
      <c r="AG1320" s="1"/>
    </row>
    <row r="1321" ht="21.0" customHeight="1">
      <c r="A1321" s="1"/>
      <c r="B1321" s="48" t="s">
        <v>47</v>
      </c>
      <c r="C1321" s="49"/>
      <c r="D1321" s="91">
        <f t="array" ref="D1321">iferror(vlookup(xlookup(B1310,'현황'!O:O,'현황'!O:O,,-1,-1),'현황'!O:S,4,false),0)</f>
        <v>0</v>
      </c>
      <c r="E1321" s="41"/>
      <c r="F1321" s="92" t="s">
        <v>40</v>
      </c>
      <c r="G1321" s="79"/>
      <c r="H1321" s="93"/>
      <c r="I1321" s="94"/>
      <c r="J1321" s="95"/>
      <c r="K1321" s="96"/>
      <c r="L1321" s="95"/>
      <c r="M1321" s="96"/>
      <c r="N1321" s="95"/>
      <c r="O1321" s="96"/>
      <c r="P1321" s="95"/>
      <c r="Q1321" s="96"/>
      <c r="R1321" s="95"/>
      <c r="S1321" s="96"/>
      <c r="T1321" s="95"/>
      <c r="U1321" s="96"/>
      <c r="V1321" s="95"/>
      <c r="W1321" s="96"/>
      <c r="X1321" s="95"/>
      <c r="Y1321" s="96"/>
      <c r="Z1321" s="97" t="b">
        <v>0</v>
      </c>
      <c r="AA1321" s="135">
        <f t="shared" si="523"/>
        <v>0</v>
      </c>
      <c r="AB1321" s="136">
        <f t="shared" si="524"/>
        <v>0</v>
      </c>
      <c r="AC1321" s="137">
        <f t="shared" si="525"/>
        <v>0</v>
      </c>
      <c r="AD1321" s="138">
        <f t="shared" si="526"/>
        <v>0</v>
      </c>
      <c r="AE1321" s="136">
        <f t="shared" si="527"/>
        <v>0</v>
      </c>
      <c r="AF1321" s="138">
        <f t="shared" si="528"/>
        <v>0</v>
      </c>
      <c r="AG1321" s="1"/>
    </row>
    <row r="1322" ht="21.0" customHeight="1">
      <c r="A1322" s="1"/>
      <c r="B1322" s="102" t="s">
        <v>48</v>
      </c>
      <c r="C1322" s="103"/>
      <c r="D1322" s="104">
        <f>iferror(D1321/D1319,0)</f>
        <v>0</v>
      </c>
      <c r="E1322" s="102" t="s">
        <v>49</v>
      </c>
      <c r="F1322" s="103"/>
      <c r="G1322" s="105"/>
      <c r="H1322" s="143" t="s">
        <v>50</v>
      </c>
      <c r="I1322" s="144"/>
      <c r="J1322" s="11"/>
      <c r="K1322" s="11"/>
      <c r="L1322" s="11"/>
      <c r="M1322" s="11"/>
      <c r="N1322" s="11"/>
      <c r="O1322" s="11"/>
      <c r="P1322" s="145" t="s">
        <v>51</v>
      </c>
      <c r="Q1322" s="12"/>
      <c r="R1322" s="146"/>
      <c r="S1322" s="11"/>
      <c r="T1322" s="11"/>
      <c r="U1322" s="11"/>
      <c r="V1322" s="11"/>
      <c r="W1322" s="11"/>
      <c r="X1322" s="11"/>
      <c r="Y1322" s="11"/>
      <c r="Z1322" s="12"/>
      <c r="AA1322" s="139">
        <f>SUM(AA1313:AA1321)</f>
        <v>0</v>
      </c>
      <c r="AB1322" s="140" t="s">
        <v>273</v>
      </c>
      <c r="AG1322" s="1"/>
    </row>
    <row r="1323" ht="21.0" customHeight="1">
      <c r="A1323" s="1"/>
      <c r="B1323" s="1"/>
      <c r="C1323" s="1"/>
      <c r="D1323" s="1"/>
      <c r="E1323" s="1"/>
      <c r="F1323" s="1"/>
      <c r="G1323" s="1"/>
      <c r="H1323" s="1"/>
      <c r="I1323" s="1"/>
      <c r="AA1323" s="1"/>
      <c r="AB1323" s="1"/>
      <c r="AC1323" s="3"/>
      <c r="AD1323" s="1"/>
      <c r="AE1323" s="1"/>
      <c r="AF1323" s="1"/>
      <c r="AG1323" s="1"/>
    </row>
    <row r="1324" ht="21.0" customHeight="1">
      <c r="A1324" s="1"/>
      <c r="B1324" s="4" t="s">
        <v>1</v>
      </c>
      <c r="C1324" s="5"/>
      <c r="D1324" s="6" t="s">
        <v>2</v>
      </c>
      <c r="E1324" s="7"/>
      <c r="F1324" s="7"/>
      <c r="G1324" s="5"/>
      <c r="H1324" s="8" t="s">
        <v>3</v>
      </c>
      <c r="I1324" s="8" t="s">
        <v>4</v>
      </c>
      <c r="J1324" s="9" t="s">
        <v>5</v>
      </c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5"/>
      <c r="AA1324" s="117" t="s">
        <v>6</v>
      </c>
      <c r="AB1324" s="11"/>
      <c r="AC1324" s="11"/>
      <c r="AD1324" s="11"/>
      <c r="AE1324" s="11"/>
      <c r="AF1324" s="12"/>
      <c r="AG1324" s="1"/>
    </row>
    <row r="1325" ht="21.0" customHeight="1">
      <c r="A1325" s="1"/>
      <c r="B1325" s="149" t="s">
        <v>138</v>
      </c>
      <c r="C1325" s="14" t="str">
        <f>if(B1325="0/0","",choose(weekday(B1325),"(일)","(월)","(화)","(수)","(목)","(금)","(토)"))</f>
        <v/>
      </c>
      <c r="D1325" s="15" t="s">
        <v>7</v>
      </c>
      <c r="E1325" s="16" t="s">
        <v>8</v>
      </c>
      <c r="F1325" s="17"/>
      <c r="G1325" s="18" t="s">
        <v>9</v>
      </c>
      <c r="H1325" s="150" t="s">
        <v>139</v>
      </c>
      <c r="I1325" s="151"/>
      <c r="J1325" s="21" t="s">
        <v>12</v>
      </c>
      <c r="K1325" s="22"/>
      <c r="L1325" s="21" t="s">
        <v>13</v>
      </c>
      <c r="M1325" s="22"/>
      <c r="N1325" s="21" t="s">
        <v>14</v>
      </c>
      <c r="O1325" s="22"/>
      <c r="P1325" s="21" t="s">
        <v>15</v>
      </c>
      <c r="Q1325" s="22"/>
      <c r="R1325" s="23" t="s">
        <v>16</v>
      </c>
      <c r="S1325" s="22"/>
      <c r="T1325" s="23" t="s">
        <v>17</v>
      </c>
      <c r="U1325" s="22"/>
      <c r="V1325" s="23" t="s">
        <v>18</v>
      </c>
      <c r="W1325" s="22"/>
      <c r="X1325" s="23" t="s">
        <v>19</v>
      </c>
      <c r="Y1325" s="22"/>
      <c r="Z1325" s="24" t="s">
        <v>274</v>
      </c>
      <c r="AA1325" s="118" t="s">
        <v>21</v>
      </c>
      <c r="AB1325" s="119" t="s">
        <v>22</v>
      </c>
      <c r="AC1325" s="7"/>
      <c r="AD1325" s="22"/>
      <c r="AE1325" s="120" t="s">
        <v>23</v>
      </c>
      <c r="AF1325" s="22"/>
      <c r="AG1325" s="1"/>
    </row>
    <row r="1326" ht="21.0" customHeight="1">
      <c r="A1326" s="1"/>
      <c r="B1326" s="27">
        <f>iferror(B1325-'현황'!$C$4+1,0)</f>
        <v>0</v>
      </c>
      <c r="C1326" s="28"/>
      <c r="D1326" s="29">
        <v>0.0</v>
      </c>
      <c r="E1326" s="30">
        <v>0.0</v>
      </c>
      <c r="F1326" s="31"/>
      <c r="G1326" s="32">
        <v>0.0</v>
      </c>
      <c r="H1326" s="33">
        <v>0.0</v>
      </c>
      <c r="I1326" s="34"/>
      <c r="J1326" s="35"/>
      <c r="K1326" s="36"/>
      <c r="L1326" s="35"/>
      <c r="M1326" s="36"/>
      <c r="N1326" s="35"/>
      <c r="O1326" s="36"/>
      <c r="P1326" s="35"/>
      <c r="Q1326" s="36"/>
      <c r="R1326" s="35"/>
      <c r="S1326" s="36"/>
      <c r="T1326" s="35"/>
      <c r="U1326" s="36"/>
      <c r="V1326" s="35"/>
      <c r="W1326" s="36"/>
      <c r="X1326" s="35"/>
      <c r="Y1326" s="36"/>
      <c r="Z1326" s="37"/>
      <c r="AA1326" s="37"/>
      <c r="AB1326" s="35"/>
      <c r="AC1326" s="38"/>
      <c r="AD1326" s="36"/>
      <c r="AE1326" s="35"/>
      <c r="AF1326" s="36"/>
      <c r="AG1326" s="1"/>
    </row>
    <row r="1327" ht="21.0" customHeight="1">
      <c r="A1327" s="1"/>
      <c r="B1327" s="39" t="s">
        <v>24</v>
      </c>
      <c r="C1327" s="40"/>
      <c r="D1327" s="41"/>
      <c r="E1327" s="42" t="s">
        <v>25</v>
      </c>
      <c r="F1327" s="40"/>
      <c r="G1327" s="41"/>
      <c r="H1327" s="43" t="s">
        <v>26</v>
      </c>
      <c r="J1327" s="44" t="s">
        <v>27</v>
      </c>
      <c r="K1327" s="45" t="s">
        <v>28</v>
      </c>
      <c r="L1327" s="44" t="s">
        <v>27</v>
      </c>
      <c r="M1327" s="45" t="s">
        <v>28</v>
      </c>
      <c r="N1327" s="44" t="s">
        <v>27</v>
      </c>
      <c r="O1327" s="45" t="s">
        <v>28</v>
      </c>
      <c r="P1327" s="44" t="s">
        <v>27</v>
      </c>
      <c r="Q1327" s="45" t="s">
        <v>28</v>
      </c>
      <c r="R1327" s="44" t="s">
        <v>27</v>
      </c>
      <c r="S1327" s="45" t="s">
        <v>28</v>
      </c>
      <c r="T1327" s="44" t="s">
        <v>27</v>
      </c>
      <c r="U1327" s="45" t="s">
        <v>28</v>
      </c>
      <c r="V1327" s="44" t="s">
        <v>27</v>
      </c>
      <c r="W1327" s="45" t="s">
        <v>28</v>
      </c>
      <c r="X1327" s="44" t="s">
        <v>27</v>
      </c>
      <c r="Y1327" s="45" t="s">
        <v>28</v>
      </c>
      <c r="Z1327" s="46"/>
      <c r="AA1327" s="46"/>
      <c r="AB1327" s="121" t="s">
        <v>29</v>
      </c>
      <c r="AC1327" s="122" t="s">
        <v>30</v>
      </c>
      <c r="AD1327" s="123" t="s">
        <v>31</v>
      </c>
      <c r="AE1327" s="121" t="s">
        <v>27</v>
      </c>
      <c r="AF1327" s="123" t="s">
        <v>28</v>
      </c>
      <c r="AG1327" s="1"/>
    </row>
    <row r="1328" ht="21.0" customHeight="1">
      <c r="A1328" s="1"/>
      <c r="B1328" s="48" t="s">
        <v>32</v>
      </c>
      <c r="C1328" s="49"/>
      <c r="D1328" s="50"/>
      <c r="E1328" s="51" t="s">
        <v>33</v>
      </c>
      <c r="F1328" s="52" t="s">
        <v>34</v>
      </c>
      <c r="G1328" s="53"/>
      <c r="H1328" s="148"/>
      <c r="I1328" s="55"/>
      <c r="J1328" s="58"/>
      <c r="K1328" s="59"/>
      <c r="L1328" s="58"/>
      <c r="M1328" s="59"/>
      <c r="N1328" s="58"/>
      <c r="O1328" s="59"/>
      <c r="P1328" s="58"/>
      <c r="Q1328" s="59"/>
      <c r="R1328" s="58"/>
      <c r="S1328" s="59"/>
      <c r="T1328" s="58"/>
      <c r="U1328" s="59"/>
      <c r="V1328" s="58"/>
      <c r="W1328" s="59"/>
      <c r="X1328" s="58"/>
      <c r="Y1328" s="59"/>
      <c r="Z1328" s="60" t="b">
        <v>0</v>
      </c>
      <c r="AA1328" s="125">
        <f t="shared" ref="AA1328:AA1336" si="529">(J1328*K1328+L1328*M1328+N1328*O1328+P1328*Q1328+R1328*S1328+T1328*U1328+V1328*W1328+X1328*Y1328)*if(Z1328=true,0.453592,1)</f>
        <v>0</v>
      </c>
      <c r="AB1328" s="126">
        <f t="shared" ref="AB1328:AB1336" si="530">SUM(AE1328*AF1328*0.025,AE1328)</f>
        <v>0</v>
      </c>
      <c r="AC1328" s="127">
        <f t="shared" ref="AC1328:AC1336" si="531">AB1328*87%</f>
        <v>0</v>
      </c>
      <c r="AD1328" s="128">
        <f t="shared" ref="AD1328:AD1336" si="532">AB1328*67%</f>
        <v>0</v>
      </c>
      <c r="AE1328" s="126">
        <f t="shared" ref="AE1328:AE1336" si="533">MAX(J1328,L1328,N1328,P1328,R1328,T1328,V1328,X1328)*if(Z1328=true,0.453592,1)</f>
        <v>0</v>
      </c>
      <c r="AF1328" s="128">
        <f t="shared" ref="AF1328:AF1336" si="534">MAX(IF(J1328*if(Z1328=true,0.453592,1)=$AE1328,K1328,0),IF(L1328*if(Z1328=true,0.453592,1)=$AE1328,M1328,0),IF(N1328*if(Z1328=true,0.453592,1)=$AE1328,O1328,0),IF(P1328*if(Z1328=true,0.453592,1)=$AE1328,Q1328,0),IF(R1328*if(Z1328=true,0.453592,1)=$AE1328,S1328,0),IF(T1328*if(Z1328=true,0.453592,1)=$AE1328,U1328,0),IF(V1328*if(Z1328=true,0.453592,1)=$AE1328,W1328,0),IF(X1328*if(Z1328=true,0.453592,1)=$AE1328,Y1328,0))</f>
        <v>0</v>
      </c>
      <c r="AG1328" s="1"/>
    </row>
    <row r="1329" ht="21.0" customHeight="1">
      <c r="A1329" s="1"/>
      <c r="B1329" s="48" t="s">
        <v>36</v>
      </c>
      <c r="C1329" s="49"/>
      <c r="D1329" s="65"/>
      <c r="E1329" s="66"/>
      <c r="F1329" s="52" t="s">
        <v>37</v>
      </c>
      <c r="G1329" s="67"/>
      <c r="H1329" s="129"/>
      <c r="I1329" s="69"/>
      <c r="J1329" s="72"/>
      <c r="K1329" s="73"/>
      <c r="L1329" s="72"/>
      <c r="M1329" s="73"/>
      <c r="N1329" s="72"/>
      <c r="O1329" s="73"/>
      <c r="P1329" s="72"/>
      <c r="Q1329" s="73"/>
      <c r="R1329" s="72"/>
      <c r="S1329" s="73"/>
      <c r="T1329" s="72"/>
      <c r="U1329" s="73"/>
      <c r="V1329" s="72"/>
      <c r="W1329" s="73"/>
      <c r="X1329" s="72"/>
      <c r="Y1329" s="73"/>
      <c r="Z1329" s="74" t="b">
        <v>0</v>
      </c>
      <c r="AA1329" s="130">
        <f t="shared" si="529"/>
        <v>0</v>
      </c>
      <c r="AB1329" s="131">
        <f t="shared" si="530"/>
        <v>0</v>
      </c>
      <c r="AC1329" s="132">
        <f t="shared" si="531"/>
        <v>0</v>
      </c>
      <c r="AD1329" s="133">
        <f t="shared" si="532"/>
        <v>0</v>
      </c>
      <c r="AE1329" s="131">
        <f t="shared" si="533"/>
        <v>0</v>
      </c>
      <c r="AF1329" s="133">
        <f t="shared" si="534"/>
        <v>0</v>
      </c>
      <c r="AG1329" s="1"/>
    </row>
    <row r="1330" ht="21.0" customHeight="1">
      <c r="A1330" s="1"/>
      <c r="B1330" s="48" t="s">
        <v>39</v>
      </c>
      <c r="C1330" s="49"/>
      <c r="D1330" s="65"/>
      <c r="E1330" s="41"/>
      <c r="F1330" s="52" t="s">
        <v>40</v>
      </c>
      <c r="G1330" s="79"/>
      <c r="H1330" s="80"/>
      <c r="I1330" s="69"/>
      <c r="J1330" s="72"/>
      <c r="K1330" s="73"/>
      <c r="L1330" s="72"/>
      <c r="M1330" s="73"/>
      <c r="N1330" s="72"/>
      <c r="O1330" s="73"/>
      <c r="P1330" s="72"/>
      <c r="Q1330" s="73"/>
      <c r="R1330" s="72"/>
      <c r="S1330" s="73"/>
      <c r="T1330" s="72"/>
      <c r="U1330" s="73"/>
      <c r="V1330" s="72"/>
      <c r="W1330" s="73"/>
      <c r="X1330" s="72"/>
      <c r="Y1330" s="73"/>
      <c r="Z1330" s="74" t="b">
        <v>0</v>
      </c>
      <c r="AA1330" s="130">
        <f t="shared" si="529"/>
        <v>0</v>
      </c>
      <c r="AB1330" s="131">
        <f t="shared" si="530"/>
        <v>0</v>
      </c>
      <c r="AC1330" s="132">
        <f t="shared" si="531"/>
        <v>0</v>
      </c>
      <c r="AD1330" s="133">
        <f t="shared" si="532"/>
        <v>0</v>
      </c>
      <c r="AE1330" s="131">
        <f t="shared" si="533"/>
        <v>0</v>
      </c>
      <c r="AF1330" s="133">
        <f t="shared" si="534"/>
        <v>0</v>
      </c>
      <c r="AG1330" s="1"/>
    </row>
    <row r="1331" ht="21.0" customHeight="1">
      <c r="A1331" s="1"/>
      <c r="B1331" s="48" t="s">
        <v>41</v>
      </c>
      <c r="C1331" s="81"/>
      <c r="D1331" s="82" t="b">
        <v>0</v>
      </c>
      <c r="E1331" s="51" t="s">
        <v>42</v>
      </c>
      <c r="F1331" s="52" t="s">
        <v>34</v>
      </c>
      <c r="G1331" s="83"/>
      <c r="H1331" s="84"/>
      <c r="I1331" s="85"/>
      <c r="J1331" s="72"/>
      <c r="K1331" s="73"/>
      <c r="L1331" s="72"/>
      <c r="M1331" s="73"/>
      <c r="N1331" s="72"/>
      <c r="O1331" s="73"/>
      <c r="P1331" s="72"/>
      <c r="Q1331" s="73"/>
      <c r="R1331" s="72"/>
      <c r="S1331" s="73"/>
      <c r="T1331" s="72"/>
      <c r="U1331" s="73"/>
      <c r="V1331" s="72"/>
      <c r="W1331" s="73"/>
      <c r="X1331" s="72"/>
      <c r="Y1331" s="73"/>
      <c r="Z1331" s="74" t="b">
        <v>0</v>
      </c>
      <c r="AA1331" s="130">
        <f t="shared" si="529"/>
        <v>0</v>
      </c>
      <c r="AB1331" s="131">
        <f t="shared" si="530"/>
        <v>0</v>
      </c>
      <c r="AC1331" s="132">
        <f t="shared" si="531"/>
        <v>0</v>
      </c>
      <c r="AD1331" s="133">
        <f t="shared" si="532"/>
        <v>0</v>
      </c>
      <c r="AE1331" s="131">
        <f t="shared" si="533"/>
        <v>0</v>
      </c>
      <c r="AF1331" s="133">
        <f t="shared" si="534"/>
        <v>0</v>
      </c>
      <c r="AG1331" s="1"/>
    </row>
    <row r="1332" ht="21.0" customHeight="1">
      <c r="A1332" s="1"/>
      <c r="B1332" s="48" t="s">
        <v>43</v>
      </c>
      <c r="C1332" s="49"/>
      <c r="D1332" s="86" t="b">
        <v>0</v>
      </c>
      <c r="E1332" s="66"/>
      <c r="F1332" s="52" t="s">
        <v>37</v>
      </c>
      <c r="G1332" s="67"/>
      <c r="H1332" s="80"/>
      <c r="I1332" s="69"/>
      <c r="J1332" s="72"/>
      <c r="K1332" s="73"/>
      <c r="L1332" s="72"/>
      <c r="M1332" s="73"/>
      <c r="N1332" s="72"/>
      <c r="O1332" s="73"/>
      <c r="P1332" s="72"/>
      <c r="Q1332" s="73"/>
      <c r="R1332" s="72"/>
      <c r="S1332" s="73"/>
      <c r="T1332" s="72"/>
      <c r="U1332" s="73"/>
      <c r="V1332" s="72"/>
      <c r="W1332" s="73"/>
      <c r="X1332" s="72"/>
      <c r="Y1332" s="73"/>
      <c r="Z1332" s="74" t="b">
        <v>0</v>
      </c>
      <c r="AA1332" s="130">
        <f t="shared" si="529"/>
        <v>0</v>
      </c>
      <c r="AB1332" s="131">
        <f t="shared" si="530"/>
        <v>0</v>
      </c>
      <c r="AC1332" s="132">
        <f t="shared" si="531"/>
        <v>0</v>
      </c>
      <c r="AD1332" s="133">
        <f t="shared" si="532"/>
        <v>0</v>
      </c>
      <c r="AE1332" s="131">
        <f t="shared" si="533"/>
        <v>0</v>
      </c>
      <c r="AF1332" s="133">
        <f t="shared" si="534"/>
        <v>0</v>
      </c>
      <c r="AG1332" s="1"/>
    </row>
    <row r="1333" ht="21.0" customHeight="1">
      <c r="A1333" s="1"/>
      <c r="B1333" s="87" t="str">
        <f t="array" ref="B1333">"📌최근 인바디 결과 : "&amp;text(xlookup(B1325,'현황'!O:O,'현황'!O:O,,-1,-1),"m/d(ddd)")</f>
        <v>#REF!</v>
      </c>
      <c r="C1333" s="88"/>
      <c r="D1333" s="49"/>
      <c r="E1333" s="41"/>
      <c r="F1333" s="52" t="s">
        <v>40</v>
      </c>
      <c r="G1333" s="79"/>
      <c r="H1333" s="80"/>
      <c r="I1333" s="69"/>
      <c r="J1333" s="72"/>
      <c r="K1333" s="73"/>
      <c r="L1333" s="72"/>
      <c r="M1333" s="73"/>
      <c r="N1333" s="72"/>
      <c r="O1333" s="73"/>
      <c r="P1333" s="72"/>
      <c r="Q1333" s="73"/>
      <c r="R1333" s="72"/>
      <c r="S1333" s="73"/>
      <c r="T1333" s="72"/>
      <c r="U1333" s="73"/>
      <c r="V1333" s="72"/>
      <c r="W1333" s="73"/>
      <c r="X1333" s="72"/>
      <c r="Y1333" s="73"/>
      <c r="Z1333" s="74" t="b">
        <v>0</v>
      </c>
      <c r="AA1333" s="130">
        <f t="shared" si="529"/>
        <v>0</v>
      </c>
      <c r="AB1333" s="131">
        <f t="shared" si="530"/>
        <v>0</v>
      </c>
      <c r="AC1333" s="132">
        <f t="shared" si="531"/>
        <v>0</v>
      </c>
      <c r="AD1333" s="133">
        <f t="shared" si="532"/>
        <v>0</v>
      </c>
      <c r="AE1333" s="131">
        <f t="shared" si="533"/>
        <v>0</v>
      </c>
      <c r="AF1333" s="133">
        <f t="shared" si="534"/>
        <v>0</v>
      </c>
      <c r="AG1333" s="1"/>
    </row>
    <row r="1334" ht="21.0" customHeight="1">
      <c r="A1334" s="1"/>
      <c r="B1334" s="89" t="s">
        <v>44</v>
      </c>
      <c r="C1334" s="49"/>
      <c r="D1334" s="90">
        <f t="array" ref="D1334">iferror(vlookup(xlookup(B1325,'현황'!O:O,'현황'!O:O,,-1,-1),'현황'!O:S,2,false),0)</f>
        <v>0</v>
      </c>
      <c r="E1334" s="51" t="s">
        <v>45</v>
      </c>
      <c r="F1334" s="52" t="s">
        <v>34</v>
      </c>
      <c r="G1334" s="83"/>
      <c r="H1334" s="84"/>
      <c r="I1334" s="85"/>
      <c r="J1334" s="72"/>
      <c r="K1334" s="73"/>
      <c r="L1334" s="72"/>
      <c r="M1334" s="73"/>
      <c r="N1334" s="72"/>
      <c r="O1334" s="73"/>
      <c r="P1334" s="72"/>
      <c r="Q1334" s="73"/>
      <c r="R1334" s="72"/>
      <c r="S1334" s="73"/>
      <c r="T1334" s="72"/>
      <c r="U1334" s="73"/>
      <c r="V1334" s="72"/>
      <c r="W1334" s="73"/>
      <c r="X1334" s="72"/>
      <c r="Y1334" s="73"/>
      <c r="Z1334" s="74" t="b">
        <v>0</v>
      </c>
      <c r="AA1334" s="130">
        <f t="shared" si="529"/>
        <v>0</v>
      </c>
      <c r="AB1334" s="131">
        <f t="shared" si="530"/>
        <v>0</v>
      </c>
      <c r="AC1334" s="132">
        <f t="shared" si="531"/>
        <v>0</v>
      </c>
      <c r="AD1334" s="133">
        <f t="shared" si="532"/>
        <v>0</v>
      </c>
      <c r="AE1334" s="131">
        <f t="shared" si="533"/>
        <v>0</v>
      </c>
      <c r="AF1334" s="133">
        <f t="shared" si="534"/>
        <v>0</v>
      </c>
      <c r="AG1334" s="1"/>
    </row>
    <row r="1335" ht="21.0" customHeight="1">
      <c r="A1335" s="1"/>
      <c r="B1335" s="48" t="s">
        <v>46</v>
      </c>
      <c r="C1335" s="49"/>
      <c r="D1335" s="91">
        <f t="array" ref="D1335">iferror(vlookup(xlookup(B1325,'현황'!O:O,'현황'!O:O,,-1,-1),'현황'!O:S,3,false),0)</f>
        <v>0</v>
      </c>
      <c r="E1335" s="66"/>
      <c r="F1335" s="52" t="s">
        <v>37</v>
      </c>
      <c r="G1335" s="67"/>
      <c r="H1335" s="80"/>
      <c r="I1335" s="69"/>
      <c r="J1335" s="72"/>
      <c r="K1335" s="73"/>
      <c r="L1335" s="72"/>
      <c r="M1335" s="73"/>
      <c r="N1335" s="72"/>
      <c r="O1335" s="73"/>
      <c r="P1335" s="72"/>
      <c r="Q1335" s="73"/>
      <c r="R1335" s="72"/>
      <c r="S1335" s="73"/>
      <c r="T1335" s="72"/>
      <c r="U1335" s="73"/>
      <c r="V1335" s="72"/>
      <c r="W1335" s="73"/>
      <c r="X1335" s="72"/>
      <c r="Y1335" s="73"/>
      <c r="Z1335" s="74" t="b">
        <v>0</v>
      </c>
      <c r="AA1335" s="130">
        <f t="shared" si="529"/>
        <v>0</v>
      </c>
      <c r="AB1335" s="131">
        <f t="shared" si="530"/>
        <v>0</v>
      </c>
      <c r="AC1335" s="132">
        <f t="shared" si="531"/>
        <v>0</v>
      </c>
      <c r="AD1335" s="133">
        <f t="shared" si="532"/>
        <v>0</v>
      </c>
      <c r="AE1335" s="131">
        <f t="shared" si="533"/>
        <v>0</v>
      </c>
      <c r="AF1335" s="133">
        <f t="shared" si="534"/>
        <v>0</v>
      </c>
      <c r="AG1335" s="1"/>
    </row>
    <row r="1336" ht="21.0" customHeight="1">
      <c r="A1336" s="1"/>
      <c r="B1336" s="48" t="s">
        <v>47</v>
      </c>
      <c r="C1336" s="49"/>
      <c r="D1336" s="91">
        <f t="array" ref="D1336">iferror(vlookup(xlookup(B1325,'현황'!O:O,'현황'!O:O,,-1,-1),'현황'!O:S,4,false),0)</f>
        <v>0</v>
      </c>
      <c r="E1336" s="41"/>
      <c r="F1336" s="92" t="s">
        <v>40</v>
      </c>
      <c r="G1336" s="79"/>
      <c r="H1336" s="93"/>
      <c r="I1336" s="94"/>
      <c r="J1336" s="95"/>
      <c r="K1336" s="96"/>
      <c r="L1336" s="95"/>
      <c r="M1336" s="96"/>
      <c r="N1336" s="95"/>
      <c r="O1336" s="96"/>
      <c r="P1336" s="95"/>
      <c r="Q1336" s="96"/>
      <c r="R1336" s="95"/>
      <c r="S1336" s="96"/>
      <c r="T1336" s="95"/>
      <c r="U1336" s="96"/>
      <c r="V1336" s="95"/>
      <c r="W1336" s="96"/>
      <c r="X1336" s="95"/>
      <c r="Y1336" s="96"/>
      <c r="Z1336" s="97" t="b">
        <v>0</v>
      </c>
      <c r="AA1336" s="135">
        <f t="shared" si="529"/>
        <v>0</v>
      </c>
      <c r="AB1336" s="136">
        <f t="shared" si="530"/>
        <v>0</v>
      </c>
      <c r="AC1336" s="137">
        <f t="shared" si="531"/>
        <v>0</v>
      </c>
      <c r="AD1336" s="138">
        <f t="shared" si="532"/>
        <v>0</v>
      </c>
      <c r="AE1336" s="136">
        <f t="shared" si="533"/>
        <v>0</v>
      </c>
      <c r="AF1336" s="138">
        <f t="shared" si="534"/>
        <v>0</v>
      </c>
      <c r="AG1336" s="1"/>
    </row>
    <row r="1337" ht="21.0" customHeight="1">
      <c r="A1337" s="1"/>
      <c r="B1337" s="102" t="s">
        <v>48</v>
      </c>
      <c r="C1337" s="103"/>
      <c r="D1337" s="104">
        <f>iferror(D1336/D1334,0)</f>
        <v>0</v>
      </c>
      <c r="E1337" s="102" t="s">
        <v>49</v>
      </c>
      <c r="F1337" s="103"/>
      <c r="G1337" s="105"/>
      <c r="H1337" s="106" t="s">
        <v>50</v>
      </c>
      <c r="I1337" s="107"/>
      <c r="J1337" s="11"/>
      <c r="K1337" s="11"/>
      <c r="L1337" s="11"/>
      <c r="M1337" s="11"/>
      <c r="N1337" s="11"/>
      <c r="O1337" s="11"/>
      <c r="P1337" s="108" t="s">
        <v>51</v>
      </c>
      <c r="Q1337" s="12"/>
      <c r="R1337" s="109"/>
      <c r="S1337" s="11"/>
      <c r="T1337" s="11"/>
      <c r="U1337" s="11"/>
      <c r="V1337" s="11"/>
      <c r="W1337" s="11"/>
      <c r="X1337" s="11"/>
      <c r="Y1337" s="11"/>
      <c r="Z1337" s="12"/>
      <c r="AA1337" s="139">
        <f>SUM(AA1328:AA1336)</f>
        <v>0</v>
      </c>
      <c r="AB1337" s="140" t="s">
        <v>275</v>
      </c>
      <c r="AG1337" s="1"/>
    </row>
    <row r="1338" ht="21.0" customHeight="1">
      <c r="A1338" s="1"/>
      <c r="B1338" s="1"/>
      <c r="C1338" s="1"/>
      <c r="D1338" s="1"/>
      <c r="E1338" s="1"/>
      <c r="F1338" s="1"/>
      <c r="G1338" s="1"/>
      <c r="H1338" s="1"/>
      <c r="I1338" s="1"/>
      <c r="AA1338" s="1"/>
      <c r="AB1338" s="1"/>
      <c r="AC1338" s="3"/>
      <c r="AD1338" s="1"/>
      <c r="AE1338" s="1"/>
      <c r="AF1338" s="1"/>
      <c r="AG1338" s="1"/>
    </row>
    <row r="1339" ht="21.0" customHeight="1">
      <c r="A1339" s="1"/>
      <c r="B1339" s="4" t="s">
        <v>1</v>
      </c>
      <c r="C1339" s="5"/>
      <c r="D1339" s="6" t="s">
        <v>2</v>
      </c>
      <c r="E1339" s="7"/>
      <c r="F1339" s="7"/>
      <c r="G1339" s="5"/>
      <c r="H1339" s="8" t="s">
        <v>3</v>
      </c>
      <c r="I1339" s="8" t="s">
        <v>4</v>
      </c>
      <c r="J1339" s="9" t="s">
        <v>5</v>
      </c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5"/>
      <c r="AA1339" s="117" t="s">
        <v>6</v>
      </c>
      <c r="AB1339" s="11"/>
      <c r="AC1339" s="11"/>
      <c r="AD1339" s="11"/>
      <c r="AE1339" s="11"/>
      <c r="AF1339" s="12"/>
      <c r="AG1339" s="1"/>
    </row>
    <row r="1340" ht="21.0" customHeight="1">
      <c r="A1340" s="1"/>
      <c r="B1340" s="149" t="s">
        <v>138</v>
      </c>
      <c r="C1340" s="14" t="str">
        <f>if(B1340="0/0","",choose(weekday(B1340),"(일)","(월)","(화)","(수)","(목)","(금)","(토)"))</f>
        <v/>
      </c>
      <c r="D1340" s="15" t="s">
        <v>7</v>
      </c>
      <c r="E1340" s="16" t="s">
        <v>8</v>
      </c>
      <c r="F1340" s="17"/>
      <c r="G1340" s="18" t="s">
        <v>9</v>
      </c>
      <c r="H1340" s="150" t="s">
        <v>139</v>
      </c>
      <c r="I1340" s="151"/>
      <c r="J1340" s="21" t="s">
        <v>12</v>
      </c>
      <c r="K1340" s="22"/>
      <c r="L1340" s="21" t="s">
        <v>13</v>
      </c>
      <c r="M1340" s="22"/>
      <c r="N1340" s="21" t="s">
        <v>14</v>
      </c>
      <c r="O1340" s="22"/>
      <c r="P1340" s="21" t="s">
        <v>15</v>
      </c>
      <c r="Q1340" s="22"/>
      <c r="R1340" s="23" t="s">
        <v>16</v>
      </c>
      <c r="S1340" s="22"/>
      <c r="T1340" s="23" t="s">
        <v>17</v>
      </c>
      <c r="U1340" s="22"/>
      <c r="V1340" s="23" t="s">
        <v>18</v>
      </c>
      <c r="W1340" s="22"/>
      <c r="X1340" s="23" t="s">
        <v>19</v>
      </c>
      <c r="Y1340" s="22"/>
      <c r="Z1340" s="24" t="s">
        <v>276</v>
      </c>
      <c r="AA1340" s="118" t="s">
        <v>21</v>
      </c>
      <c r="AB1340" s="119" t="s">
        <v>22</v>
      </c>
      <c r="AC1340" s="7"/>
      <c r="AD1340" s="22"/>
      <c r="AE1340" s="120" t="s">
        <v>23</v>
      </c>
      <c r="AF1340" s="22"/>
      <c r="AG1340" s="1"/>
    </row>
    <row r="1341" ht="21.0" customHeight="1">
      <c r="A1341" s="1"/>
      <c r="B1341" s="27">
        <f>iferror(B1340-'현황'!$C$4+1,0)</f>
        <v>0</v>
      </c>
      <c r="C1341" s="28"/>
      <c r="D1341" s="29">
        <v>0.0</v>
      </c>
      <c r="E1341" s="30">
        <v>0.0</v>
      </c>
      <c r="F1341" s="31"/>
      <c r="G1341" s="32">
        <v>0.0</v>
      </c>
      <c r="H1341" s="33">
        <v>0.0</v>
      </c>
      <c r="I1341" s="34"/>
      <c r="J1341" s="35"/>
      <c r="K1341" s="36"/>
      <c r="L1341" s="35"/>
      <c r="M1341" s="36"/>
      <c r="N1341" s="35"/>
      <c r="O1341" s="36"/>
      <c r="P1341" s="35"/>
      <c r="Q1341" s="36"/>
      <c r="R1341" s="35"/>
      <c r="S1341" s="36"/>
      <c r="T1341" s="35"/>
      <c r="U1341" s="36"/>
      <c r="V1341" s="35"/>
      <c r="W1341" s="36"/>
      <c r="X1341" s="35"/>
      <c r="Y1341" s="36"/>
      <c r="Z1341" s="37"/>
      <c r="AA1341" s="37"/>
      <c r="AB1341" s="35"/>
      <c r="AC1341" s="38"/>
      <c r="AD1341" s="36"/>
      <c r="AE1341" s="35"/>
      <c r="AF1341" s="36"/>
      <c r="AG1341" s="1"/>
    </row>
    <row r="1342" ht="21.0" customHeight="1">
      <c r="A1342" s="1"/>
      <c r="B1342" s="39" t="s">
        <v>24</v>
      </c>
      <c r="C1342" s="40"/>
      <c r="D1342" s="41"/>
      <c r="E1342" s="42" t="s">
        <v>25</v>
      </c>
      <c r="F1342" s="40"/>
      <c r="G1342" s="41"/>
      <c r="H1342" s="43" t="s">
        <v>26</v>
      </c>
      <c r="J1342" s="44" t="s">
        <v>27</v>
      </c>
      <c r="K1342" s="45" t="s">
        <v>28</v>
      </c>
      <c r="L1342" s="44" t="s">
        <v>27</v>
      </c>
      <c r="M1342" s="45" t="s">
        <v>28</v>
      </c>
      <c r="N1342" s="44" t="s">
        <v>27</v>
      </c>
      <c r="O1342" s="45" t="s">
        <v>28</v>
      </c>
      <c r="P1342" s="44" t="s">
        <v>27</v>
      </c>
      <c r="Q1342" s="45" t="s">
        <v>28</v>
      </c>
      <c r="R1342" s="44" t="s">
        <v>27</v>
      </c>
      <c r="S1342" s="45" t="s">
        <v>28</v>
      </c>
      <c r="T1342" s="44" t="s">
        <v>27</v>
      </c>
      <c r="U1342" s="45" t="s">
        <v>28</v>
      </c>
      <c r="V1342" s="44" t="s">
        <v>27</v>
      </c>
      <c r="W1342" s="45" t="s">
        <v>28</v>
      </c>
      <c r="X1342" s="44" t="s">
        <v>27</v>
      </c>
      <c r="Y1342" s="45" t="s">
        <v>28</v>
      </c>
      <c r="Z1342" s="46"/>
      <c r="AA1342" s="46"/>
      <c r="AB1342" s="121" t="s">
        <v>29</v>
      </c>
      <c r="AC1342" s="122" t="s">
        <v>30</v>
      </c>
      <c r="AD1342" s="123" t="s">
        <v>31</v>
      </c>
      <c r="AE1342" s="121" t="s">
        <v>27</v>
      </c>
      <c r="AF1342" s="123" t="s">
        <v>28</v>
      </c>
      <c r="AG1342" s="1"/>
    </row>
    <row r="1343" ht="21.0" customHeight="1">
      <c r="A1343" s="1"/>
      <c r="B1343" s="48" t="s">
        <v>32</v>
      </c>
      <c r="C1343" s="49"/>
      <c r="D1343" s="50"/>
      <c r="E1343" s="51" t="s">
        <v>33</v>
      </c>
      <c r="F1343" s="52" t="s">
        <v>34</v>
      </c>
      <c r="G1343" s="53"/>
      <c r="H1343" s="148"/>
      <c r="I1343" s="55"/>
      <c r="J1343" s="58"/>
      <c r="K1343" s="59"/>
      <c r="L1343" s="58"/>
      <c r="M1343" s="59"/>
      <c r="N1343" s="58"/>
      <c r="O1343" s="59"/>
      <c r="P1343" s="58"/>
      <c r="Q1343" s="59"/>
      <c r="R1343" s="58"/>
      <c r="S1343" s="59"/>
      <c r="T1343" s="58"/>
      <c r="U1343" s="59"/>
      <c r="V1343" s="58"/>
      <c r="W1343" s="59"/>
      <c r="X1343" s="58"/>
      <c r="Y1343" s="59"/>
      <c r="Z1343" s="60" t="b">
        <v>0</v>
      </c>
      <c r="AA1343" s="125">
        <f t="shared" ref="AA1343:AA1351" si="535">(J1343*K1343+L1343*M1343+N1343*O1343+P1343*Q1343+R1343*S1343+T1343*U1343+V1343*W1343+X1343*Y1343)*if(Z1343=true,0.453592,1)</f>
        <v>0</v>
      </c>
      <c r="AB1343" s="126">
        <f t="shared" ref="AB1343:AB1351" si="536">SUM(AE1343*AF1343*0.025,AE1343)</f>
        <v>0</v>
      </c>
      <c r="AC1343" s="127">
        <f t="shared" ref="AC1343:AC1351" si="537">AB1343*87%</f>
        <v>0</v>
      </c>
      <c r="AD1343" s="128">
        <f t="shared" ref="AD1343:AD1351" si="538">AB1343*67%</f>
        <v>0</v>
      </c>
      <c r="AE1343" s="126">
        <f t="shared" ref="AE1343:AE1351" si="539">MAX(J1343,L1343,N1343,P1343,R1343,T1343,V1343,X1343)*if(Z1343=true,0.453592,1)</f>
        <v>0</v>
      </c>
      <c r="AF1343" s="128">
        <f t="shared" ref="AF1343:AF1351" si="540">MAX(IF(J1343*if(Z1343=true,0.453592,1)=$AE1343,K1343,0),IF(L1343*if(Z1343=true,0.453592,1)=$AE1343,M1343,0),IF(N1343*if(Z1343=true,0.453592,1)=$AE1343,O1343,0),IF(P1343*if(Z1343=true,0.453592,1)=$AE1343,Q1343,0),IF(R1343*if(Z1343=true,0.453592,1)=$AE1343,S1343,0),IF(T1343*if(Z1343=true,0.453592,1)=$AE1343,U1343,0),IF(V1343*if(Z1343=true,0.453592,1)=$AE1343,W1343,0),IF(X1343*if(Z1343=true,0.453592,1)=$AE1343,Y1343,0))</f>
        <v>0</v>
      </c>
      <c r="AG1343" s="1"/>
    </row>
    <row r="1344" ht="21.0" customHeight="1">
      <c r="A1344" s="1"/>
      <c r="B1344" s="48" t="s">
        <v>36</v>
      </c>
      <c r="C1344" s="49"/>
      <c r="D1344" s="65"/>
      <c r="E1344" s="66"/>
      <c r="F1344" s="52" t="s">
        <v>37</v>
      </c>
      <c r="G1344" s="67"/>
      <c r="H1344" s="129"/>
      <c r="I1344" s="69"/>
      <c r="J1344" s="72"/>
      <c r="K1344" s="73"/>
      <c r="L1344" s="72"/>
      <c r="M1344" s="73"/>
      <c r="N1344" s="72"/>
      <c r="O1344" s="73"/>
      <c r="P1344" s="72"/>
      <c r="Q1344" s="73"/>
      <c r="R1344" s="72"/>
      <c r="S1344" s="73"/>
      <c r="T1344" s="72"/>
      <c r="U1344" s="73"/>
      <c r="V1344" s="72"/>
      <c r="W1344" s="73"/>
      <c r="X1344" s="72"/>
      <c r="Y1344" s="73"/>
      <c r="Z1344" s="74" t="b">
        <v>0</v>
      </c>
      <c r="AA1344" s="130">
        <f t="shared" si="535"/>
        <v>0</v>
      </c>
      <c r="AB1344" s="131">
        <f t="shared" si="536"/>
        <v>0</v>
      </c>
      <c r="AC1344" s="132">
        <f t="shared" si="537"/>
        <v>0</v>
      </c>
      <c r="AD1344" s="133">
        <f t="shared" si="538"/>
        <v>0</v>
      </c>
      <c r="AE1344" s="131">
        <f t="shared" si="539"/>
        <v>0</v>
      </c>
      <c r="AF1344" s="133">
        <f t="shared" si="540"/>
        <v>0</v>
      </c>
      <c r="AG1344" s="1"/>
    </row>
    <row r="1345" ht="21.0" customHeight="1">
      <c r="A1345" s="1"/>
      <c r="B1345" s="48" t="s">
        <v>39</v>
      </c>
      <c r="C1345" s="49"/>
      <c r="D1345" s="65"/>
      <c r="E1345" s="41"/>
      <c r="F1345" s="52" t="s">
        <v>40</v>
      </c>
      <c r="G1345" s="79"/>
      <c r="H1345" s="80"/>
      <c r="I1345" s="69"/>
      <c r="J1345" s="72"/>
      <c r="K1345" s="73"/>
      <c r="L1345" s="72"/>
      <c r="M1345" s="73"/>
      <c r="N1345" s="72"/>
      <c r="O1345" s="73"/>
      <c r="P1345" s="72"/>
      <c r="Q1345" s="73"/>
      <c r="R1345" s="72"/>
      <c r="S1345" s="73"/>
      <c r="T1345" s="72"/>
      <c r="U1345" s="73"/>
      <c r="V1345" s="72"/>
      <c r="W1345" s="73"/>
      <c r="X1345" s="72"/>
      <c r="Y1345" s="73"/>
      <c r="Z1345" s="74" t="b">
        <v>0</v>
      </c>
      <c r="AA1345" s="130">
        <f t="shared" si="535"/>
        <v>0</v>
      </c>
      <c r="AB1345" s="131">
        <f t="shared" si="536"/>
        <v>0</v>
      </c>
      <c r="AC1345" s="132">
        <f t="shared" si="537"/>
        <v>0</v>
      </c>
      <c r="AD1345" s="133">
        <f t="shared" si="538"/>
        <v>0</v>
      </c>
      <c r="AE1345" s="131">
        <f t="shared" si="539"/>
        <v>0</v>
      </c>
      <c r="AF1345" s="133">
        <f t="shared" si="540"/>
        <v>0</v>
      </c>
      <c r="AG1345" s="1"/>
    </row>
    <row r="1346" ht="21.0" customHeight="1">
      <c r="A1346" s="1"/>
      <c r="B1346" s="48" t="s">
        <v>41</v>
      </c>
      <c r="C1346" s="81"/>
      <c r="D1346" s="82" t="b">
        <v>0</v>
      </c>
      <c r="E1346" s="51" t="s">
        <v>42</v>
      </c>
      <c r="F1346" s="52" t="s">
        <v>34</v>
      </c>
      <c r="G1346" s="83"/>
      <c r="H1346" s="84"/>
      <c r="I1346" s="85"/>
      <c r="J1346" s="72"/>
      <c r="K1346" s="73"/>
      <c r="L1346" s="72"/>
      <c r="M1346" s="73"/>
      <c r="N1346" s="72"/>
      <c r="O1346" s="73"/>
      <c r="P1346" s="72"/>
      <c r="Q1346" s="73"/>
      <c r="R1346" s="72"/>
      <c r="S1346" s="73"/>
      <c r="T1346" s="72"/>
      <c r="U1346" s="73"/>
      <c r="V1346" s="72"/>
      <c r="W1346" s="73"/>
      <c r="X1346" s="72"/>
      <c r="Y1346" s="73"/>
      <c r="Z1346" s="74" t="b">
        <v>0</v>
      </c>
      <c r="AA1346" s="130">
        <f t="shared" si="535"/>
        <v>0</v>
      </c>
      <c r="AB1346" s="131">
        <f t="shared" si="536"/>
        <v>0</v>
      </c>
      <c r="AC1346" s="132">
        <f t="shared" si="537"/>
        <v>0</v>
      </c>
      <c r="AD1346" s="133">
        <f t="shared" si="538"/>
        <v>0</v>
      </c>
      <c r="AE1346" s="131">
        <f t="shared" si="539"/>
        <v>0</v>
      </c>
      <c r="AF1346" s="133">
        <f t="shared" si="540"/>
        <v>0</v>
      </c>
      <c r="AG1346" s="1"/>
    </row>
    <row r="1347" ht="21.0" customHeight="1">
      <c r="A1347" s="1"/>
      <c r="B1347" s="48" t="s">
        <v>43</v>
      </c>
      <c r="C1347" s="49"/>
      <c r="D1347" s="86" t="b">
        <v>0</v>
      </c>
      <c r="E1347" s="66"/>
      <c r="F1347" s="52" t="s">
        <v>37</v>
      </c>
      <c r="G1347" s="67"/>
      <c r="H1347" s="80"/>
      <c r="I1347" s="69"/>
      <c r="J1347" s="72"/>
      <c r="K1347" s="73"/>
      <c r="L1347" s="72"/>
      <c r="M1347" s="73"/>
      <c r="N1347" s="72"/>
      <c r="O1347" s="73"/>
      <c r="P1347" s="72"/>
      <c r="Q1347" s="73"/>
      <c r="R1347" s="72"/>
      <c r="S1347" s="73"/>
      <c r="T1347" s="72"/>
      <c r="U1347" s="73"/>
      <c r="V1347" s="72"/>
      <c r="W1347" s="73"/>
      <c r="X1347" s="72"/>
      <c r="Y1347" s="73"/>
      <c r="Z1347" s="74" t="b">
        <v>0</v>
      </c>
      <c r="AA1347" s="130">
        <f t="shared" si="535"/>
        <v>0</v>
      </c>
      <c r="AB1347" s="131">
        <f t="shared" si="536"/>
        <v>0</v>
      </c>
      <c r="AC1347" s="132">
        <f t="shared" si="537"/>
        <v>0</v>
      </c>
      <c r="AD1347" s="133">
        <f t="shared" si="538"/>
        <v>0</v>
      </c>
      <c r="AE1347" s="131">
        <f t="shared" si="539"/>
        <v>0</v>
      </c>
      <c r="AF1347" s="133">
        <f t="shared" si="540"/>
        <v>0</v>
      </c>
      <c r="AG1347" s="1"/>
    </row>
    <row r="1348" ht="21.0" customHeight="1">
      <c r="A1348" s="1"/>
      <c r="B1348" s="87" t="str">
        <f t="array" ref="B1348">"📌최근 인바디 결과 : "&amp;text(xlookup(B1340,'현황'!O:O,'현황'!O:O,,-1,-1),"m/d(ddd)")</f>
        <v>#REF!</v>
      </c>
      <c r="C1348" s="88"/>
      <c r="D1348" s="49"/>
      <c r="E1348" s="41"/>
      <c r="F1348" s="52" t="s">
        <v>40</v>
      </c>
      <c r="G1348" s="79"/>
      <c r="H1348" s="80"/>
      <c r="I1348" s="69"/>
      <c r="J1348" s="72"/>
      <c r="K1348" s="73"/>
      <c r="L1348" s="72"/>
      <c r="M1348" s="73"/>
      <c r="N1348" s="72"/>
      <c r="O1348" s="73"/>
      <c r="P1348" s="72"/>
      <c r="Q1348" s="73"/>
      <c r="R1348" s="72"/>
      <c r="S1348" s="73"/>
      <c r="T1348" s="72"/>
      <c r="U1348" s="73"/>
      <c r="V1348" s="72"/>
      <c r="W1348" s="73"/>
      <c r="X1348" s="72"/>
      <c r="Y1348" s="73"/>
      <c r="Z1348" s="74" t="b">
        <v>0</v>
      </c>
      <c r="AA1348" s="130">
        <f t="shared" si="535"/>
        <v>0</v>
      </c>
      <c r="AB1348" s="131">
        <f t="shared" si="536"/>
        <v>0</v>
      </c>
      <c r="AC1348" s="132">
        <f t="shared" si="537"/>
        <v>0</v>
      </c>
      <c r="AD1348" s="133">
        <f t="shared" si="538"/>
        <v>0</v>
      </c>
      <c r="AE1348" s="131">
        <f t="shared" si="539"/>
        <v>0</v>
      </c>
      <c r="AF1348" s="133">
        <f t="shared" si="540"/>
        <v>0</v>
      </c>
      <c r="AG1348" s="1"/>
    </row>
    <row r="1349" ht="21.0" customHeight="1">
      <c r="A1349" s="1"/>
      <c r="B1349" s="89" t="s">
        <v>44</v>
      </c>
      <c r="C1349" s="49"/>
      <c r="D1349" s="90">
        <f t="array" ref="D1349">iferror(vlookup(xlookup(B1340,'현황'!O:O,'현황'!O:O,,-1,-1),'현황'!O:S,2,false),0)</f>
        <v>0</v>
      </c>
      <c r="E1349" s="51" t="s">
        <v>45</v>
      </c>
      <c r="F1349" s="52" t="s">
        <v>34</v>
      </c>
      <c r="G1349" s="83"/>
      <c r="H1349" s="84"/>
      <c r="I1349" s="85"/>
      <c r="J1349" s="72"/>
      <c r="K1349" s="73"/>
      <c r="L1349" s="72"/>
      <c r="M1349" s="73"/>
      <c r="N1349" s="72"/>
      <c r="O1349" s="73"/>
      <c r="P1349" s="72"/>
      <c r="Q1349" s="73"/>
      <c r="R1349" s="72"/>
      <c r="S1349" s="73"/>
      <c r="T1349" s="72"/>
      <c r="U1349" s="73"/>
      <c r="V1349" s="72"/>
      <c r="W1349" s="73"/>
      <c r="X1349" s="72"/>
      <c r="Y1349" s="73"/>
      <c r="Z1349" s="74" t="b">
        <v>0</v>
      </c>
      <c r="AA1349" s="130">
        <f t="shared" si="535"/>
        <v>0</v>
      </c>
      <c r="AB1349" s="131">
        <f t="shared" si="536"/>
        <v>0</v>
      </c>
      <c r="AC1349" s="132">
        <f t="shared" si="537"/>
        <v>0</v>
      </c>
      <c r="AD1349" s="133">
        <f t="shared" si="538"/>
        <v>0</v>
      </c>
      <c r="AE1349" s="131">
        <f t="shared" si="539"/>
        <v>0</v>
      </c>
      <c r="AF1349" s="133">
        <f t="shared" si="540"/>
        <v>0</v>
      </c>
      <c r="AG1349" s="1"/>
    </row>
    <row r="1350" ht="21.0" customHeight="1">
      <c r="A1350" s="1"/>
      <c r="B1350" s="48" t="s">
        <v>46</v>
      </c>
      <c r="C1350" s="49"/>
      <c r="D1350" s="91">
        <f t="array" ref="D1350">iferror(vlookup(xlookup(B1340,'현황'!O:O,'현황'!O:O,,-1,-1),'현황'!O:S,3,false),0)</f>
        <v>0</v>
      </c>
      <c r="E1350" s="66"/>
      <c r="F1350" s="52" t="s">
        <v>37</v>
      </c>
      <c r="G1350" s="67"/>
      <c r="H1350" s="80"/>
      <c r="I1350" s="69"/>
      <c r="J1350" s="72"/>
      <c r="K1350" s="73"/>
      <c r="L1350" s="72"/>
      <c r="M1350" s="73"/>
      <c r="N1350" s="72"/>
      <c r="O1350" s="73"/>
      <c r="P1350" s="72"/>
      <c r="Q1350" s="73"/>
      <c r="R1350" s="72"/>
      <c r="S1350" s="73"/>
      <c r="T1350" s="72"/>
      <c r="U1350" s="73"/>
      <c r="V1350" s="72"/>
      <c r="W1350" s="73"/>
      <c r="X1350" s="72"/>
      <c r="Y1350" s="73"/>
      <c r="Z1350" s="74" t="b">
        <v>0</v>
      </c>
      <c r="AA1350" s="130">
        <f t="shared" si="535"/>
        <v>0</v>
      </c>
      <c r="AB1350" s="131">
        <f t="shared" si="536"/>
        <v>0</v>
      </c>
      <c r="AC1350" s="132">
        <f t="shared" si="537"/>
        <v>0</v>
      </c>
      <c r="AD1350" s="133">
        <f t="shared" si="538"/>
        <v>0</v>
      </c>
      <c r="AE1350" s="131">
        <f t="shared" si="539"/>
        <v>0</v>
      </c>
      <c r="AF1350" s="133">
        <f t="shared" si="540"/>
        <v>0</v>
      </c>
      <c r="AG1350" s="1"/>
    </row>
    <row r="1351" ht="21.0" customHeight="1">
      <c r="A1351" s="1"/>
      <c r="B1351" s="48" t="s">
        <v>47</v>
      </c>
      <c r="C1351" s="49"/>
      <c r="D1351" s="91">
        <f t="array" ref="D1351">iferror(vlookup(xlookup(B1340,'현황'!O:O,'현황'!O:O,,-1,-1),'현황'!O:S,4,false),0)</f>
        <v>0</v>
      </c>
      <c r="E1351" s="41"/>
      <c r="F1351" s="92" t="s">
        <v>40</v>
      </c>
      <c r="G1351" s="79"/>
      <c r="H1351" s="93"/>
      <c r="I1351" s="94"/>
      <c r="J1351" s="95"/>
      <c r="K1351" s="96"/>
      <c r="L1351" s="95"/>
      <c r="M1351" s="96"/>
      <c r="N1351" s="95"/>
      <c r="O1351" s="96"/>
      <c r="P1351" s="95"/>
      <c r="Q1351" s="96"/>
      <c r="R1351" s="95"/>
      <c r="S1351" s="96"/>
      <c r="T1351" s="95"/>
      <c r="U1351" s="96"/>
      <c r="V1351" s="95"/>
      <c r="W1351" s="96"/>
      <c r="X1351" s="95"/>
      <c r="Y1351" s="96"/>
      <c r="Z1351" s="97" t="b">
        <v>0</v>
      </c>
      <c r="AA1351" s="135">
        <f t="shared" si="535"/>
        <v>0</v>
      </c>
      <c r="AB1351" s="136">
        <f t="shared" si="536"/>
        <v>0</v>
      </c>
      <c r="AC1351" s="137">
        <f t="shared" si="537"/>
        <v>0</v>
      </c>
      <c r="AD1351" s="138">
        <f t="shared" si="538"/>
        <v>0</v>
      </c>
      <c r="AE1351" s="136">
        <f t="shared" si="539"/>
        <v>0</v>
      </c>
      <c r="AF1351" s="138">
        <f t="shared" si="540"/>
        <v>0</v>
      </c>
      <c r="AG1351" s="1"/>
    </row>
    <row r="1352" ht="21.0" customHeight="1">
      <c r="A1352" s="1"/>
      <c r="B1352" s="102" t="s">
        <v>48</v>
      </c>
      <c r="C1352" s="103"/>
      <c r="D1352" s="104">
        <f>iferror(D1351/D1349,0)</f>
        <v>0</v>
      </c>
      <c r="E1352" s="102" t="s">
        <v>49</v>
      </c>
      <c r="F1352" s="103"/>
      <c r="G1352" s="105"/>
      <c r="H1352" s="106" t="s">
        <v>50</v>
      </c>
      <c r="I1352" s="107"/>
      <c r="J1352" s="11"/>
      <c r="K1352" s="11"/>
      <c r="L1352" s="11"/>
      <c r="M1352" s="11"/>
      <c r="N1352" s="11"/>
      <c r="O1352" s="11"/>
      <c r="P1352" s="108" t="s">
        <v>51</v>
      </c>
      <c r="Q1352" s="12"/>
      <c r="R1352" s="109"/>
      <c r="S1352" s="11"/>
      <c r="T1352" s="11"/>
      <c r="U1352" s="11"/>
      <c r="V1352" s="11"/>
      <c r="W1352" s="11"/>
      <c r="X1352" s="11"/>
      <c r="Y1352" s="11"/>
      <c r="Z1352" s="12"/>
      <c r="AA1352" s="139">
        <f>SUM(AA1343:AA1351)</f>
        <v>0</v>
      </c>
      <c r="AB1352" s="140" t="s">
        <v>277</v>
      </c>
      <c r="AG1352" s="1"/>
    </row>
    <row r="1353" ht="21.0" customHeight="1">
      <c r="A1353" s="1"/>
      <c r="B1353" s="1"/>
      <c r="C1353" s="1"/>
      <c r="D1353" s="1"/>
      <c r="E1353" s="1"/>
      <c r="F1353" s="1"/>
      <c r="G1353" s="1"/>
      <c r="H1353" s="1"/>
      <c r="I1353" s="1"/>
      <c r="AA1353" s="1"/>
      <c r="AB1353" s="1"/>
      <c r="AC1353" s="3"/>
      <c r="AD1353" s="1"/>
      <c r="AE1353" s="1"/>
      <c r="AF1353" s="1"/>
      <c r="AG1353" s="1"/>
    </row>
    <row r="1354" ht="21.0" customHeight="1">
      <c r="A1354" s="1"/>
      <c r="B1354" s="4" t="s">
        <v>1</v>
      </c>
      <c r="C1354" s="5"/>
      <c r="D1354" s="6" t="s">
        <v>2</v>
      </c>
      <c r="E1354" s="7"/>
      <c r="F1354" s="7"/>
      <c r="G1354" s="5"/>
      <c r="H1354" s="8" t="s">
        <v>3</v>
      </c>
      <c r="I1354" s="8" t="s">
        <v>4</v>
      </c>
      <c r="J1354" s="9" t="s">
        <v>5</v>
      </c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5"/>
      <c r="AA1354" s="117" t="s">
        <v>6</v>
      </c>
      <c r="AB1354" s="11"/>
      <c r="AC1354" s="11"/>
      <c r="AD1354" s="11"/>
      <c r="AE1354" s="11"/>
      <c r="AF1354" s="12"/>
      <c r="AG1354" s="1"/>
    </row>
    <row r="1355" ht="21.0" customHeight="1">
      <c r="A1355" s="1"/>
      <c r="B1355" s="149" t="s">
        <v>138</v>
      </c>
      <c r="C1355" s="14" t="str">
        <f>if(B1355="0/0","",choose(weekday(B1355),"(일)","(월)","(화)","(수)","(목)","(금)","(토)"))</f>
        <v/>
      </c>
      <c r="D1355" s="15" t="s">
        <v>7</v>
      </c>
      <c r="E1355" s="16" t="s">
        <v>8</v>
      </c>
      <c r="F1355" s="17"/>
      <c r="G1355" s="18" t="s">
        <v>9</v>
      </c>
      <c r="H1355" s="150" t="s">
        <v>139</v>
      </c>
      <c r="I1355" s="151"/>
      <c r="J1355" s="21" t="s">
        <v>12</v>
      </c>
      <c r="K1355" s="22"/>
      <c r="L1355" s="21" t="s">
        <v>13</v>
      </c>
      <c r="M1355" s="22"/>
      <c r="N1355" s="21" t="s">
        <v>14</v>
      </c>
      <c r="O1355" s="22"/>
      <c r="P1355" s="21" t="s">
        <v>15</v>
      </c>
      <c r="Q1355" s="22"/>
      <c r="R1355" s="23" t="s">
        <v>16</v>
      </c>
      <c r="S1355" s="22"/>
      <c r="T1355" s="23" t="s">
        <v>17</v>
      </c>
      <c r="U1355" s="22"/>
      <c r="V1355" s="23" t="s">
        <v>18</v>
      </c>
      <c r="W1355" s="22"/>
      <c r="X1355" s="23" t="s">
        <v>19</v>
      </c>
      <c r="Y1355" s="22"/>
      <c r="Z1355" s="24" t="s">
        <v>278</v>
      </c>
      <c r="AA1355" s="118" t="s">
        <v>21</v>
      </c>
      <c r="AB1355" s="119" t="s">
        <v>22</v>
      </c>
      <c r="AC1355" s="7"/>
      <c r="AD1355" s="22"/>
      <c r="AE1355" s="120" t="s">
        <v>23</v>
      </c>
      <c r="AF1355" s="22"/>
      <c r="AG1355" s="1"/>
    </row>
    <row r="1356" ht="21.0" customHeight="1">
      <c r="A1356" s="1"/>
      <c r="B1356" s="27">
        <f>iferror(B1355-'현황'!$C$4+1,0)</f>
        <v>0</v>
      </c>
      <c r="C1356" s="28"/>
      <c r="D1356" s="29">
        <v>0.0</v>
      </c>
      <c r="E1356" s="30">
        <v>0.0</v>
      </c>
      <c r="F1356" s="31"/>
      <c r="G1356" s="32">
        <v>0.0</v>
      </c>
      <c r="H1356" s="33">
        <v>0.0</v>
      </c>
      <c r="I1356" s="34"/>
      <c r="J1356" s="35"/>
      <c r="K1356" s="36"/>
      <c r="L1356" s="35"/>
      <c r="M1356" s="36"/>
      <c r="N1356" s="35"/>
      <c r="O1356" s="36"/>
      <c r="P1356" s="35"/>
      <c r="Q1356" s="36"/>
      <c r="R1356" s="35"/>
      <c r="S1356" s="36"/>
      <c r="T1356" s="35"/>
      <c r="U1356" s="36"/>
      <c r="V1356" s="35"/>
      <c r="W1356" s="36"/>
      <c r="X1356" s="35"/>
      <c r="Y1356" s="36"/>
      <c r="Z1356" s="37"/>
      <c r="AA1356" s="37"/>
      <c r="AB1356" s="35"/>
      <c r="AC1356" s="38"/>
      <c r="AD1356" s="36"/>
      <c r="AE1356" s="35"/>
      <c r="AF1356" s="36"/>
      <c r="AG1356" s="1"/>
    </row>
    <row r="1357" ht="21.0" customHeight="1">
      <c r="A1357" s="1"/>
      <c r="B1357" s="39" t="s">
        <v>24</v>
      </c>
      <c r="C1357" s="40"/>
      <c r="D1357" s="41"/>
      <c r="E1357" s="42" t="s">
        <v>25</v>
      </c>
      <c r="F1357" s="40"/>
      <c r="G1357" s="41"/>
      <c r="H1357" s="43" t="s">
        <v>26</v>
      </c>
      <c r="J1357" s="44" t="s">
        <v>27</v>
      </c>
      <c r="K1357" s="45" t="s">
        <v>28</v>
      </c>
      <c r="L1357" s="44" t="s">
        <v>27</v>
      </c>
      <c r="M1357" s="45" t="s">
        <v>28</v>
      </c>
      <c r="N1357" s="44" t="s">
        <v>27</v>
      </c>
      <c r="O1357" s="45" t="s">
        <v>28</v>
      </c>
      <c r="P1357" s="44" t="s">
        <v>27</v>
      </c>
      <c r="Q1357" s="45" t="s">
        <v>28</v>
      </c>
      <c r="R1357" s="44" t="s">
        <v>27</v>
      </c>
      <c r="S1357" s="45" t="s">
        <v>28</v>
      </c>
      <c r="T1357" s="44" t="s">
        <v>27</v>
      </c>
      <c r="U1357" s="45" t="s">
        <v>28</v>
      </c>
      <c r="V1357" s="44" t="s">
        <v>27</v>
      </c>
      <c r="W1357" s="45" t="s">
        <v>28</v>
      </c>
      <c r="X1357" s="44" t="s">
        <v>27</v>
      </c>
      <c r="Y1357" s="45" t="s">
        <v>28</v>
      </c>
      <c r="Z1357" s="46"/>
      <c r="AA1357" s="46"/>
      <c r="AB1357" s="121" t="s">
        <v>29</v>
      </c>
      <c r="AC1357" s="122" t="s">
        <v>30</v>
      </c>
      <c r="AD1357" s="123" t="s">
        <v>31</v>
      </c>
      <c r="AE1357" s="121" t="s">
        <v>27</v>
      </c>
      <c r="AF1357" s="123" t="s">
        <v>28</v>
      </c>
      <c r="AG1357" s="1"/>
    </row>
    <row r="1358" ht="21.0" customHeight="1">
      <c r="A1358" s="1"/>
      <c r="B1358" s="48" t="s">
        <v>32</v>
      </c>
      <c r="C1358" s="49"/>
      <c r="D1358" s="50"/>
      <c r="E1358" s="51" t="s">
        <v>33</v>
      </c>
      <c r="F1358" s="52" t="s">
        <v>34</v>
      </c>
      <c r="G1358" s="53"/>
      <c r="H1358" s="148"/>
      <c r="I1358" s="55"/>
      <c r="J1358" s="58"/>
      <c r="K1358" s="59"/>
      <c r="L1358" s="58"/>
      <c r="M1358" s="59"/>
      <c r="N1358" s="58"/>
      <c r="O1358" s="59"/>
      <c r="P1358" s="58"/>
      <c r="Q1358" s="59"/>
      <c r="R1358" s="58"/>
      <c r="S1358" s="59"/>
      <c r="T1358" s="58"/>
      <c r="U1358" s="59"/>
      <c r="V1358" s="58"/>
      <c r="W1358" s="59"/>
      <c r="X1358" s="58"/>
      <c r="Y1358" s="59"/>
      <c r="Z1358" s="60" t="b">
        <v>0</v>
      </c>
      <c r="AA1358" s="125">
        <f t="shared" ref="AA1358:AA1366" si="541">(J1358*K1358+L1358*M1358+N1358*O1358+P1358*Q1358+R1358*S1358+T1358*U1358+V1358*W1358+X1358*Y1358)*if(Z1358=true,0.453592,1)</f>
        <v>0</v>
      </c>
      <c r="AB1358" s="126">
        <f t="shared" ref="AB1358:AB1366" si="542">SUM(AE1358*AF1358*0.025,AE1358)</f>
        <v>0</v>
      </c>
      <c r="AC1358" s="127">
        <f t="shared" ref="AC1358:AC1366" si="543">AB1358*87%</f>
        <v>0</v>
      </c>
      <c r="AD1358" s="128">
        <f t="shared" ref="AD1358:AD1366" si="544">AB1358*67%</f>
        <v>0</v>
      </c>
      <c r="AE1358" s="126">
        <f t="shared" ref="AE1358:AE1366" si="545">MAX(J1358,L1358,N1358,P1358,R1358,T1358,V1358,X1358)*if(Z1358=true,0.453592,1)</f>
        <v>0</v>
      </c>
      <c r="AF1358" s="128">
        <f t="shared" ref="AF1358:AF1366" si="546">MAX(IF(J1358*if(Z1358=true,0.453592,1)=$AE1358,K1358,0),IF(L1358*if(Z1358=true,0.453592,1)=$AE1358,M1358,0),IF(N1358*if(Z1358=true,0.453592,1)=$AE1358,O1358,0),IF(P1358*if(Z1358=true,0.453592,1)=$AE1358,Q1358,0),IF(R1358*if(Z1358=true,0.453592,1)=$AE1358,S1358,0),IF(T1358*if(Z1358=true,0.453592,1)=$AE1358,U1358,0),IF(V1358*if(Z1358=true,0.453592,1)=$AE1358,W1358,0),IF(X1358*if(Z1358=true,0.453592,1)=$AE1358,Y1358,0))</f>
        <v>0</v>
      </c>
      <c r="AG1358" s="1"/>
    </row>
    <row r="1359" ht="21.0" customHeight="1">
      <c r="A1359" s="1"/>
      <c r="B1359" s="48" t="s">
        <v>36</v>
      </c>
      <c r="C1359" s="49"/>
      <c r="D1359" s="65"/>
      <c r="E1359" s="66"/>
      <c r="F1359" s="52" t="s">
        <v>37</v>
      </c>
      <c r="G1359" s="67"/>
      <c r="H1359" s="129"/>
      <c r="I1359" s="69"/>
      <c r="J1359" s="72"/>
      <c r="K1359" s="73"/>
      <c r="L1359" s="72"/>
      <c r="M1359" s="73"/>
      <c r="N1359" s="72"/>
      <c r="O1359" s="73"/>
      <c r="P1359" s="72"/>
      <c r="Q1359" s="73"/>
      <c r="R1359" s="72"/>
      <c r="S1359" s="73"/>
      <c r="T1359" s="72"/>
      <c r="U1359" s="73"/>
      <c r="V1359" s="72"/>
      <c r="W1359" s="73"/>
      <c r="X1359" s="72"/>
      <c r="Y1359" s="73"/>
      <c r="Z1359" s="74" t="b">
        <v>0</v>
      </c>
      <c r="AA1359" s="130">
        <f t="shared" si="541"/>
        <v>0</v>
      </c>
      <c r="AB1359" s="131">
        <f t="shared" si="542"/>
        <v>0</v>
      </c>
      <c r="AC1359" s="132">
        <f t="shared" si="543"/>
        <v>0</v>
      </c>
      <c r="AD1359" s="133">
        <f t="shared" si="544"/>
        <v>0</v>
      </c>
      <c r="AE1359" s="131">
        <f t="shared" si="545"/>
        <v>0</v>
      </c>
      <c r="AF1359" s="133">
        <f t="shared" si="546"/>
        <v>0</v>
      </c>
      <c r="AG1359" s="1"/>
    </row>
    <row r="1360" ht="21.0" customHeight="1">
      <c r="A1360" s="1"/>
      <c r="B1360" s="48" t="s">
        <v>39</v>
      </c>
      <c r="C1360" s="49"/>
      <c r="D1360" s="65"/>
      <c r="E1360" s="41"/>
      <c r="F1360" s="52" t="s">
        <v>40</v>
      </c>
      <c r="G1360" s="79"/>
      <c r="H1360" s="80"/>
      <c r="I1360" s="69"/>
      <c r="J1360" s="72"/>
      <c r="K1360" s="73"/>
      <c r="L1360" s="72"/>
      <c r="M1360" s="73"/>
      <c r="N1360" s="72"/>
      <c r="O1360" s="73"/>
      <c r="P1360" s="72"/>
      <c r="Q1360" s="73"/>
      <c r="R1360" s="72"/>
      <c r="S1360" s="73"/>
      <c r="T1360" s="72"/>
      <c r="U1360" s="73"/>
      <c r="V1360" s="72"/>
      <c r="W1360" s="73"/>
      <c r="X1360" s="72"/>
      <c r="Y1360" s="73"/>
      <c r="Z1360" s="74" t="b">
        <v>0</v>
      </c>
      <c r="AA1360" s="130">
        <f t="shared" si="541"/>
        <v>0</v>
      </c>
      <c r="AB1360" s="131">
        <f t="shared" si="542"/>
        <v>0</v>
      </c>
      <c r="AC1360" s="132">
        <f t="shared" si="543"/>
        <v>0</v>
      </c>
      <c r="AD1360" s="133">
        <f t="shared" si="544"/>
        <v>0</v>
      </c>
      <c r="AE1360" s="131">
        <f t="shared" si="545"/>
        <v>0</v>
      </c>
      <c r="AF1360" s="133">
        <f t="shared" si="546"/>
        <v>0</v>
      </c>
      <c r="AG1360" s="1"/>
    </row>
    <row r="1361" ht="21.0" customHeight="1">
      <c r="A1361" s="1"/>
      <c r="B1361" s="48" t="s">
        <v>41</v>
      </c>
      <c r="C1361" s="81"/>
      <c r="D1361" s="82" t="b">
        <v>0</v>
      </c>
      <c r="E1361" s="51" t="s">
        <v>42</v>
      </c>
      <c r="F1361" s="52" t="s">
        <v>34</v>
      </c>
      <c r="G1361" s="83"/>
      <c r="H1361" s="84"/>
      <c r="I1361" s="85"/>
      <c r="J1361" s="72"/>
      <c r="K1361" s="73"/>
      <c r="L1361" s="72"/>
      <c r="M1361" s="73"/>
      <c r="N1361" s="72"/>
      <c r="O1361" s="73"/>
      <c r="P1361" s="72"/>
      <c r="Q1361" s="73"/>
      <c r="R1361" s="72"/>
      <c r="S1361" s="73"/>
      <c r="T1361" s="72"/>
      <c r="U1361" s="73"/>
      <c r="V1361" s="72"/>
      <c r="W1361" s="73"/>
      <c r="X1361" s="72"/>
      <c r="Y1361" s="73"/>
      <c r="Z1361" s="74" t="b">
        <v>0</v>
      </c>
      <c r="AA1361" s="130">
        <f t="shared" si="541"/>
        <v>0</v>
      </c>
      <c r="AB1361" s="131">
        <f t="shared" si="542"/>
        <v>0</v>
      </c>
      <c r="AC1361" s="132">
        <f t="shared" si="543"/>
        <v>0</v>
      </c>
      <c r="AD1361" s="133">
        <f t="shared" si="544"/>
        <v>0</v>
      </c>
      <c r="AE1361" s="131">
        <f t="shared" si="545"/>
        <v>0</v>
      </c>
      <c r="AF1361" s="133">
        <f t="shared" si="546"/>
        <v>0</v>
      </c>
      <c r="AG1361" s="1"/>
    </row>
    <row r="1362" ht="21.0" customHeight="1">
      <c r="A1362" s="1"/>
      <c r="B1362" s="48" t="s">
        <v>43</v>
      </c>
      <c r="C1362" s="49"/>
      <c r="D1362" s="86" t="b">
        <v>0</v>
      </c>
      <c r="E1362" s="66"/>
      <c r="F1362" s="52" t="s">
        <v>37</v>
      </c>
      <c r="G1362" s="67"/>
      <c r="H1362" s="80"/>
      <c r="I1362" s="69"/>
      <c r="J1362" s="72"/>
      <c r="K1362" s="73"/>
      <c r="L1362" s="72"/>
      <c r="M1362" s="73"/>
      <c r="N1362" s="72"/>
      <c r="O1362" s="73"/>
      <c r="P1362" s="72"/>
      <c r="Q1362" s="73"/>
      <c r="R1362" s="72"/>
      <c r="S1362" s="73"/>
      <c r="T1362" s="72"/>
      <c r="U1362" s="73"/>
      <c r="V1362" s="72"/>
      <c r="W1362" s="73"/>
      <c r="X1362" s="72"/>
      <c r="Y1362" s="73"/>
      <c r="Z1362" s="74" t="b">
        <v>0</v>
      </c>
      <c r="AA1362" s="130">
        <f t="shared" si="541"/>
        <v>0</v>
      </c>
      <c r="AB1362" s="131">
        <f t="shared" si="542"/>
        <v>0</v>
      </c>
      <c r="AC1362" s="132">
        <f t="shared" si="543"/>
        <v>0</v>
      </c>
      <c r="AD1362" s="133">
        <f t="shared" si="544"/>
        <v>0</v>
      </c>
      <c r="AE1362" s="131">
        <f t="shared" si="545"/>
        <v>0</v>
      </c>
      <c r="AF1362" s="133">
        <f t="shared" si="546"/>
        <v>0</v>
      </c>
      <c r="AG1362" s="1"/>
    </row>
    <row r="1363" ht="21.0" customHeight="1">
      <c r="A1363" s="1"/>
      <c r="B1363" s="87" t="str">
        <f t="array" ref="B1363">"📌최근 인바디 결과 : "&amp;text(xlookup(B1355,'현황'!O:O,'현황'!O:O,,-1,-1),"m/d(ddd)")</f>
        <v>#REF!</v>
      </c>
      <c r="C1363" s="88"/>
      <c r="D1363" s="49"/>
      <c r="E1363" s="41"/>
      <c r="F1363" s="52" t="s">
        <v>40</v>
      </c>
      <c r="G1363" s="79"/>
      <c r="H1363" s="80"/>
      <c r="I1363" s="69"/>
      <c r="J1363" s="72"/>
      <c r="K1363" s="73"/>
      <c r="L1363" s="72"/>
      <c r="M1363" s="73"/>
      <c r="N1363" s="72"/>
      <c r="O1363" s="73"/>
      <c r="P1363" s="72"/>
      <c r="Q1363" s="73"/>
      <c r="R1363" s="72"/>
      <c r="S1363" s="73"/>
      <c r="T1363" s="72"/>
      <c r="U1363" s="73"/>
      <c r="V1363" s="72"/>
      <c r="W1363" s="73"/>
      <c r="X1363" s="72"/>
      <c r="Y1363" s="73"/>
      <c r="Z1363" s="74" t="b">
        <v>0</v>
      </c>
      <c r="AA1363" s="130">
        <f t="shared" si="541"/>
        <v>0</v>
      </c>
      <c r="AB1363" s="131">
        <f t="shared" si="542"/>
        <v>0</v>
      </c>
      <c r="AC1363" s="132">
        <f t="shared" si="543"/>
        <v>0</v>
      </c>
      <c r="AD1363" s="133">
        <f t="shared" si="544"/>
        <v>0</v>
      </c>
      <c r="AE1363" s="131">
        <f t="shared" si="545"/>
        <v>0</v>
      </c>
      <c r="AF1363" s="133">
        <f t="shared" si="546"/>
        <v>0</v>
      </c>
      <c r="AG1363" s="1"/>
    </row>
    <row r="1364" ht="21.0" customHeight="1">
      <c r="A1364" s="1"/>
      <c r="B1364" s="89" t="s">
        <v>44</v>
      </c>
      <c r="C1364" s="49"/>
      <c r="D1364" s="90">
        <f t="array" ref="D1364">iferror(vlookup(xlookup(B1355,'현황'!O:O,'현황'!O:O,,-1,-1),'현황'!O:S,2,false),0)</f>
        <v>0</v>
      </c>
      <c r="E1364" s="51" t="s">
        <v>45</v>
      </c>
      <c r="F1364" s="52" t="s">
        <v>34</v>
      </c>
      <c r="G1364" s="83"/>
      <c r="H1364" s="84"/>
      <c r="I1364" s="85"/>
      <c r="J1364" s="72"/>
      <c r="K1364" s="73"/>
      <c r="L1364" s="72"/>
      <c r="M1364" s="73"/>
      <c r="N1364" s="72"/>
      <c r="O1364" s="73"/>
      <c r="P1364" s="72"/>
      <c r="Q1364" s="73"/>
      <c r="R1364" s="72"/>
      <c r="S1364" s="73"/>
      <c r="T1364" s="72"/>
      <c r="U1364" s="73"/>
      <c r="V1364" s="72"/>
      <c r="W1364" s="73"/>
      <c r="X1364" s="72"/>
      <c r="Y1364" s="73"/>
      <c r="Z1364" s="74" t="b">
        <v>0</v>
      </c>
      <c r="AA1364" s="130">
        <f t="shared" si="541"/>
        <v>0</v>
      </c>
      <c r="AB1364" s="131">
        <f t="shared" si="542"/>
        <v>0</v>
      </c>
      <c r="AC1364" s="132">
        <f t="shared" si="543"/>
        <v>0</v>
      </c>
      <c r="AD1364" s="133">
        <f t="shared" si="544"/>
        <v>0</v>
      </c>
      <c r="AE1364" s="131">
        <f t="shared" si="545"/>
        <v>0</v>
      </c>
      <c r="AF1364" s="133">
        <f t="shared" si="546"/>
        <v>0</v>
      </c>
      <c r="AG1364" s="1"/>
    </row>
    <row r="1365" ht="21.0" customHeight="1">
      <c r="A1365" s="1"/>
      <c r="B1365" s="48" t="s">
        <v>46</v>
      </c>
      <c r="C1365" s="49"/>
      <c r="D1365" s="91">
        <f t="array" ref="D1365">iferror(vlookup(xlookup(B1355,'현황'!O:O,'현황'!O:O,,-1,-1),'현황'!O:S,3,false),0)</f>
        <v>0</v>
      </c>
      <c r="E1365" s="66"/>
      <c r="F1365" s="52" t="s">
        <v>37</v>
      </c>
      <c r="G1365" s="67"/>
      <c r="H1365" s="80"/>
      <c r="I1365" s="69"/>
      <c r="J1365" s="72"/>
      <c r="K1365" s="73"/>
      <c r="L1365" s="72"/>
      <c r="M1365" s="73"/>
      <c r="N1365" s="72"/>
      <c r="O1365" s="73"/>
      <c r="P1365" s="72"/>
      <c r="Q1365" s="73"/>
      <c r="R1365" s="72"/>
      <c r="S1365" s="73"/>
      <c r="T1365" s="72"/>
      <c r="U1365" s="73"/>
      <c r="V1365" s="72"/>
      <c r="W1365" s="73"/>
      <c r="X1365" s="72"/>
      <c r="Y1365" s="73"/>
      <c r="Z1365" s="74" t="b">
        <v>0</v>
      </c>
      <c r="AA1365" s="130">
        <f t="shared" si="541"/>
        <v>0</v>
      </c>
      <c r="AB1365" s="131">
        <f t="shared" si="542"/>
        <v>0</v>
      </c>
      <c r="AC1365" s="132">
        <f t="shared" si="543"/>
        <v>0</v>
      </c>
      <c r="AD1365" s="133">
        <f t="shared" si="544"/>
        <v>0</v>
      </c>
      <c r="AE1365" s="131">
        <f t="shared" si="545"/>
        <v>0</v>
      </c>
      <c r="AF1365" s="133">
        <f t="shared" si="546"/>
        <v>0</v>
      </c>
      <c r="AG1365" s="1"/>
    </row>
    <row r="1366" ht="21.0" customHeight="1">
      <c r="A1366" s="1"/>
      <c r="B1366" s="48" t="s">
        <v>47</v>
      </c>
      <c r="C1366" s="49"/>
      <c r="D1366" s="91">
        <f t="array" ref="D1366">iferror(vlookup(xlookup(B1355,'현황'!O:O,'현황'!O:O,,-1,-1),'현황'!O:S,4,false),0)</f>
        <v>0</v>
      </c>
      <c r="E1366" s="41"/>
      <c r="F1366" s="92" t="s">
        <v>40</v>
      </c>
      <c r="G1366" s="79"/>
      <c r="H1366" s="93"/>
      <c r="I1366" s="94"/>
      <c r="J1366" s="95"/>
      <c r="K1366" s="96"/>
      <c r="L1366" s="95"/>
      <c r="M1366" s="96"/>
      <c r="N1366" s="95"/>
      <c r="O1366" s="96"/>
      <c r="P1366" s="95"/>
      <c r="Q1366" s="96"/>
      <c r="R1366" s="95"/>
      <c r="S1366" s="96"/>
      <c r="T1366" s="95"/>
      <c r="U1366" s="96"/>
      <c r="V1366" s="95"/>
      <c r="W1366" s="96"/>
      <c r="X1366" s="95"/>
      <c r="Y1366" s="96"/>
      <c r="Z1366" s="97" t="b">
        <v>0</v>
      </c>
      <c r="AA1366" s="135">
        <f t="shared" si="541"/>
        <v>0</v>
      </c>
      <c r="AB1366" s="136">
        <f t="shared" si="542"/>
        <v>0</v>
      </c>
      <c r="AC1366" s="137">
        <f t="shared" si="543"/>
        <v>0</v>
      </c>
      <c r="AD1366" s="138">
        <f t="shared" si="544"/>
        <v>0</v>
      </c>
      <c r="AE1366" s="136">
        <f t="shared" si="545"/>
        <v>0</v>
      </c>
      <c r="AF1366" s="138">
        <f t="shared" si="546"/>
        <v>0</v>
      </c>
      <c r="AG1366" s="1"/>
    </row>
    <row r="1367" ht="21.0" customHeight="1">
      <c r="A1367" s="1"/>
      <c r="B1367" s="102" t="s">
        <v>48</v>
      </c>
      <c r="C1367" s="103"/>
      <c r="D1367" s="104">
        <f>iferror(D1366/D1364,0)</f>
        <v>0</v>
      </c>
      <c r="E1367" s="102" t="s">
        <v>49</v>
      </c>
      <c r="F1367" s="103"/>
      <c r="G1367" s="105"/>
      <c r="H1367" s="106" t="s">
        <v>50</v>
      </c>
      <c r="I1367" s="107"/>
      <c r="J1367" s="11"/>
      <c r="K1367" s="11"/>
      <c r="L1367" s="11"/>
      <c r="M1367" s="11"/>
      <c r="N1367" s="11"/>
      <c r="O1367" s="11"/>
      <c r="P1367" s="108" t="s">
        <v>51</v>
      </c>
      <c r="Q1367" s="12"/>
      <c r="R1367" s="109"/>
      <c r="S1367" s="11"/>
      <c r="T1367" s="11"/>
      <c r="U1367" s="11"/>
      <c r="V1367" s="11"/>
      <c r="W1367" s="11"/>
      <c r="X1367" s="11"/>
      <c r="Y1367" s="11"/>
      <c r="Z1367" s="12"/>
      <c r="AA1367" s="139">
        <f>SUM(AA1358:AA1366)</f>
        <v>0</v>
      </c>
      <c r="AB1367" s="140" t="s">
        <v>279</v>
      </c>
      <c r="AG1367" s="1"/>
    </row>
    <row r="1368" ht="21.0" customHeight="1">
      <c r="A1368" s="1"/>
      <c r="B1368" s="1"/>
      <c r="C1368" s="1"/>
      <c r="D1368" s="1"/>
      <c r="E1368" s="1"/>
      <c r="F1368" s="1"/>
      <c r="G1368" s="1"/>
      <c r="H1368" s="1"/>
      <c r="I1368" s="1"/>
      <c r="AA1368" s="1"/>
      <c r="AB1368" s="1"/>
      <c r="AC1368" s="3"/>
      <c r="AD1368" s="1"/>
      <c r="AE1368" s="1"/>
      <c r="AF1368" s="1"/>
      <c r="AG1368" s="1"/>
    </row>
    <row r="1369" ht="21.0" customHeight="1">
      <c r="A1369" s="1"/>
      <c r="B1369" s="4" t="s">
        <v>1</v>
      </c>
      <c r="C1369" s="5"/>
      <c r="D1369" s="6" t="s">
        <v>2</v>
      </c>
      <c r="E1369" s="7"/>
      <c r="F1369" s="7"/>
      <c r="G1369" s="5"/>
      <c r="H1369" s="8" t="s">
        <v>3</v>
      </c>
      <c r="I1369" s="8" t="s">
        <v>4</v>
      </c>
      <c r="J1369" s="9" t="s">
        <v>5</v>
      </c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5"/>
      <c r="AA1369" s="117" t="s">
        <v>6</v>
      </c>
      <c r="AB1369" s="11"/>
      <c r="AC1369" s="11"/>
      <c r="AD1369" s="11"/>
      <c r="AE1369" s="11"/>
      <c r="AF1369" s="12"/>
      <c r="AG1369" s="1"/>
    </row>
    <row r="1370" ht="21.0" customHeight="1">
      <c r="A1370" s="1"/>
      <c r="B1370" s="149" t="s">
        <v>138</v>
      </c>
      <c r="C1370" s="14" t="str">
        <f>if(B1370="0/0","",choose(weekday(B1370),"(일)","(월)","(화)","(수)","(목)","(금)","(토)"))</f>
        <v/>
      </c>
      <c r="D1370" s="15" t="s">
        <v>7</v>
      </c>
      <c r="E1370" s="16" t="s">
        <v>8</v>
      </c>
      <c r="F1370" s="17"/>
      <c r="G1370" s="18" t="s">
        <v>9</v>
      </c>
      <c r="H1370" s="150" t="s">
        <v>139</v>
      </c>
      <c r="I1370" s="151"/>
      <c r="J1370" s="21" t="s">
        <v>12</v>
      </c>
      <c r="K1370" s="22"/>
      <c r="L1370" s="21" t="s">
        <v>13</v>
      </c>
      <c r="M1370" s="22"/>
      <c r="N1370" s="21" t="s">
        <v>14</v>
      </c>
      <c r="O1370" s="22"/>
      <c r="P1370" s="21" t="s">
        <v>15</v>
      </c>
      <c r="Q1370" s="22"/>
      <c r="R1370" s="23" t="s">
        <v>16</v>
      </c>
      <c r="S1370" s="22"/>
      <c r="T1370" s="23" t="s">
        <v>17</v>
      </c>
      <c r="U1370" s="22"/>
      <c r="V1370" s="23" t="s">
        <v>18</v>
      </c>
      <c r="W1370" s="22"/>
      <c r="X1370" s="23" t="s">
        <v>19</v>
      </c>
      <c r="Y1370" s="22"/>
      <c r="Z1370" s="24" t="s">
        <v>280</v>
      </c>
      <c r="AA1370" s="118" t="s">
        <v>21</v>
      </c>
      <c r="AB1370" s="119" t="s">
        <v>22</v>
      </c>
      <c r="AC1370" s="7"/>
      <c r="AD1370" s="22"/>
      <c r="AE1370" s="120" t="s">
        <v>23</v>
      </c>
      <c r="AF1370" s="22"/>
      <c r="AG1370" s="1"/>
    </row>
    <row r="1371" ht="21.0" customHeight="1">
      <c r="A1371" s="1"/>
      <c r="B1371" s="27">
        <f>iferror(B1370-'현황'!$C$4+1,0)</f>
        <v>0</v>
      </c>
      <c r="C1371" s="28"/>
      <c r="D1371" s="29">
        <v>0.0</v>
      </c>
      <c r="E1371" s="30">
        <v>0.0</v>
      </c>
      <c r="F1371" s="31"/>
      <c r="G1371" s="32">
        <v>0.0</v>
      </c>
      <c r="H1371" s="33">
        <v>0.0</v>
      </c>
      <c r="I1371" s="34"/>
      <c r="J1371" s="35"/>
      <c r="K1371" s="36"/>
      <c r="L1371" s="35"/>
      <c r="M1371" s="36"/>
      <c r="N1371" s="35"/>
      <c r="O1371" s="36"/>
      <c r="P1371" s="35"/>
      <c r="Q1371" s="36"/>
      <c r="R1371" s="35"/>
      <c r="S1371" s="36"/>
      <c r="T1371" s="35"/>
      <c r="U1371" s="36"/>
      <c r="V1371" s="35"/>
      <c r="W1371" s="36"/>
      <c r="X1371" s="35"/>
      <c r="Y1371" s="36"/>
      <c r="Z1371" s="37"/>
      <c r="AA1371" s="37"/>
      <c r="AB1371" s="35"/>
      <c r="AC1371" s="38"/>
      <c r="AD1371" s="36"/>
      <c r="AE1371" s="35"/>
      <c r="AF1371" s="36"/>
      <c r="AG1371" s="1"/>
    </row>
    <row r="1372" ht="21.0" customHeight="1">
      <c r="A1372" s="1"/>
      <c r="B1372" s="39" t="s">
        <v>24</v>
      </c>
      <c r="C1372" s="40"/>
      <c r="D1372" s="41"/>
      <c r="E1372" s="42" t="s">
        <v>25</v>
      </c>
      <c r="F1372" s="40"/>
      <c r="G1372" s="41"/>
      <c r="H1372" s="43" t="s">
        <v>26</v>
      </c>
      <c r="J1372" s="44" t="s">
        <v>27</v>
      </c>
      <c r="K1372" s="45" t="s">
        <v>28</v>
      </c>
      <c r="L1372" s="44" t="s">
        <v>27</v>
      </c>
      <c r="M1372" s="45" t="s">
        <v>28</v>
      </c>
      <c r="N1372" s="44" t="s">
        <v>27</v>
      </c>
      <c r="O1372" s="45" t="s">
        <v>28</v>
      </c>
      <c r="P1372" s="44" t="s">
        <v>27</v>
      </c>
      <c r="Q1372" s="45" t="s">
        <v>28</v>
      </c>
      <c r="R1372" s="44" t="s">
        <v>27</v>
      </c>
      <c r="S1372" s="45" t="s">
        <v>28</v>
      </c>
      <c r="T1372" s="44" t="s">
        <v>27</v>
      </c>
      <c r="U1372" s="45" t="s">
        <v>28</v>
      </c>
      <c r="V1372" s="44" t="s">
        <v>27</v>
      </c>
      <c r="W1372" s="45" t="s">
        <v>28</v>
      </c>
      <c r="X1372" s="44" t="s">
        <v>27</v>
      </c>
      <c r="Y1372" s="45" t="s">
        <v>28</v>
      </c>
      <c r="Z1372" s="46"/>
      <c r="AA1372" s="46"/>
      <c r="AB1372" s="121" t="s">
        <v>29</v>
      </c>
      <c r="AC1372" s="122" t="s">
        <v>30</v>
      </c>
      <c r="AD1372" s="123" t="s">
        <v>31</v>
      </c>
      <c r="AE1372" s="121" t="s">
        <v>27</v>
      </c>
      <c r="AF1372" s="123" t="s">
        <v>28</v>
      </c>
      <c r="AG1372" s="1"/>
    </row>
    <row r="1373" ht="21.0" customHeight="1">
      <c r="A1373" s="1"/>
      <c r="B1373" s="48" t="s">
        <v>32</v>
      </c>
      <c r="C1373" s="49"/>
      <c r="D1373" s="50"/>
      <c r="E1373" s="51" t="s">
        <v>33</v>
      </c>
      <c r="F1373" s="52" t="s">
        <v>34</v>
      </c>
      <c r="G1373" s="53"/>
      <c r="H1373" s="148"/>
      <c r="I1373" s="55"/>
      <c r="J1373" s="58"/>
      <c r="K1373" s="59"/>
      <c r="L1373" s="58"/>
      <c r="M1373" s="59"/>
      <c r="N1373" s="58"/>
      <c r="O1373" s="59"/>
      <c r="P1373" s="58"/>
      <c r="Q1373" s="59"/>
      <c r="R1373" s="58"/>
      <c r="S1373" s="59"/>
      <c r="T1373" s="58"/>
      <c r="U1373" s="59"/>
      <c r="V1373" s="58"/>
      <c r="W1373" s="59"/>
      <c r="X1373" s="58"/>
      <c r="Y1373" s="59"/>
      <c r="Z1373" s="60" t="b">
        <v>0</v>
      </c>
      <c r="AA1373" s="125">
        <f t="shared" ref="AA1373:AA1381" si="547">(J1373*K1373+L1373*M1373+N1373*O1373+P1373*Q1373+R1373*S1373+T1373*U1373+V1373*W1373+X1373*Y1373)*if(Z1373=true,0.453592,1)</f>
        <v>0</v>
      </c>
      <c r="AB1373" s="126">
        <f t="shared" ref="AB1373:AB1381" si="548">SUM(AE1373*AF1373*0.025,AE1373)</f>
        <v>0</v>
      </c>
      <c r="AC1373" s="127">
        <f t="shared" ref="AC1373:AC1381" si="549">AB1373*87%</f>
        <v>0</v>
      </c>
      <c r="AD1373" s="128">
        <f t="shared" ref="AD1373:AD1381" si="550">AB1373*67%</f>
        <v>0</v>
      </c>
      <c r="AE1373" s="126">
        <f t="shared" ref="AE1373:AE1381" si="551">MAX(J1373,L1373,N1373,P1373,R1373,T1373,V1373,X1373)*if(Z1373=true,0.453592,1)</f>
        <v>0</v>
      </c>
      <c r="AF1373" s="128">
        <f t="shared" ref="AF1373:AF1381" si="552">MAX(IF(J1373*if(Z1373=true,0.453592,1)=$AE1373,K1373,0),IF(L1373*if(Z1373=true,0.453592,1)=$AE1373,M1373,0),IF(N1373*if(Z1373=true,0.453592,1)=$AE1373,O1373,0),IF(P1373*if(Z1373=true,0.453592,1)=$AE1373,Q1373,0),IF(R1373*if(Z1373=true,0.453592,1)=$AE1373,S1373,0),IF(T1373*if(Z1373=true,0.453592,1)=$AE1373,U1373,0),IF(V1373*if(Z1373=true,0.453592,1)=$AE1373,W1373,0),IF(X1373*if(Z1373=true,0.453592,1)=$AE1373,Y1373,0))</f>
        <v>0</v>
      </c>
      <c r="AG1373" s="1"/>
    </row>
    <row r="1374" ht="21.0" customHeight="1">
      <c r="A1374" s="1"/>
      <c r="B1374" s="48" t="s">
        <v>36</v>
      </c>
      <c r="C1374" s="49"/>
      <c r="D1374" s="65"/>
      <c r="E1374" s="66"/>
      <c r="F1374" s="52" t="s">
        <v>37</v>
      </c>
      <c r="G1374" s="67"/>
      <c r="H1374" s="129"/>
      <c r="I1374" s="69"/>
      <c r="J1374" s="72"/>
      <c r="K1374" s="73"/>
      <c r="L1374" s="72"/>
      <c r="M1374" s="73"/>
      <c r="N1374" s="72"/>
      <c r="O1374" s="73"/>
      <c r="P1374" s="72"/>
      <c r="Q1374" s="73"/>
      <c r="R1374" s="72"/>
      <c r="S1374" s="73"/>
      <c r="T1374" s="72"/>
      <c r="U1374" s="73"/>
      <c r="V1374" s="72"/>
      <c r="W1374" s="73"/>
      <c r="X1374" s="72"/>
      <c r="Y1374" s="73"/>
      <c r="Z1374" s="74" t="b">
        <v>0</v>
      </c>
      <c r="AA1374" s="130">
        <f t="shared" si="547"/>
        <v>0</v>
      </c>
      <c r="AB1374" s="131">
        <f t="shared" si="548"/>
        <v>0</v>
      </c>
      <c r="AC1374" s="132">
        <f t="shared" si="549"/>
        <v>0</v>
      </c>
      <c r="AD1374" s="133">
        <f t="shared" si="550"/>
        <v>0</v>
      </c>
      <c r="AE1374" s="131">
        <f t="shared" si="551"/>
        <v>0</v>
      </c>
      <c r="AF1374" s="133">
        <f t="shared" si="552"/>
        <v>0</v>
      </c>
      <c r="AG1374" s="1"/>
    </row>
    <row r="1375" ht="21.0" customHeight="1">
      <c r="A1375" s="1"/>
      <c r="B1375" s="48" t="s">
        <v>39</v>
      </c>
      <c r="C1375" s="49"/>
      <c r="D1375" s="65"/>
      <c r="E1375" s="41"/>
      <c r="F1375" s="52" t="s">
        <v>40</v>
      </c>
      <c r="G1375" s="79"/>
      <c r="H1375" s="80"/>
      <c r="I1375" s="69"/>
      <c r="J1375" s="72"/>
      <c r="K1375" s="73"/>
      <c r="L1375" s="72"/>
      <c r="M1375" s="73"/>
      <c r="N1375" s="72"/>
      <c r="O1375" s="73"/>
      <c r="P1375" s="72"/>
      <c r="Q1375" s="73"/>
      <c r="R1375" s="72"/>
      <c r="S1375" s="73"/>
      <c r="T1375" s="72"/>
      <c r="U1375" s="73"/>
      <c r="V1375" s="72"/>
      <c r="W1375" s="73"/>
      <c r="X1375" s="72"/>
      <c r="Y1375" s="73"/>
      <c r="Z1375" s="74" t="b">
        <v>0</v>
      </c>
      <c r="AA1375" s="130">
        <f t="shared" si="547"/>
        <v>0</v>
      </c>
      <c r="AB1375" s="131">
        <f t="shared" si="548"/>
        <v>0</v>
      </c>
      <c r="AC1375" s="132">
        <f t="shared" si="549"/>
        <v>0</v>
      </c>
      <c r="AD1375" s="133">
        <f t="shared" si="550"/>
        <v>0</v>
      </c>
      <c r="AE1375" s="131">
        <f t="shared" si="551"/>
        <v>0</v>
      </c>
      <c r="AF1375" s="133">
        <f t="shared" si="552"/>
        <v>0</v>
      </c>
      <c r="AG1375" s="1"/>
    </row>
    <row r="1376" ht="21.0" customHeight="1">
      <c r="A1376" s="1"/>
      <c r="B1376" s="48" t="s">
        <v>41</v>
      </c>
      <c r="C1376" s="81"/>
      <c r="D1376" s="82" t="b">
        <v>0</v>
      </c>
      <c r="E1376" s="51" t="s">
        <v>42</v>
      </c>
      <c r="F1376" s="52" t="s">
        <v>34</v>
      </c>
      <c r="G1376" s="83"/>
      <c r="H1376" s="84"/>
      <c r="I1376" s="85"/>
      <c r="J1376" s="72"/>
      <c r="K1376" s="73"/>
      <c r="L1376" s="72"/>
      <c r="M1376" s="73"/>
      <c r="N1376" s="72"/>
      <c r="O1376" s="73"/>
      <c r="P1376" s="72"/>
      <c r="Q1376" s="73"/>
      <c r="R1376" s="72"/>
      <c r="S1376" s="73"/>
      <c r="T1376" s="72"/>
      <c r="U1376" s="73"/>
      <c r="V1376" s="72"/>
      <c r="W1376" s="73"/>
      <c r="X1376" s="72"/>
      <c r="Y1376" s="73"/>
      <c r="Z1376" s="74" t="b">
        <v>0</v>
      </c>
      <c r="AA1376" s="130">
        <f t="shared" si="547"/>
        <v>0</v>
      </c>
      <c r="AB1376" s="131">
        <f t="shared" si="548"/>
        <v>0</v>
      </c>
      <c r="AC1376" s="132">
        <f t="shared" si="549"/>
        <v>0</v>
      </c>
      <c r="AD1376" s="133">
        <f t="shared" si="550"/>
        <v>0</v>
      </c>
      <c r="AE1376" s="131">
        <f t="shared" si="551"/>
        <v>0</v>
      </c>
      <c r="AF1376" s="133">
        <f t="shared" si="552"/>
        <v>0</v>
      </c>
      <c r="AG1376" s="1"/>
    </row>
    <row r="1377" ht="21.0" customHeight="1">
      <c r="A1377" s="1"/>
      <c r="B1377" s="48" t="s">
        <v>43</v>
      </c>
      <c r="C1377" s="49"/>
      <c r="D1377" s="86" t="b">
        <v>0</v>
      </c>
      <c r="E1377" s="66"/>
      <c r="F1377" s="52" t="s">
        <v>37</v>
      </c>
      <c r="G1377" s="67"/>
      <c r="H1377" s="80"/>
      <c r="I1377" s="69"/>
      <c r="J1377" s="72"/>
      <c r="K1377" s="73"/>
      <c r="L1377" s="72"/>
      <c r="M1377" s="73"/>
      <c r="N1377" s="72"/>
      <c r="O1377" s="73"/>
      <c r="P1377" s="72"/>
      <c r="Q1377" s="73"/>
      <c r="R1377" s="72"/>
      <c r="S1377" s="73"/>
      <c r="T1377" s="72"/>
      <c r="U1377" s="73"/>
      <c r="V1377" s="72"/>
      <c r="W1377" s="73"/>
      <c r="X1377" s="72"/>
      <c r="Y1377" s="73"/>
      <c r="Z1377" s="74" t="b">
        <v>0</v>
      </c>
      <c r="AA1377" s="130">
        <f t="shared" si="547"/>
        <v>0</v>
      </c>
      <c r="AB1377" s="131">
        <f t="shared" si="548"/>
        <v>0</v>
      </c>
      <c r="AC1377" s="132">
        <f t="shared" si="549"/>
        <v>0</v>
      </c>
      <c r="AD1377" s="133">
        <f t="shared" si="550"/>
        <v>0</v>
      </c>
      <c r="AE1377" s="131">
        <f t="shared" si="551"/>
        <v>0</v>
      </c>
      <c r="AF1377" s="133">
        <f t="shared" si="552"/>
        <v>0</v>
      </c>
      <c r="AG1377" s="1"/>
    </row>
    <row r="1378" ht="21.0" customHeight="1">
      <c r="A1378" s="1"/>
      <c r="B1378" s="87" t="str">
        <f t="array" ref="B1378">"📌최근 인바디 결과 : "&amp;text(xlookup(B1370,'현황'!O:O,'현황'!O:O,,-1,-1),"m/d(ddd)")</f>
        <v>#REF!</v>
      </c>
      <c r="C1378" s="88"/>
      <c r="D1378" s="49"/>
      <c r="E1378" s="41"/>
      <c r="F1378" s="52" t="s">
        <v>40</v>
      </c>
      <c r="G1378" s="79"/>
      <c r="H1378" s="80"/>
      <c r="I1378" s="69"/>
      <c r="J1378" s="72"/>
      <c r="K1378" s="73"/>
      <c r="L1378" s="72"/>
      <c r="M1378" s="73"/>
      <c r="N1378" s="72"/>
      <c r="O1378" s="73"/>
      <c r="P1378" s="72"/>
      <c r="Q1378" s="73"/>
      <c r="R1378" s="72"/>
      <c r="S1378" s="73"/>
      <c r="T1378" s="72"/>
      <c r="U1378" s="73"/>
      <c r="V1378" s="72"/>
      <c r="W1378" s="73"/>
      <c r="X1378" s="72"/>
      <c r="Y1378" s="73"/>
      <c r="Z1378" s="74" t="b">
        <v>0</v>
      </c>
      <c r="AA1378" s="130">
        <f t="shared" si="547"/>
        <v>0</v>
      </c>
      <c r="AB1378" s="131">
        <f t="shared" si="548"/>
        <v>0</v>
      </c>
      <c r="AC1378" s="132">
        <f t="shared" si="549"/>
        <v>0</v>
      </c>
      <c r="AD1378" s="133">
        <f t="shared" si="550"/>
        <v>0</v>
      </c>
      <c r="AE1378" s="131">
        <f t="shared" si="551"/>
        <v>0</v>
      </c>
      <c r="AF1378" s="133">
        <f t="shared" si="552"/>
        <v>0</v>
      </c>
      <c r="AG1378" s="1"/>
    </row>
    <row r="1379" ht="21.0" customHeight="1">
      <c r="A1379" s="1"/>
      <c r="B1379" s="89" t="s">
        <v>44</v>
      </c>
      <c r="C1379" s="49"/>
      <c r="D1379" s="90">
        <f t="array" ref="D1379">iferror(vlookup(xlookup(B1370,'현황'!O:O,'현황'!O:O,,-1,-1),'현황'!O:S,2,false),0)</f>
        <v>0</v>
      </c>
      <c r="E1379" s="51" t="s">
        <v>45</v>
      </c>
      <c r="F1379" s="52" t="s">
        <v>34</v>
      </c>
      <c r="G1379" s="83"/>
      <c r="H1379" s="84"/>
      <c r="I1379" s="85"/>
      <c r="J1379" s="72"/>
      <c r="K1379" s="73"/>
      <c r="L1379" s="72"/>
      <c r="M1379" s="73"/>
      <c r="N1379" s="72"/>
      <c r="O1379" s="73"/>
      <c r="P1379" s="72"/>
      <c r="Q1379" s="73"/>
      <c r="R1379" s="72"/>
      <c r="S1379" s="73"/>
      <c r="T1379" s="72"/>
      <c r="U1379" s="73"/>
      <c r="V1379" s="72"/>
      <c r="W1379" s="73"/>
      <c r="X1379" s="72"/>
      <c r="Y1379" s="73"/>
      <c r="Z1379" s="74" t="b">
        <v>0</v>
      </c>
      <c r="AA1379" s="130">
        <f t="shared" si="547"/>
        <v>0</v>
      </c>
      <c r="AB1379" s="131">
        <f t="shared" si="548"/>
        <v>0</v>
      </c>
      <c r="AC1379" s="132">
        <f t="shared" si="549"/>
        <v>0</v>
      </c>
      <c r="AD1379" s="133">
        <f t="shared" si="550"/>
        <v>0</v>
      </c>
      <c r="AE1379" s="131">
        <f t="shared" si="551"/>
        <v>0</v>
      </c>
      <c r="AF1379" s="133">
        <f t="shared" si="552"/>
        <v>0</v>
      </c>
      <c r="AG1379" s="1"/>
    </row>
    <row r="1380" ht="21.0" customHeight="1">
      <c r="A1380" s="1"/>
      <c r="B1380" s="48" t="s">
        <v>46</v>
      </c>
      <c r="C1380" s="49"/>
      <c r="D1380" s="91">
        <f t="array" ref="D1380">iferror(vlookup(xlookup(B1370,'현황'!O:O,'현황'!O:O,,-1,-1),'현황'!O:S,3,false),0)</f>
        <v>0</v>
      </c>
      <c r="E1380" s="66"/>
      <c r="F1380" s="52" t="s">
        <v>37</v>
      </c>
      <c r="G1380" s="67"/>
      <c r="H1380" s="80"/>
      <c r="I1380" s="69"/>
      <c r="J1380" s="72"/>
      <c r="K1380" s="73"/>
      <c r="L1380" s="72"/>
      <c r="M1380" s="73"/>
      <c r="N1380" s="72"/>
      <c r="O1380" s="73"/>
      <c r="P1380" s="72"/>
      <c r="Q1380" s="73"/>
      <c r="R1380" s="72"/>
      <c r="S1380" s="73"/>
      <c r="T1380" s="72"/>
      <c r="U1380" s="73"/>
      <c r="V1380" s="72"/>
      <c r="W1380" s="73"/>
      <c r="X1380" s="72"/>
      <c r="Y1380" s="73"/>
      <c r="Z1380" s="74" t="b">
        <v>0</v>
      </c>
      <c r="AA1380" s="130">
        <f t="shared" si="547"/>
        <v>0</v>
      </c>
      <c r="AB1380" s="131">
        <f t="shared" si="548"/>
        <v>0</v>
      </c>
      <c r="AC1380" s="132">
        <f t="shared" si="549"/>
        <v>0</v>
      </c>
      <c r="AD1380" s="133">
        <f t="shared" si="550"/>
        <v>0</v>
      </c>
      <c r="AE1380" s="131">
        <f t="shared" si="551"/>
        <v>0</v>
      </c>
      <c r="AF1380" s="133">
        <f t="shared" si="552"/>
        <v>0</v>
      </c>
      <c r="AG1380" s="1"/>
    </row>
    <row r="1381" ht="21.0" customHeight="1">
      <c r="A1381" s="1"/>
      <c r="B1381" s="48" t="s">
        <v>47</v>
      </c>
      <c r="C1381" s="49"/>
      <c r="D1381" s="91">
        <f t="array" ref="D1381">iferror(vlookup(xlookup(B1370,'현황'!O:O,'현황'!O:O,,-1,-1),'현황'!O:S,4,false),0)</f>
        <v>0</v>
      </c>
      <c r="E1381" s="41"/>
      <c r="F1381" s="92" t="s">
        <v>40</v>
      </c>
      <c r="G1381" s="79"/>
      <c r="H1381" s="93"/>
      <c r="I1381" s="94"/>
      <c r="J1381" s="95"/>
      <c r="K1381" s="96"/>
      <c r="L1381" s="95"/>
      <c r="M1381" s="96"/>
      <c r="N1381" s="95"/>
      <c r="O1381" s="96"/>
      <c r="P1381" s="95"/>
      <c r="Q1381" s="96"/>
      <c r="R1381" s="95"/>
      <c r="S1381" s="96"/>
      <c r="T1381" s="95"/>
      <c r="U1381" s="96"/>
      <c r="V1381" s="95"/>
      <c r="W1381" s="96"/>
      <c r="X1381" s="95"/>
      <c r="Y1381" s="96"/>
      <c r="Z1381" s="97" t="b">
        <v>0</v>
      </c>
      <c r="AA1381" s="135">
        <f t="shared" si="547"/>
        <v>0</v>
      </c>
      <c r="AB1381" s="136">
        <f t="shared" si="548"/>
        <v>0</v>
      </c>
      <c r="AC1381" s="137">
        <f t="shared" si="549"/>
        <v>0</v>
      </c>
      <c r="AD1381" s="138">
        <f t="shared" si="550"/>
        <v>0</v>
      </c>
      <c r="AE1381" s="136">
        <f t="shared" si="551"/>
        <v>0</v>
      </c>
      <c r="AF1381" s="138">
        <f t="shared" si="552"/>
        <v>0</v>
      </c>
      <c r="AG1381" s="1"/>
    </row>
    <row r="1382" ht="21.0" customHeight="1">
      <c r="A1382" s="1"/>
      <c r="B1382" s="102" t="s">
        <v>48</v>
      </c>
      <c r="C1382" s="103"/>
      <c r="D1382" s="104">
        <f>iferror(D1381/D1379,0)</f>
        <v>0</v>
      </c>
      <c r="E1382" s="102" t="s">
        <v>49</v>
      </c>
      <c r="F1382" s="103"/>
      <c r="G1382" s="105"/>
      <c r="H1382" s="143" t="s">
        <v>50</v>
      </c>
      <c r="I1382" s="144"/>
      <c r="J1382" s="11"/>
      <c r="K1382" s="11"/>
      <c r="L1382" s="11"/>
      <c r="M1382" s="11"/>
      <c r="N1382" s="11"/>
      <c r="O1382" s="11"/>
      <c r="P1382" s="145" t="s">
        <v>51</v>
      </c>
      <c r="Q1382" s="12"/>
      <c r="R1382" s="146"/>
      <c r="S1382" s="11"/>
      <c r="T1382" s="11"/>
      <c r="U1382" s="11"/>
      <c r="V1382" s="11"/>
      <c r="W1382" s="11"/>
      <c r="X1382" s="11"/>
      <c r="Y1382" s="11"/>
      <c r="Z1382" s="12"/>
      <c r="AA1382" s="139">
        <f>SUM(AA1373:AA1381)</f>
        <v>0</v>
      </c>
      <c r="AB1382" s="140" t="s">
        <v>281</v>
      </c>
      <c r="AG1382" s="1"/>
    </row>
    <row r="1383" ht="21.0" customHeight="1">
      <c r="A1383" s="1"/>
      <c r="B1383" s="1"/>
      <c r="C1383" s="1"/>
      <c r="D1383" s="1"/>
      <c r="E1383" s="1"/>
      <c r="F1383" s="1"/>
      <c r="G1383" s="1"/>
      <c r="H1383" s="1"/>
      <c r="I1383" s="1"/>
      <c r="AA1383" s="1"/>
      <c r="AB1383" s="1"/>
      <c r="AC1383" s="3"/>
      <c r="AD1383" s="1"/>
      <c r="AE1383" s="1"/>
      <c r="AF1383" s="1"/>
      <c r="AG1383" s="1"/>
    </row>
    <row r="1384" ht="21.0" customHeight="1">
      <c r="A1384" s="1"/>
      <c r="B1384" s="4" t="s">
        <v>1</v>
      </c>
      <c r="C1384" s="5"/>
      <c r="D1384" s="6" t="s">
        <v>2</v>
      </c>
      <c r="E1384" s="7"/>
      <c r="F1384" s="7"/>
      <c r="G1384" s="5"/>
      <c r="H1384" s="8" t="s">
        <v>3</v>
      </c>
      <c r="I1384" s="8" t="s">
        <v>4</v>
      </c>
      <c r="J1384" s="9" t="s">
        <v>5</v>
      </c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5"/>
      <c r="AA1384" s="117" t="s">
        <v>6</v>
      </c>
      <c r="AB1384" s="11"/>
      <c r="AC1384" s="11"/>
      <c r="AD1384" s="11"/>
      <c r="AE1384" s="11"/>
      <c r="AF1384" s="12"/>
      <c r="AG1384" s="1"/>
    </row>
    <row r="1385" ht="21.0" customHeight="1">
      <c r="A1385" s="1"/>
      <c r="B1385" s="149" t="s">
        <v>138</v>
      </c>
      <c r="C1385" s="14" t="str">
        <f>if(B1385="0/0","",choose(weekday(B1385),"(일)","(월)","(화)","(수)","(목)","(금)","(토)"))</f>
        <v/>
      </c>
      <c r="D1385" s="15" t="s">
        <v>7</v>
      </c>
      <c r="E1385" s="16" t="s">
        <v>8</v>
      </c>
      <c r="F1385" s="17"/>
      <c r="G1385" s="18" t="s">
        <v>9</v>
      </c>
      <c r="H1385" s="150" t="s">
        <v>139</v>
      </c>
      <c r="I1385" s="151"/>
      <c r="J1385" s="21" t="s">
        <v>12</v>
      </c>
      <c r="K1385" s="22"/>
      <c r="L1385" s="21" t="s">
        <v>13</v>
      </c>
      <c r="M1385" s="22"/>
      <c r="N1385" s="21" t="s">
        <v>14</v>
      </c>
      <c r="O1385" s="22"/>
      <c r="P1385" s="21" t="s">
        <v>15</v>
      </c>
      <c r="Q1385" s="22"/>
      <c r="R1385" s="23" t="s">
        <v>16</v>
      </c>
      <c r="S1385" s="22"/>
      <c r="T1385" s="23" t="s">
        <v>17</v>
      </c>
      <c r="U1385" s="22"/>
      <c r="V1385" s="23" t="s">
        <v>18</v>
      </c>
      <c r="W1385" s="22"/>
      <c r="X1385" s="23" t="s">
        <v>19</v>
      </c>
      <c r="Y1385" s="22"/>
      <c r="Z1385" s="24" t="s">
        <v>282</v>
      </c>
      <c r="AA1385" s="118" t="s">
        <v>21</v>
      </c>
      <c r="AB1385" s="119" t="s">
        <v>22</v>
      </c>
      <c r="AC1385" s="7"/>
      <c r="AD1385" s="22"/>
      <c r="AE1385" s="120" t="s">
        <v>23</v>
      </c>
      <c r="AF1385" s="22"/>
      <c r="AG1385" s="1"/>
    </row>
    <row r="1386" ht="21.0" customHeight="1">
      <c r="A1386" s="1"/>
      <c r="B1386" s="27">
        <f>iferror(B1385-'현황'!$C$4+1,0)</f>
        <v>0</v>
      </c>
      <c r="C1386" s="28"/>
      <c r="D1386" s="29">
        <v>0.0</v>
      </c>
      <c r="E1386" s="30">
        <v>0.0</v>
      </c>
      <c r="F1386" s="31"/>
      <c r="G1386" s="32">
        <v>0.0</v>
      </c>
      <c r="H1386" s="33">
        <v>0.0</v>
      </c>
      <c r="I1386" s="34"/>
      <c r="J1386" s="35"/>
      <c r="K1386" s="36"/>
      <c r="L1386" s="35"/>
      <c r="M1386" s="36"/>
      <c r="N1386" s="35"/>
      <c r="O1386" s="36"/>
      <c r="P1386" s="35"/>
      <c r="Q1386" s="36"/>
      <c r="R1386" s="35"/>
      <c r="S1386" s="36"/>
      <c r="T1386" s="35"/>
      <c r="U1386" s="36"/>
      <c r="V1386" s="35"/>
      <c r="W1386" s="36"/>
      <c r="X1386" s="35"/>
      <c r="Y1386" s="36"/>
      <c r="Z1386" s="37"/>
      <c r="AA1386" s="37"/>
      <c r="AB1386" s="35"/>
      <c r="AC1386" s="38"/>
      <c r="AD1386" s="36"/>
      <c r="AE1386" s="35"/>
      <c r="AF1386" s="36"/>
      <c r="AG1386" s="1"/>
    </row>
    <row r="1387" ht="21.0" customHeight="1">
      <c r="A1387" s="1"/>
      <c r="B1387" s="39" t="s">
        <v>24</v>
      </c>
      <c r="C1387" s="40"/>
      <c r="D1387" s="41"/>
      <c r="E1387" s="42" t="s">
        <v>25</v>
      </c>
      <c r="F1387" s="40"/>
      <c r="G1387" s="41"/>
      <c r="H1387" s="43" t="s">
        <v>26</v>
      </c>
      <c r="J1387" s="44" t="s">
        <v>27</v>
      </c>
      <c r="K1387" s="45" t="s">
        <v>28</v>
      </c>
      <c r="L1387" s="44" t="s">
        <v>27</v>
      </c>
      <c r="M1387" s="45" t="s">
        <v>28</v>
      </c>
      <c r="N1387" s="44" t="s">
        <v>27</v>
      </c>
      <c r="O1387" s="45" t="s">
        <v>28</v>
      </c>
      <c r="P1387" s="44" t="s">
        <v>27</v>
      </c>
      <c r="Q1387" s="45" t="s">
        <v>28</v>
      </c>
      <c r="R1387" s="44" t="s">
        <v>27</v>
      </c>
      <c r="S1387" s="45" t="s">
        <v>28</v>
      </c>
      <c r="T1387" s="44" t="s">
        <v>27</v>
      </c>
      <c r="U1387" s="45" t="s">
        <v>28</v>
      </c>
      <c r="V1387" s="44" t="s">
        <v>27</v>
      </c>
      <c r="W1387" s="45" t="s">
        <v>28</v>
      </c>
      <c r="X1387" s="44" t="s">
        <v>27</v>
      </c>
      <c r="Y1387" s="45" t="s">
        <v>28</v>
      </c>
      <c r="Z1387" s="46"/>
      <c r="AA1387" s="46"/>
      <c r="AB1387" s="121" t="s">
        <v>29</v>
      </c>
      <c r="AC1387" s="122" t="s">
        <v>30</v>
      </c>
      <c r="AD1387" s="123" t="s">
        <v>31</v>
      </c>
      <c r="AE1387" s="121" t="s">
        <v>27</v>
      </c>
      <c r="AF1387" s="123" t="s">
        <v>28</v>
      </c>
      <c r="AG1387" s="1"/>
    </row>
    <row r="1388" ht="21.0" customHeight="1">
      <c r="A1388" s="1"/>
      <c r="B1388" s="48" t="s">
        <v>32</v>
      </c>
      <c r="C1388" s="49"/>
      <c r="D1388" s="50"/>
      <c r="E1388" s="51" t="s">
        <v>33</v>
      </c>
      <c r="F1388" s="52" t="s">
        <v>34</v>
      </c>
      <c r="G1388" s="53"/>
      <c r="H1388" s="148"/>
      <c r="I1388" s="55"/>
      <c r="J1388" s="58"/>
      <c r="K1388" s="59"/>
      <c r="L1388" s="58"/>
      <c r="M1388" s="59"/>
      <c r="N1388" s="58"/>
      <c r="O1388" s="59"/>
      <c r="P1388" s="58"/>
      <c r="Q1388" s="59"/>
      <c r="R1388" s="58"/>
      <c r="S1388" s="59"/>
      <c r="T1388" s="58"/>
      <c r="U1388" s="59"/>
      <c r="V1388" s="58"/>
      <c r="W1388" s="59"/>
      <c r="X1388" s="58"/>
      <c r="Y1388" s="59"/>
      <c r="Z1388" s="60" t="b">
        <v>0</v>
      </c>
      <c r="AA1388" s="125">
        <f t="shared" ref="AA1388:AA1396" si="553">(J1388*K1388+L1388*M1388+N1388*O1388+P1388*Q1388+R1388*S1388+T1388*U1388+V1388*W1388+X1388*Y1388)*if(Z1388=true,0.453592,1)</f>
        <v>0</v>
      </c>
      <c r="AB1388" s="126">
        <f t="shared" ref="AB1388:AB1396" si="554">SUM(AE1388*AF1388*0.025,AE1388)</f>
        <v>0</v>
      </c>
      <c r="AC1388" s="127">
        <f t="shared" ref="AC1388:AC1396" si="555">AB1388*87%</f>
        <v>0</v>
      </c>
      <c r="AD1388" s="128">
        <f t="shared" ref="AD1388:AD1396" si="556">AB1388*67%</f>
        <v>0</v>
      </c>
      <c r="AE1388" s="126">
        <f t="shared" ref="AE1388:AE1396" si="557">MAX(J1388,L1388,N1388,P1388,R1388,T1388,V1388,X1388)*if(Z1388=true,0.453592,1)</f>
        <v>0</v>
      </c>
      <c r="AF1388" s="128">
        <f t="shared" ref="AF1388:AF1396" si="558">MAX(IF(J1388*if(Z1388=true,0.453592,1)=$AE1388,K1388,0),IF(L1388*if(Z1388=true,0.453592,1)=$AE1388,M1388,0),IF(N1388*if(Z1388=true,0.453592,1)=$AE1388,O1388,0),IF(P1388*if(Z1388=true,0.453592,1)=$AE1388,Q1388,0),IF(R1388*if(Z1388=true,0.453592,1)=$AE1388,S1388,0),IF(T1388*if(Z1388=true,0.453592,1)=$AE1388,U1388,0),IF(V1388*if(Z1388=true,0.453592,1)=$AE1388,W1388,0),IF(X1388*if(Z1388=true,0.453592,1)=$AE1388,Y1388,0))</f>
        <v>0</v>
      </c>
      <c r="AG1388" s="1"/>
    </row>
    <row r="1389" ht="21.0" customHeight="1">
      <c r="A1389" s="1"/>
      <c r="B1389" s="48" t="s">
        <v>36</v>
      </c>
      <c r="C1389" s="49"/>
      <c r="D1389" s="65"/>
      <c r="E1389" s="66"/>
      <c r="F1389" s="52" t="s">
        <v>37</v>
      </c>
      <c r="G1389" s="67"/>
      <c r="H1389" s="129"/>
      <c r="I1389" s="69"/>
      <c r="J1389" s="72"/>
      <c r="K1389" s="73"/>
      <c r="L1389" s="72"/>
      <c r="M1389" s="73"/>
      <c r="N1389" s="72"/>
      <c r="O1389" s="73"/>
      <c r="P1389" s="72"/>
      <c r="Q1389" s="73"/>
      <c r="R1389" s="72"/>
      <c r="S1389" s="73"/>
      <c r="T1389" s="72"/>
      <c r="U1389" s="73"/>
      <c r="V1389" s="72"/>
      <c r="W1389" s="73"/>
      <c r="X1389" s="72"/>
      <c r="Y1389" s="73"/>
      <c r="Z1389" s="74" t="b">
        <v>0</v>
      </c>
      <c r="AA1389" s="130">
        <f t="shared" si="553"/>
        <v>0</v>
      </c>
      <c r="AB1389" s="131">
        <f t="shared" si="554"/>
        <v>0</v>
      </c>
      <c r="AC1389" s="132">
        <f t="shared" si="555"/>
        <v>0</v>
      </c>
      <c r="AD1389" s="133">
        <f t="shared" si="556"/>
        <v>0</v>
      </c>
      <c r="AE1389" s="131">
        <f t="shared" si="557"/>
        <v>0</v>
      </c>
      <c r="AF1389" s="133">
        <f t="shared" si="558"/>
        <v>0</v>
      </c>
      <c r="AG1389" s="1"/>
    </row>
    <row r="1390" ht="21.0" customHeight="1">
      <c r="A1390" s="1"/>
      <c r="B1390" s="48" t="s">
        <v>39</v>
      </c>
      <c r="C1390" s="49"/>
      <c r="D1390" s="65"/>
      <c r="E1390" s="41"/>
      <c r="F1390" s="52" t="s">
        <v>40</v>
      </c>
      <c r="G1390" s="79"/>
      <c r="H1390" s="80"/>
      <c r="I1390" s="69"/>
      <c r="J1390" s="72"/>
      <c r="K1390" s="73"/>
      <c r="L1390" s="72"/>
      <c r="M1390" s="73"/>
      <c r="N1390" s="72"/>
      <c r="O1390" s="73"/>
      <c r="P1390" s="72"/>
      <c r="Q1390" s="73"/>
      <c r="R1390" s="72"/>
      <c r="S1390" s="73"/>
      <c r="T1390" s="72"/>
      <c r="U1390" s="73"/>
      <c r="V1390" s="72"/>
      <c r="W1390" s="73"/>
      <c r="X1390" s="72"/>
      <c r="Y1390" s="73"/>
      <c r="Z1390" s="74" t="b">
        <v>0</v>
      </c>
      <c r="AA1390" s="130">
        <f t="shared" si="553"/>
        <v>0</v>
      </c>
      <c r="AB1390" s="131">
        <f t="shared" si="554"/>
        <v>0</v>
      </c>
      <c r="AC1390" s="132">
        <f t="shared" si="555"/>
        <v>0</v>
      </c>
      <c r="AD1390" s="133">
        <f t="shared" si="556"/>
        <v>0</v>
      </c>
      <c r="AE1390" s="131">
        <f t="shared" si="557"/>
        <v>0</v>
      </c>
      <c r="AF1390" s="133">
        <f t="shared" si="558"/>
        <v>0</v>
      </c>
      <c r="AG1390" s="1"/>
    </row>
    <row r="1391" ht="21.0" customHeight="1">
      <c r="A1391" s="1"/>
      <c r="B1391" s="48" t="s">
        <v>41</v>
      </c>
      <c r="C1391" s="81"/>
      <c r="D1391" s="82" t="b">
        <v>0</v>
      </c>
      <c r="E1391" s="51" t="s">
        <v>42</v>
      </c>
      <c r="F1391" s="52" t="s">
        <v>34</v>
      </c>
      <c r="G1391" s="83"/>
      <c r="H1391" s="84"/>
      <c r="I1391" s="85"/>
      <c r="J1391" s="72"/>
      <c r="K1391" s="73"/>
      <c r="L1391" s="72"/>
      <c r="M1391" s="73"/>
      <c r="N1391" s="72"/>
      <c r="O1391" s="73"/>
      <c r="P1391" s="72"/>
      <c r="Q1391" s="73"/>
      <c r="R1391" s="72"/>
      <c r="S1391" s="73"/>
      <c r="T1391" s="72"/>
      <c r="U1391" s="73"/>
      <c r="V1391" s="72"/>
      <c r="W1391" s="73"/>
      <c r="X1391" s="72"/>
      <c r="Y1391" s="73"/>
      <c r="Z1391" s="74" t="b">
        <v>0</v>
      </c>
      <c r="AA1391" s="130">
        <f t="shared" si="553"/>
        <v>0</v>
      </c>
      <c r="AB1391" s="131">
        <f t="shared" si="554"/>
        <v>0</v>
      </c>
      <c r="AC1391" s="132">
        <f t="shared" si="555"/>
        <v>0</v>
      </c>
      <c r="AD1391" s="133">
        <f t="shared" si="556"/>
        <v>0</v>
      </c>
      <c r="AE1391" s="131">
        <f t="shared" si="557"/>
        <v>0</v>
      </c>
      <c r="AF1391" s="133">
        <f t="shared" si="558"/>
        <v>0</v>
      </c>
      <c r="AG1391" s="1"/>
    </row>
    <row r="1392" ht="21.0" customHeight="1">
      <c r="A1392" s="1"/>
      <c r="B1392" s="48" t="s">
        <v>43</v>
      </c>
      <c r="C1392" s="49"/>
      <c r="D1392" s="86" t="b">
        <v>0</v>
      </c>
      <c r="E1392" s="66"/>
      <c r="F1392" s="52" t="s">
        <v>37</v>
      </c>
      <c r="G1392" s="67"/>
      <c r="H1392" s="80"/>
      <c r="I1392" s="69"/>
      <c r="J1392" s="72"/>
      <c r="K1392" s="73"/>
      <c r="L1392" s="72"/>
      <c r="M1392" s="73"/>
      <c r="N1392" s="72"/>
      <c r="O1392" s="73"/>
      <c r="P1392" s="72"/>
      <c r="Q1392" s="73"/>
      <c r="R1392" s="72"/>
      <c r="S1392" s="73"/>
      <c r="T1392" s="72"/>
      <c r="U1392" s="73"/>
      <c r="V1392" s="72"/>
      <c r="W1392" s="73"/>
      <c r="X1392" s="72"/>
      <c r="Y1392" s="73"/>
      <c r="Z1392" s="74" t="b">
        <v>0</v>
      </c>
      <c r="AA1392" s="130">
        <f t="shared" si="553"/>
        <v>0</v>
      </c>
      <c r="AB1392" s="131">
        <f t="shared" si="554"/>
        <v>0</v>
      </c>
      <c r="AC1392" s="132">
        <f t="shared" si="555"/>
        <v>0</v>
      </c>
      <c r="AD1392" s="133">
        <f t="shared" si="556"/>
        <v>0</v>
      </c>
      <c r="AE1392" s="131">
        <f t="shared" si="557"/>
        <v>0</v>
      </c>
      <c r="AF1392" s="133">
        <f t="shared" si="558"/>
        <v>0</v>
      </c>
      <c r="AG1392" s="1"/>
    </row>
    <row r="1393" ht="21.0" customHeight="1">
      <c r="A1393" s="1"/>
      <c r="B1393" s="87" t="str">
        <f t="array" ref="B1393">"📌최근 인바디 결과 : "&amp;text(xlookup(B1385,'현황'!O:O,'현황'!O:O,,-1,-1),"m/d(ddd)")</f>
        <v>#REF!</v>
      </c>
      <c r="C1393" s="88"/>
      <c r="D1393" s="49"/>
      <c r="E1393" s="41"/>
      <c r="F1393" s="52" t="s">
        <v>40</v>
      </c>
      <c r="G1393" s="79"/>
      <c r="H1393" s="80"/>
      <c r="I1393" s="69"/>
      <c r="J1393" s="72"/>
      <c r="K1393" s="73"/>
      <c r="L1393" s="72"/>
      <c r="M1393" s="73"/>
      <c r="N1393" s="72"/>
      <c r="O1393" s="73"/>
      <c r="P1393" s="72"/>
      <c r="Q1393" s="73"/>
      <c r="R1393" s="72"/>
      <c r="S1393" s="73"/>
      <c r="T1393" s="72"/>
      <c r="U1393" s="73"/>
      <c r="V1393" s="72"/>
      <c r="W1393" s="73"/>
      <c r="X1393" s="72"/>
      <c r="Y1393" s="73"/>
      <c r="Z1393" s="74" t="b">
        <v>0</v>
      </c>
      <c r="AA1393" s="130">
        <f t="shared" si="553"/>
        <v>0</v>
      </c>
      <c r="AB1393" s="131">
        <f t="shared" si="554"/>
        <v>0</v>
      </c>
      <c r="AC1393" s="132">
        <f t="shared" si="555"/>
        <v>0</v>
      </c>
      <c r="AD1393" s="133">
        <f t="shared" si="556"/>
        <v>0</v>
      </c>
      <c r="AE1393" s="131">
        <f t="shared" si="557"/>
        <v>0</v>
      </c>
      <c r="AF1393" s="133">
        <f t="shared" si="558"/>
        <v>0</v>
      </c>
      <c r="AG1393" s="1"/>
    </row>
    <row r="1394" ht="21.0" customHeight="1">
      <c r="A1394" s="1"/>
      <c r="B1394" s="89" t="s">
        <v>44</v>
      </c>
      <c r="C1394" s="49"/>
      <c r="D1394" s="90">
        <f t="array" ref="D1394">iferror(vlookup(xlookup(B1385,'현황'!O:O,'현황'!O:O,,-1,-1),'현황'!O:S,2,false),0)</f>
        <v>0</v>
      </c>
      <c r="E1394" s="51" t="s">
        <v>45</v>
      </c>
      <c r="F1394" s="52" t="s">
        <v>34</v>
      </c>
      <c r="G1394" s="83"/>
      <c r="H1394" s="84"/>
      <c r="I1394" s="85"/>
      <c r="J1394" s="72"/>
      <c r="K1394" s="73"/>
      <c r="L1394" s="72"/>
      <c r="M1394" s="73"/>
      <c r="N1394" s="72"/>
      <c r="O1394" s="73"/>
      <c r="P1394" s="72"/>
      <c r="Q1394" s="73"/>
      <c r="R1394" s="72"/>
      <c r="S1394" s="73"/>
      <c r="T1394" s="72"/>
      <c r="U1394" s="73"/>
      <c r="V1394" s="72"/>
      <c r="W1394" s="73"/>
      <c r="X1394" s="72"/>
      <c r="Y1394" s="73"/>
      <c r="Z1394" s="74" t="b">
        <v>0</v>
      </c>
      <c r="AA1394" s="130">
        <f t="shared" si="553"/>
        <v>0</v>
      </c>
      <c r="AB1394" s="131">
        <f t="shared" si="554"/>
        <v>0</v>
      </c>
      <c r="AC1394" s="132">
        <f t="shared" si="555"/>
        <v>0</v>
      </c>
      <c r="AD1394" s="133">
        <f t="shared" si="556"/>
        <v>0</v>
      </c>
      <c r="AE1394" s="131">
        <f t="shared" si="557"/>
        <v>0</v>
      </c>
      <c r="AF1394" s="133">
        <f t="shared" si="558"/>
        <v>0</v>
      </c>
      <c r="AG1394" s="1"/>
    </row>
    <row r="1395" ht="21.0" customHeight="1">
      <c r="A1395" s="1"/>
      <c r="B1395" s="48" t="s">
        <v>46</v>
      </c>
      <c r="C1395" s="49"/>
      <c r="D1395" s="91">
        <f t="array" ref="D1395">iferror(vlookup(xlookup(B1385,'현황'!O:O,'현황'!O:O,,-1,-1),'현황'!O:S,3,false),0)</f>
        <v>0</v>
      </c>
      <c r="E1395" s="66"/>
      <c r="F1395" s="52" t="s">
        <v>37</v>
      </c>
      <c r="G1395" s="67"/>
      <c r="H1395" s="80"/>
      <c r="I1395" s="69"/>
      <c r="J1395" s="72"/>
      <c r="K1395" s="73"/>
      <c r="L1395" s="72"/>
      <c r="M1395" s="73"/>
      <c r="N1395" s="72"/>
      <c r="O1395" s="73"/>
      <c r="P1395" s="72"/>
      <c r="Q1395" s="73"/>
      <c r="R1395" s="72"/>
      <c r="S1395" s="73"/>
      <c r="T1395" s="72"/>
      <c r="U1395" s="73"/>
      <c r="V1395" s="72"/>
      <c r="W1395" s="73"/>
      <c r="X1395" s="72"/>
      <c r="Y1395" s="73"/>
      <c r="Z1395" s="74" t="b">
        <v>0</v>
      </c>
      <c r="AA1395" s="130">
        <f t="shared" si="553"/>
        <v>0</v>
      </c>
      <c r="AB1395" s="131">
        <f t="shared" si="554"/>
        <v>0</v>
      </c>
      <c r="AC1395" s="132">
        <f t="shared" si="555"/>
        <v>0</v>
      </c>
      <c r="AD1395" s="133">
        <f t="shared" si="556"/>
        <v>0</v>
      </c>
      <c r="AE1395" s="131">
        <f t="shared" si="557"/>
        <v>0</v>
      </c>
      <c r="AF1395" s="133">
        <f t="shared" si="558"/>
        <v>0</v>
      </c>
      <c r="AG1395" s="1"/>
    </row>
    <row r="1396" ht="21.0" customHeight="1">
      <c r="A1396" s="1"/>
      <c r="B1396" s="48" t="s">
        <v>47</v>
      </c>
      <c r="C1396" s="49"/>
      <c r="D1396" s="91">
        <f t="array" ref="D1396">iferror(vlookup(xlookup(B1385,'현황'!O:O,'현황'!O:O,,-1,-1),'현황'!O:S,4,false),0)</f>
        <v>0</v>
      </c>
      <c r="E1396" s="41"/>
      <c r="F1396" s="92" t="s">
        <v>40</v>
      </c>
      <c r="G1396" s="79"/>
      <c r="H1396" s="93"/>
      <c r="I1396" s="94"/>
      <c r="J1396" s="95"/>
      <c r="K1396" s="96"/>
      <c r="L1396" s="95"/>
      <c r="M1396" s="96"/>
      <c r="N1396" s="95"/>
      <c r="O1396" s="96"/>
      <c r="P1396" s="95"/>
      <c r="Q1396" s="96"/>
      <c r="R1396" s="95"/>
      <c r="S1396" s="96"/>
      <c r="T1396" s="95"/>
      <c r="U1396" s="96"/>
      <c r="V1396" s="95"/>
      <c r="W1396" s="96"/>
      <c r="X1396" s="95"/>
      <c r="Y1396" s="96"/>
      <c r="Z1396" s="97" t="b">
        <v>0</v>
      </c>
      <c r="AA1396" s="135">
        <f t="shared" si="553"/>
        <v>0</v>
      </c>
      <c r="AB1396" s="136">
        <f t="shared" si="554"/>
        <v>0</v>
      </c>
      <c r="AC1396" s="137">
        <f t="shared" si="555"/>
        <v>0</v>
      </c>
      <c r="AD1396" s="138">
        <f t="shared" si="556"/>
        <v>0</v>
      </c>
      <c r="AE1396" s="136">
        <f t="shared" si="557"/>
        <v>0</v>
      </c>
      <c r="AF1396" s="138">
        <f t="shared" si="558"/>
        <v>0</v>
      </c>
      <c r="AG1396" s="1"/>
    </row>
    <row r="1397" ht="21.0" customHeight="1">
      <c r="A1397" s="1"/>
      <c r="B1397" s="102" t="s">
        <v>48</v>
      </c>
      <c r="C1397" s="103"/>
      <c r="D1397" s="104">
        <f>iferror(D1396/D1394,0)</f>
        <v>0</v>
      </c>
      <c r="E1397" s="102" t="s">
        <v>49</v>
      </c>
      <c r="F1397" s="103"/>
      <c r="G1397" s="105"/>
      <c r="H1397" s="106" t="s">
        <v>50</v>
      </c>
      <c r="I1397" s="107"/>
      <c r="J1397" s="11"/>
      <c r="K1397" s="11"/>
      <c r="L1397" s="11"/>
      <c r="M1397" s="11"/>
      <c r="N1397" s="11"/>
      <c r="O1397" s="11"/>
      <c r="P1397" s="108" t="s">
        <v>51</v>
      </c>
      <c r="Q1397" s="12"/>
      <c r="R1397" s="109"/>
      <c r="S1397" s="11"/>
      <c r="T1397" s="11"/>
      <c r="U1397" s="11"/>
      <c r="V1397" s="11"/>
      <c r="W1397" s="11"/>
      <c r="X1397" s="11"/>
      <c r="Y1397" s="11"/>
      <c r="Z1397" s="12"/>
      <c r="AA1397" s="139">
        <f>SUM(AA1388:AA1396)</f>
        <v>0</v>
      </c>
      <c r="AB1397" s="140" t="s">
        <v>283</v>
      </c>
      <c r="AG1397" s="1"/>
    </row>
    <row r="1398" ht="21.0" customHeight="1">
      <c r="A1398" s="1"/>
      <c r="B1398" s="1"/>
      <c r="C1398" s="1"/>
      <c r="D1398" s="1"/>
      <c r="E1398" s="1"/>
      <c r="F1398" s="1"/>
      <c r="G1398" s="1"/>
      <c r="H1398" s="1"/>
      <c r="I1398" s="1"/>
      <c r="AA1398" s="1"/>
      <c r="AB1398" s="1"/>
      <c r="AC1398" s="3"/>
      <c r="AD1398" s="1"/>
      <c r="AE1398" s="1"/>
      <c r="AF1398" s="1"/>
      <c r="AG1398" s="1"/>
    </row>
    <row r="1399" ht="21.0" customHeight="1">
      <c r="A1399" s="1"/>
      <c r="B1399" s="4" t="s">
        <v>1</v>
      </c>
      <c r="C1399" s="5"/>
      <c r="D1399" s="6" t="s">
        <v>2</v>
      </c>
      <c r="E1399" s="7"/>
      <c r="F1399" s="7"/>
      <c r="G1399" s="5"/>
      <c r="H1399" s="8" t="s">
        <v>3</v>
      </c>
      <c r="I1399" s="8" t="s">
        <v>4</v>
      </c>
      <c r="J1399" s="9" t="s">
        <v>5</v>
      </c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5"/>
      <c r="AA1399" s="117" t="s">
        <v>6</v>
      </c>
      <c r="AB1399" s="11"/>
      <c r="AC1399" s="11"/>
      <c r="AD1399" s="11"/>
      <c r="AE1399" s="11"/>
      <c r="AF1399" s="12"/>
      <c r="AG1399" s="1"/>
    </row>
    <row r="1400" ht="21.0" customHeight="1">
      <c r="A1400" s="1"/>
      <c r="B1400" s="149" t="s">
        <v>138</v>
      </c>
      <c r="C1400" s="14" t="str">
        <f>if(B1400="0/0","",choose(weekday(B1400),"(일)","(월)","(화)","(수)","(목)","(금)","(토)"))</f>
        <v/>
      </c>
      <c r="D1400" s="15" t="s">
        <v>7</v>
      </c>
      <c r="E1400" s="16" t="s">
        <v>8</v>
      </c>
      <c r="F1400" s="17"/>
      <c r="G1400" s="18" t="s">
        <v>9</v>
      </c>
      <c r="H1400" s="150" t="s">
        <v>139</v>
      </c>
      <c r="I1400" s="151"/>
      <c r="J1400" s="21" t="s">
        <v>12</v>
      </c>
      <c r="K1400" s="22"/>
      <c r="L1400" s="21" t="s">
        <v>13</v>
      </c>
      <c r="M1400" s="22"/>
      <c r="N1400" s="21" t="s">
        <v>14</v>
      </c>
      <c r="O1400" s="22"/>
      <c r="P1400" s="21" t="s">
        <v>15</v>
      </c>
      <c r="Q1400" s="22"/>
      <c r="R1400" s="23" t="s">
        <v>16</v>
      </c>
      <c r="S1400" s="22"/>
      <c r="T1400" s="23" t="s">
        <v>17</v>
      </c>
      <c r="U1400" s="22"/>
      <c r="V1400" s="23" t="s">
        <v>18</v>
      </c>
      <c r="W1400" s="22"/>
      <c r="X1400" s="23" t="s">
        <v>19</v>
      </c>
      <c r="Y1400" s="22"/>
      <c r="Z1400" s="24" t="s">
        <v>284</v>
      </c>
      <c r="AA1400" s="118" t="s">
        <v>21</v>
      </c>
      <c r="AB1400" s="119" t="s">
        <v>22</v>
      </c>
      <c r="AC1400" s="7"/>
      <c r="AD1400" s="22"/>
      <c r="AE1400" s="120" t="s">
        <v>23</v>
      </c>
      <c r="AF1400" s="22"/>
      <c r="AG1400" s="1"/>
    </row>
    <row r="1401" ht="21.0" customHeight="1">
      <c r="A1401" s="1"/>
      <c r="B1401" s="27">
        <f>iferror(B1400-'현황'!$C$4+1,0)</f>
        <v>0</v>
      </c>
      <c r="C1401" s="28"/>
      <c r="D1401" s="29">
        <v>0.0</v>
      </c>
      <c r="E1401" s="30">
        <v>0.0</v>
      </c>
      <c r="F1401" s="31"/>
      <c r="G1401" s="32">
        <v>0.0</v>
      </c>
      <c r="H1401" s="33">
        <v>0.0</v>
      </c>
      <c r="I1401" s="34"/>
      <c r="J1401" s="35"/>
      <c r="K1401" s="36"/>
      <c r="L1401" s="35"/>
      <c r="M1401" s="36"/>
      <c r="N1401" s="35"/>
      <c r="O1401" s="36"/>
      <c r="P1401" s="35"/>
      <c r="Q1401" s="36"/>
      <c r="R1401" s="35"/>
      <c r="S1401" s="36"/>
      <c r="T1401" s="35"/>
      <c r="U1401" s="36"/>
      <c r="V1401" s="35"/>
      <c r="W1401" s="36"/>
      <c r="X1401" s="35"/>
      <c r="Y1401" s="36"/>
      <c r="Z1401" s="37"/>
      <c r="AA1401" s="37"/>
      <c r="AB1401" s="35"/>
      <c r="AC1401" s="38"/>
      <c r="AD1401" s="36"/>
      <c r="AE1401" s="35"/>
      <c r="AF1401" s="36"/>
      <c r="AG1401" s="1"/>
    </row>
    <row r="1402" ht="21.0" customHeight="1">
      <c r="A1402" s="1"/>
      <c r="B1402" s="39" t="s">
        <v>24</v>
      </c>
      <c r="C1402" s="40"/>
      <c r="D1402" s="41"/>
      <c r="E1402" s="42" t="s">
        <v>25</v>
      </c>
      <c r="F1402" s="40"/>
      <c r="G1402" s="41"/>
      <c r="H1402" s="43" t="s">
        <v>26</v>
      </c>
      <c r="J1402" s="44" t="s">
        <v>27</v>
      </c>
      <c r="K1402" s="45" t="s">
        <v>28</v>
      </c>
      <c r="L1402" s="44" t="s">
        <v>27</v>
      </c>
      <c r="M1402" s="45" t="s">
        <v>28</v>
      </c>
      <c r="N1402" s="44" t="s">
        <v>27</v>
      </c>
      <c r="O1402" s="45" t="s">
        <v>28</v>
      </c>
      <c r="P1402" s="44" t="s">
        <v>27</v>
      </c>
      <c r="Q1402" s="45" t="s">
        <v>28</v>
      </c>
      <c r="R1402" s="44" t="s">
        <v>27</v>
      </c>
      <c r="S1402" s="45" t="s">
        <v>28</v>
      </c>
      <c r="T1402" s="44" t="s">
        <v>27</v>
      </c>
      <c r="U1402" s="45" t="s">
        <v>28</v>
      </c>
      <c r="V1402" s="44" t="s">
        <v>27</v>
      </c>
      <c r="W1402" s="45" t="s">
        <v>28</v>
      </c>
      <c r="X1402" s="44" t="s">
        <v>27</v>
      </c>
      <c r="Y1402" s="45" t="s">
        <v>28</v>
      </c>
      <c r="Z1402" s="46"/>
      <c r="AA1402" s="46"/>
      <c r="AB1402" s="121" t="s">
        <v>29</v>
      </c>
      <c r="AC1402" s="122" t="s">
        <v>30</v>
      </c>
      <c r="AD1402" s="123" t="s">
        <v>31</v>
      </c>
      <c r="AE1402" s="121" t="s">
        <v>27</v>
      </c>
      <c r="AF1402" s="123" t="s">
        <v>28</v>
      </c>
      <c r="AG1402" s="1"/>
    </row>
    <row r="1403" ht="21.0" customHeight="1">
      <c r="A1403" s="1"/>
      <c r="B1403" s="48" t="s">
        <v>32</v>
      </c>
      <c r="C1403" s="49"/>
      <c r="D1403" s="50"/>
      <c r="E1403" s="51" t="s">
        <v>33</v>
      </c>
      <c r="F1403" s="52" t="s">
        <v>34</v>
      </c>
      <c r="G1403" s="53"/>
      <c r="H1403" s="148"/>
      <c r="I1403" s="55"/>
      <c r="J1403" s="58"/>
      <c r="K1403" s="59"/>
      <c r="L1403" s="58"/>
      <c r="M1403" s="59"/>
      <c r="N1403" s="58"/>
      <c r="O1403" s="59"/>
      <c r="P1403" s="58"/>
      <c r="Q1403" s="59"/>
      <c r="R1403" s="58"/>
      <c r="S1403" s="59"/>
      <c r="T1403" s="58"/>
      <c r="U1403" s="59"/>
      <c r="V1403" s="58"/>
      <c r="W1403" s="59"/>
      <c r="X1403" s="58"/>
      <c r="Y1403" s="59"/>
      <c r="Z1403" s="60" t="b">
        <v>0</v>
      </c>
      <c r="AA1403" s="125">
        <f t="shared" ref="AA1403:AA1411" si="559">(J1403*K1403+L1403*M1403+N1403*O1403+P1403*Q1403+R1403*S1403+T1403*U1403+V1403*W1403+X1403*Y1403)*if(Z1403=true,0.453592,1)</f>
        <v>0</v>
      </c>
      <c r="AB1403" s="126">
        <f t="shared" ref="AB1403:AB1411" si="560">SUM(AE1403*AF1403*0.025,AE1403)</f>
        <v>0</v>
      </c>
      <c r="AC1403" s="127">
        <f t="shared" ref="AC1403:AC1411" si="561">AB1403*87%</f>
        <v>0</v>
      </c>
      <c r="AD1403" s="128">
        <f t="shared" ref="AD1403:AD1411" si="562">AB1403*67%</f>
        <v>0</v>
      </c>
      <c r="AE1403" s="126">
        <f t="shared" ref="AE1403:AE1411" si="563">MAX(J1403,L1403,N1403,P1403,R1403,T1403,V1403,X1403)*if(Z1403=true,0.453592,1)</f>
        <v>0</v>
      </c>
      <c r="AF1403" s="128">
        <f t="shared" ref="AF1403:AF1411" si="564">MAX(IF(J1403*if(Z1403=true,0.453592,1)=$AE1403,K1403,0),IF(L1403*if(Z1403=true,0.453592,1)=$AE1403,M1403,0),IF(N1403*if(Z1403=true,0.453592,1)=$AE1403,O1403,0),IF(P1403*if(Z1403=true,0.453592,1)=$AE1403,Q1403,0),IF(R1403*if(Z1403=true,0.453592,1)=$AE1403,S1403,0),IF(T1403*if(Z1403=true,0.453592,1)=$AE1403,U1403,0),IF(V1403*if(Z1403=true,0.453592,1)=$AE1403,W1403,0),IF(X1403*if(Z1403=true,0.453592,1)=$AE1403,Y1403,0))</f>
        <v>0</v>
      </c>
      <c r="AG1403" s="1"/>
    </row>
    <row r="1404" ht="21.0" customHeight="1">
      <c r="A1404" s="1"/>
      <c r="B1404" s="48" t="s">
        <v>36</v>
      </c>
      <c r="C1404" s="49"/>
      <c r="D1404" s="65"/>
      <c r="E1404" s="66"/>
      <c r="F1404" s="52" t="s">
        <v>37</v>
      </c>
      <c r="G1404" s="67"/>
      <c r="H1404" s="129"/>
      <c r="I1404" s="69"/>
      <c r="J1404" s="72"/>
      <c r="K1404" s="73"/>
      <c r="L1404" s="72"/>
      <c r="M1404" s="73"/>
      <c r="N1404" s="72"/>
      <c r="O1404" s="73"/>
      <c r="P1404" s="72"/>
      <c r="Q1404" s="73"/>
      <c r="R1404" s="72"/>
      <c r="S1404" s="73"/>
      <c r="T1404" s="72"/>
      <c r="U1404" s="73"/>
      <c r="V1404" s="72"/>
      <c r="W1404" s="73"/>
      <c r="X1404" s="72"/>
      <c r="Y1404" s="73"/>
      <c r="Z1404" s="74" t="b">
        <v>0</v>
      </c>
      <c r="AA1404" s="130">
        <f t="shared" si="559"/>
        <v>0</v>
      </c>
      <c r="AB1404" s="131">
        <f t="shared" si="560"/>
        <v>0</v>
      </c>
      <c r="AC1404" s="132">
        <f t="shared" si="561"/>
        <v>0</v>
      </c>
      <c r="AD1404" s="133">
        <f t="shared" si="562"/>
        <v>0</v>
      </c>
      <c r="AE1404" s="131">
        <f t="shared" si="563"/>
        <v>0</v>
      </c>
      <c r="AF1404" s="133">
        <f t="shared" si="564"/>
        <v>0</v>
      </c>
      <c r="AG1404" s="1"/>
    </row>
    <row r="1405" ht="21.0" customHeight="1">
      <c r="A1405" s="1"/>
      <c r="B1405" s="48" t="s">
        <v>39</v>
      </c>
      <c r="C1405" s="49"/>
      <c r="D1405" s="65"/>
      <c r="E1405" s="41"/>
      <c r="F1405" s="52" t="s">
        <v>40</v>
      </c>
      <c r="G1405" s="79"/>
      <c r="H1405" s="80"/>
      <c r="I1405" s="69"/>
      <c r="J1405" s="72"/>
      <c r="K1405" s="73"/>
      <c r="L1405" s="72"/>
      <c r="M1405" s="73"/>
      <c r="N1405" s="72"/>
      <c r="O1405" s="73"/>
      <c r="P1405" s="72"/>
      <c r="Q1405" s="73"/>
      <c r="R1405" s="72"/>
      <c r="S1405" s="73"/>
      <c r="T1405" s="72"/>
      <c r="U1405" s="73"/>
      <c r="V1405" s="72"/>
      <c r="W1405" s="73"/>
      <c r="X1405" s="72"/>
      <c r="Y1405" s="73"/>
      <c r="Z1405" s="74" t="b">
        <v>0</v>
      </c>
      <c r="AA1405" s="130">
        <f t="shared" si="559"/>
        <v>0</v>
      </c>
      <c r="AB1405" s="131">
        <f t="shared" si="560"/>
        <v>0</v>
      </c>
      <c r="AC1405" s="132">
        <f t="shared" si="561"/>
        <v>0</v>
      </c>
      <c r="AD1405" s="133">
        <f t="shared" si="562"/>
        <v>0</v>
      </c>
      <c r="AE1405" s="131">
        <f t="shared" si="563"/>
        <v>0</v>
      </c>
      <c r="AF1405" s="133">
        <f t="shared" si="564"/>
        <v>0</v>
      </c>
      <c r="AG1405" s="1"/>
    </row>
    <row r="1406" ht="21.0" customHeight="1">
      <c r="A1406" s="1"/>
      <c r="B1406" s="48" t="s">
        <v>41</v>
      </c>
      <c r="C1406" s="81"/>
      <c r="D1406" s="82" t="b">
        <v>0</v>
      </c>
      <c r="E1406" s="51" t="s">
        <v>42</v>
      </c>
      <c r="F1406" s="52" t="s">
        <v>34</v>
      </c>
      <c r="G1406" s="83"/>
      <c r="H1406" s="84"/>
      <c r="I1406" s="85"/>
      <c r="J1406" s="72"/>
      <c r="K1406" s="73"/>
      <c r="L1406" s="72"/>
      <c r="M1406" s="73"/>
      <c r="N1406" s="72"/>
      <c r="O1406" s="73"/>
      <c r="P1406" s="72"/>
      <c r="Q1406" s="73"/>
      <c r="R1406" s="72"/>
      <c r="S1406" s="73"/>
      <c r="T1406" s="72"/>
      <c r="U1406" s="73"/>
      <c r="V1406" s="72"/>
      <c r="W1406" s="73"/>
      <c r="X1406" s="72"/>
      <c r="Y1406" s="73"/>
      <c r="Z1406" s="74" t="b">
        <v>0</v>
      </c>
      <c r="AA1406" s="130">
        <f t="shared" si="559"/>
        <v>0</v>
      </c>
      <c r="AB1406" s="131">
        <f t="shared" si="560"/>
        <v>0</v>
      </c>
      <c r="AC1406" s="132">
        <f t="shared" si="561"/>
        <v>0</v>
      </c>
      <c r="AD1406" s="133">
        <f t="shared" si="562"/>
        <v>0</v>
      </c>
      <c r="AE1406" s="131">
        <f t="shared" si="563"/>
        <v>0</v>
      </c>
      <c r="AF1406" s="133">
        <f t="shared" si="564"/>
        <v>0</v>
      </c>
      <c r="AG1406" s="1"/>
    </row>
    <row r="1407" ht="21.0" customHeight="1">
      <c r="A1407" s="1"/>
      <c r="B1407" s="48" t="s">
        <v>43</v>
      </c>
      <c r="C1407" s="49"/>
      <c r="D1407" s="86" t="b">
        <v>0</v>
      </c>
      <c r="E1407" s="66"/>
      <c r="F1407" s="52" t="s">
        <v>37</v>
      </c>
      <c r="G1407" s="67"/>
      <c r="H1407" s="80"/>
      <c r="I1407" s="69"/>
      <c r="J1407" s="72"/>
      <c r="K1407" s="73"/>
      <c r="L1407" s="72"/>
      <c r="M1407" s="73"/>
      <c r="N1407" s="72"/>
      <c r="O1407" s="73"/>
      <c r="P1407" s="72"/>
      <c r="Q1407" s="73"/>
      <c r="R1407" s="72"/>
      <c r="S1407" s="73"/>
      <c r="T1407" s="72"/>
      <c r="U1407" s="73"/>
      <c r="V1407" s="72"/>
      <c r="W1407" s="73"/>
      <c r="X1407" s="72"/>
      <c r="Y1407" s="73"/>
      <c r="Z1407" s="74" t="b">
        <v>0</v>
      </c>
      <c r="AA1407" s="130">
        <f t="shared" si="559"/>
        <v>0</v>
      </c>
      <c r="AB1407" s="131">
        <f t="shared" si="560"/>
        <v>0</v>
      </c>
      <c r="AC1407" s="132">
        <f t="shared" si="561"/>
        <v>0</v>
      </c>
      <c r="AD1407" s="133">
        <f t="shared" si="562"/>
        <v>0</v>
      </c>
      <c r="AE1407" s="131">
        <f t="shared" si="563"/>
        <v>0</v>
      </c>
      <c r="AF1407" s="133">
        <f t="shared" si="564"/>
        <v>0</v>
      </c>
      <c r="AG1407" s="1"/>
    </row>
    <row r="1408" ht="21.0" customHeight="1">
      <c r="A1408" s="1"/>
      <c r="B1408" s="87" t="str">
        <f t="array" ref="B1408">"📌최근 인바디 결과 : "&amp;text(xlookup(B1400,'현황'!O:O,'현황'!O:O,,-1,-1),"m/d(ddd)")</f>
        <v>#REF!</v>
      </c>
      <c r="C1408" s="88"/>
      <c r="D1408" s="49"/>
      <c r="E1408" s="41"/>
      <c r="F1408" s="52" t="s">
        <v>40</v>
      </c>
      <c r="G1408" s="79"/>
      <c r="H1408" s="80"/>
      <c r="I1408" s="69"/>
      <c r="J1408" s="72"/>
      <c r="K1408" s="73"/>
      <c r="L1408" s="72"/>
      <c r="M1408" s="73"/>
      <c r="N1408" s="72"/>
      <c r="O1408" s="73"/>
      <c r="P1408" s="72"/>
      <c r="Q1408" s="73"/>
      <c r="R1408" s="72"/>
      <c r="S1408" s="73"/>
      <c r="T1408" s="72"/>
      <c r="U1408" s="73"/>
      <c r="V1408" s="72"/>
      <c r="W1408" s="73"/>
      <c r="X1408" s="72"/>
      <c r="Y1408" s="73"/>
      <c r="Z1408" s="74" t="b">
        <v>0</v>
      </c>
      <c r="AA1408" s="130">
        <f t="shared" si="559"/>
        <v>0</v>
      </c>
      <c r="AB1408" s="131">
        <f t="shared" si="560"/>
        <v>0</v>
      </c>
      <c r="AC1408" s="132">
        <f t="shared" si="561"/>
        <v>0</v>
      </c>
      <c r="AD1408" s="133">
        <f t="shared" si="562"/>
        <v>0</v>
      </c>
      <c r="AE1408" s="131">
        <f t="shared" si="563"/>
        <v>0</v>
      </c>
      <c r="AF1408" s="133">
        <f t="shared" si="564"/>
        <v>0</v>
      </c>
      <c r="AG1408" s="1"/>
    </row>
    <row r="1409" ht="21.0" customHeight="1">
      <c r="A1409" s="1"/>
      <c r="B1409" s="89" t="s">
        <v>44</v>
      </c>
      <c r="C1409" s="49"/>
      <c r="D1409" s="90">
        <f t="array" ref="D1409">iferror(vlookup(xlookup(B1400,'현황'!O:O,'현황'!O:O,,-1,-1),'현황'!O:S,2,false),0)</f>
        <v>0</v>
      </c>
      <c r="E1409" s="51" t="s">
        <v>45</v>
      </c>
      <c r="F1409" s="52" t="s">
        <v>34</v>
      </c>
      <c r="G1409" s="83"/>
      <c r="H1409" s="84"/>
      <c r="I1409" s="85"/>
      <c r="J1409" s="72"/>
      <c r="K1409" s="73"/>
      <c r="L1409" s="72"/>
      <c r="M1409" s="73"/>
      <c r="N1409" s="72"/>
      <c r="O1409" s="73"/>
      <c r="P1409" s="72"/>
      <c r="Q1409" s="73"/>
      <c r="R1409" s="72"/>
      <c r="S1409" s="73"/>
      <c r="T1409" s="72"/>
      <c r="U1409" s="73"/>
      <c r="V1409" s="72"/>
      <c r="W1409" s="73"/>
      <c r="X1409" s="72"/>
      <c r="Y1409" s="73"/>
      <c r="Z1409" s="74" t="b">
        <v>0</v>
      </c>
      <c r="AA1409" s="130">
        <f t="shared" si="559"/>
        <v>0</v>
      </c>
      <c r="AB1409" s="131">
        <f t="shared" si="560"/>
        <v>0</v>
      </c>
      <c r="AC1409" s="132">
        <f t="shared" si="561"/>
        <v>0</v>
      </c>
      <c r="AD1409" s="133">
        <f t="shared" si="562"/>
        <v>0</v>
      </c>
      <c r="AE1409" s="131">
        <f t="shared" si="563"/>
        <v>0</v>
      </c>
      <c r="AF1409" s="133">
        <f t="shared" si="564"/>
        <v>0</v>
      </c>
      <c r="AG1409" s="1"/>
    </row>
    <row r="1410" ht="21.0" customHeight="1">
      <c r="A1410" s="1"/>
      <c r="B1410" s="48" t="s">
        <v>46</v>
      </c>
      <c r="C1410" s="49"/>
      <c r="D1410" s="91">
        <f t="array" ref="D1410">iferror(vlookup(xlookup(B1400,'현황'!O:O,'현황'!O:O,,-1,-1),'현황'!O:S,3,false),0)</f>
        <v>0</v>
      </c>
      <c r="E1410" s="66"/>
      <c r="F1410" s="52" t="s">
        <v>37</v>
      </c>
      <c r="G1410" s="67"/>
      <c r="H1410" s="80"/>
      <c r="I1410" s="69"/>
      <c r="J1410" s="72"/>
      <c r="K1410" s="73"/>
      <c r="L1410" s="72"/>
      <c r="M1410" s="73"/>
      <c r="N1410" s="72"/>
      <c r="O1410" s="73"/>
      <c r="P1410" s="72"/>
      <c r="Q1410" s="73"/>
      <c r="R1410" s="72"/>
      <c r="S1410" s="73"/>
      <c r="T1410" s="72"/>
      <c r="U1410" s="73"/>
      <c r="V1410" s="72"/>
      <c r="W1410" s="73"/>
      <c r="X1410" s="72"/>
      <c r="Y1410" s="73"/>
      <c r="Z1410" s="74" t="b">
        <v>0</v>
      </c>
      <c r="AA1410" s="130">
        <f t="shared" si="559"/>
        <v>0</v>
      </c>
      <c r="AB1410" s="131">
        <f t="shared" si="560"/>
        <v>0</v>
      </c>
      <c r="AC1410" s="132">
        <f t="shared" si="561"/>
        <v>0</v>
      </c>
      <c r="AD1410" s="133">
        <f t="shared" si="562"/>
        <v>0</v>
      </c>
      <c r="AE1410" s="131">
        <f t="shared" si="563"/>
        <v>0</v>
      </c>
      <c r="AF1410" s="133">
        <f t="shared" si="564"/>
        <v>0</v>
      </c>
      <c r="AG1410" s="1"/>
    </row>
    <row r="1411" ht="21.0" customHeight="1">
      <c r="A1411" s="1"/>
      <c r="B1411" s="48" t="s">
        <v>47</v>
      </c>
      <c r="C1411" s="49"/>
      <c r="D1411" s="91">
        <f t="array" ref="D1411">iferror(vlookup(xlookup(B1400,'현황'!O:O,'현황'!O:O,,-1,-1),'현황'!O:S,4,false),0)</f>
        <v>0</v>
      </c>
      <c r="E1411" s="41"/>
      <c r="F1411" s="92" t="s">
        <v>40</v>
      </c>
      <c r="G1411" s="79"/>
      <c r="H1411" s="93"/>
      <c r="I1411" s="94"/>
      <c r="J1411" s="95"/>
      <c r="K1411" s="96"/>
      <c r="L1411" s="95"/>
      <c r="M1411" s="96"/>
      <c r="N1411" s="95"/>
      <c r="O1411" s="96"/>
      <c r="P1411" s="95"/>
      <c r="Q1411" s="96"/>
      <c r="R1411" s="95"/>
      <c r="S1411" s="96"/>
      <c r="T1411" s="95"/>
      <c r="U1411" s="96"/>
      <c r="V1411" s="95"/>
      <c r="W1411" s="96"/>
      <c r="X1411" s="95"/>
      <c r="Y1411" s="96"/>
      <c r="Z1411" s="97" t="b">
        <v>0</v>
      </c>
      <c r="AA1411" s="135">
        <f t="shared" si="559"/>
        <v>0</v>
      </c>
      <c r="AB1411" s="136">
        <f t="shared" si="560"/>
        <v>0</v>
      </c>
      <c r="AC1411" s="137">
        <f t="shared" si="561"/>
        <v>0</v>
      </c>
      <c r="AD1411" s="138">
        <f t="shared" si="562"/>
        <v>0</v>
      </c>
      <c r="AE1411" s="136">
        <f t="shared" si="563"/>
        <v>0</v>
      </c>
      <c r="AF1411" s="138">
        <f t="shared" si="564"/>
        <v>0</v>
      </c>
      <c r="AG1411" s="1"/>
    </row>
    <row r="1412" ht="21.0" customHeight="1">
      <c r="A1412" s="1"/>
      <c r="B1412" s="102" t="s">
        <v>48</v>
      </c>
      <c r="C1412" s="103"/>
      <c r="D1412" s="104">
        <f>iferror(D1411/D1409,0)</f>
        <v>0</v>
      </c>
      <c r="E1412" s="102" t="s">
        <v>49</v>
      </c>
      <c r="F1412" s="103"/>
      <c r="G1412" s="105"/>
      <c r="H1412" s="106" t="s">
        <v>50</v>
      </c>
      <c r="I1412" s="107"/>
      <c r="J1412" s="11"/>
      <c r="K1412" s="11"/>
      <c r="L1412" s="11"/>
      <c r="M1412" s="11"/>
      <c r="N1412" s="11"/>
      <c r="O1412" s="11"/>
      <c r="P1412" s="108" t="s">
        <v>51</v>
      </c>
      <c r="Q1412" s="12"/>
      <c r="R1412" s="109"/>
      <c r="S1412" s="11"/>
      <c r="T1412" s="11"/>
      <c r="U1412" s="11"/>
      <c r="V1412" s="11"/>
      <c r="W1412" s="11"/>
      <c r="X1412" s="11"/>
      <c r="Y1412" s="11"/>
      <c r="Z1412" s="12"/>
      <c r="AA1412" s="139">
        <f>SUM(AA1403:AA1411)</f>
        <v>0</v>
      </c>
      <c r="AB1412" s="140" t="s">
        <v>285</v>
      </c>
      <c r="AG1412" s="1"/>
    </row>
    <row r="1413" ht="21.0" customHeight="1">
      <c r="A1413" s="1"/>
      <c r="B1413" s="1"/>
      <c r="C1413" s="1"/>
      <c r="D1413" s="1"/>
      <c r="E1413" s="1"/>
      <c r="F1413" s="1"/>
      <c r="G1413" s="1"/>
      <c r="H1413" s="1"/>
      <c r="I1413" s="1"/>
      <c r="AA1413" s="1"/>
      <c r="AB1413" s="1"/>
      <c r="AC1413" s="3"/>
      <c r="AD1413" s="1"/>
      <c r="AE1413" s="1"/>
      <c r="AF1413" s="1"/>
      <c r="AG1413" s="1"/>
    </row>
    <row r="1414" ht="21.0" customHeight="1">
      <c r="A1414" s="1"/>
      <c r="B1414" s="4" t="s">
        <v>1</v>
      </c>
      <c r="C1414" s="5"/>
      <c r="D1414" s="6" t="s">
        <v>2</v>
      </c>
      <c r="E1414" s="7"/>
      <c r="F1414" s="7"/>
      <c r="G1414" s="5"/>
      <c r="H1414" s="8" t="s">
        <v>3</v>
      </c>
      <c r="I1414" s="8" t="s">
        <v>4</v>
      </c>
      <c r="J1414" s="9" t="s">
        <v>5</v>
      </c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5"/>
      <c r="AA1414" s="117" t="s">
        <v>6</v>
      </c>
      <c r="AB1414" s="11"/>
      <c r="AC1414" s="11"/>
      <c r="AD1414" s="11"/>
      <c r="AE1414" s="11"/>
      <c r="AF1414" s="12"/>
      <c r="AG1414" s="1"/>
    </row>
    <row r="1415" ht="21.0" customHeight="1">
      <c r="A1415" s="1"/>
      <c r="B1415" s="149" t="s">
        <v>138</v>
      </c>
      <c r="C1415" s="14" t="str">
        <f>if(B1415="0/0","",choose(weekday(B1415),"(일)","(월)","(화)","(수)","(목)","(금)","(토)"))</f>
        <v/>
      </c>
      <c r="D1415" s="15" t="s">
        <v>7</v>
      </c>
      <c r="E1415" s="16" t="s">
        <v>8</v>
      </c>
      <c r="F1415" s="17"/>
      <c r="G1415" s="18" t="s">
        <v>9</v>
      </c>
      <c r="H1415" s="150" t="s">
        <v>139</v>
      </c>
      <c r="I1415" s="151"/>
      <c r="J1415" s="21" t="s">
        <v>12</v>
      </c>
      <c r="K1415" s="22"/>
      <c r="L1415" s="21" t="s">
        <v>13</v>
      </c>
      <c r="M1415" s="22"/>
      <c r="N1415" s="21" t="s">
        <v>14</v>
      </c>
      <c r="O1415" s="22"/>
      <c r="P1415" s="21" t="s">
        <v>15</v>
      </c>
      <c r="Q1415" s="22"/>
      <c r="R1415" s="23" t="s">
        <v>16</v>
      </c>
      <c r="S1415" s="22"/>
      <c r="T1415" s="23" t="s">
        <v>17</v>
      </c>
      <c r="U1415" s="22"/>
      <c r="V1415" s="23" t="s">
        <v>18</v>
      </c>
      <c r="W1415" s="22"/>
      <c r="X1415" s="23" t="s">
        <v>19</v>
      </c>
      <c r="Y1415" s="22"/>
      <c r="Z1415" s="24" t="s">
        <v>286</v>
      </c>
      <c r="AA1415" s="118" t="s">
        <v>21</v>
      </c>
      <c r="AB1415" s="119" t="s">
        <v>22</v>
      </c>
      <c r="AC1415" s="7"/>
      <c r="AD1415" s="22"/>
      <c r="AE1415" s="120" t="s">
        <v>23</v>
      </c>
      <c r="AF1415" s="22"/>
      <c r="AG1415" s="1"/>
    </row>
    <row r="1416" ht="21.0" customHeight="1">
      <c r="A1416" s="1"/>
      <c r="B1416" s="27">
        <f>iferror(B1415-'현황'!$C$4+1,0)</f>
        <v>0</v>
      </c>
      <c r="C1416" s="28"/>
      <c r="D1416" s="29">
        <v>0.0</v>
      </c>
      <c r="E1416" s="30">
        <v>0.0</v>
      </c>
      <c r="F1416" s="31"/>
      <c r="G1416" s="32">
        <v>0.0</v>
      </c>
      <c r="H1416" s="33">
        <v>0.0</v>
      </c>
      <c r="I1416" s="34"/>
      <c r="J1416" s="35"/>
      <c r="K1416" s="36"/>
      <c r="L1416" s="35"/>
      <c r="M1416" s="36"/>
      <c r="N1416" s="35"/>
      <c r="O1416" s="36"/>
      <c r="P1416" s="35"/>
      <c r="Q1416" s="36"/>
      <c r="R1416" s="35"/>
      <c r="S1416" s="36"/>
      <c r="T1416" s="35"/>
      <c r="U1416" s="36"/>
      <c r="V1416" s="35"/>
      <c r="W1416" s="36"/>
      <c r="X1416" s="35"/>
      <c r="Y1416" s="36"/>
      <c r="Z1416" s="37"/>
      <c r="AA1416" s="37"/>
      <c r="AB1416" s="35"/>
      <c r="AC1416" s="38"/>
      <c r="AD1416" s="36"/>
      <c r="AE1416" s="35"/>
      <c r="AF1416" s="36"/>
      <c r="AG1416" s="1"/>
    </row>
    <row r="1417" ht="21.0" customHeight="1">
      <c r="A1417" s="1"/>
      <c r="B1417" s="39" t="s">
        <v>24</v>
      </c>
      <c r="C1417" s="40"/>
      <c r="D1417" s="41"/>
      <c r="E1417" s="42" t="s">
        <v>25</v>
      </c>
      <c r="F1417" s="40"/>
      <c r="G1417" s="41"/>
      <c r="H1417" s="43" t="s">
        <v>26</v>
      </c>
      <c r="J1417" s="44" t="s">
        <v>27</v>
      </c>
      <c r="K1417" s="45" t="s">
        <v>28</v>
      </c>
      <c r="L1417" s="44" t="s">
        <v>27</v>
      </c>
      <c r="M1417" s="45" t="s">
        <v>28</v>
      </c>
      <c r="N1417" s="44" t="s">
        <v>27</v>
      </c>
      <c r="O1417" s="45" t="s">
        <v>28</v>
      </c>
      <c r="P1417" s="44" t="s">
        <v>27</v>
      </c>
      <c r="Q1417" s="45" t="s">
        <v>28</v>
      </c>
      <c r="R1417" s="44" t="s">
        <v>27</v>
      </c>
      <c r="S1417" s="45" t="s">
        <v>28</v>
      </c>
      <c r="T1417" s="44" t="s">
        <v>27</v>
      </c>
      <c r="U1417" s="45" t="s">
        <v>28</v>
      </c>
      <c r="V1417" s="44" t="s">
        <v>27</v>
      </c>
      <c r="W1417" s="45" t="s">
        <v>28</v>
      </c>
      <c r="X1417" s="44" t="s">
        <v>27</v>
      </c>
      <c r="Y1417" s="45" t="s">
        <v>28</v>
      </c>
      <c r="Z1417" s="46"/>
      <c r="AA1417" s="46"/>
      <c r="AB1417" s="121" t="s">
        <v>29</v>
      </c>
      <c r="AC1417" s="122" t="s">
        <v>30</v>
      </c>
      <c r="AD1417" s="123" t="s">
        <v>31</v>
      </c>
      <c r="AE1417" s="121" t="s">
        <v>27</v>
      </c>
      <c r="AF1417" s="123" t="s">
        <v>28</v>
      </c>
      <c r="AG1417" s="1"/>
    </row>
    <row r="1418" ht="21.0" customHeight="1">
      <c r="A1418" s="1"/>
      <c r="B1418" s="48" t="s">
        <v>32</v>
      </c>
      <c r="C1418" s="49"/>
      <c r="D1418" s="50"/>
      <c r="E1418" s="51" t="s">
        <v>33</v>
      </c>
      <c r="F1418" s="52" t="s">
        <v>34</v>
      </c>
      <c r="G1418" s="53"/>
      <c r="H1418" s="148"/>
      <c r="I1418" s="55"/>
      <c r="J1418" s="58"/>
      <c r="K1418" s="59"/>
      <c r="L1418" s="58"/>
      <c r="M1418" s="59"/>
      <c r="N1418" s="58"/>
      <c r="O1418" s="59"/>
      <c r="P1418" s="58"/>
      <c r="Q1418" s="59"/>
      <c r="R1418" s="58"/>
      <c r="S1418" s="59"/>
      <c r="T1418" s="58"/>
      <c r="U1418" s="59"/>
      <c r="V1418" s="58"/>
      <c r="W1418" s="59"/>
      <c r="X1418" s="58"/>
      <c r="Y1418" s="59"/>
      <c r="Z1418" s="60" t="b">
        <v>0</v>
      </c>
      <c r="AA1418" s="125">
        <f t="shared" ref="AA1418:AA1426" si="565">(J1418*K1418+L1418*M1418+N1418*O1418+P1418*Q1418+R1418*S1418+T1418*U1418+V1418*W1418+X1418*Y1418)*if(Z1418=true,0.453592,1)</f>
        <v>0</v>
      </c>
      <c r="AB1418" s="126">
        <f t="shared" ref="AB1418:AB1426" si="566">SUM(AE1418*AF1418*0.025,AE1418)</f>
        <v>0</v>
      </c>
      <c r="AC1418" s="127">
        <f t="shared" ref="AC1418:AC1426" si="567">AB1418*87%</f>
        <v>0</v>
      </c>
      <c r="AD1418" s="128">
        <f t="shared" ref="AD1418:AD1426" si="568">AB1418*67%</f>
        <v>0</v>
      </c>
      <c r="AE1418" s="126">
        <f t="shared" ref="AE1418:AE1426" si="569">MAX(J1418,L1418,N1418,P1418,R1418,T1418,V1418,X1418)*if(Z1418=true,0.453592,1)</f>
        <v>0</v>
      </c>
      <c r="AF1418" s="128">
        <f t="shared" ref="AF1418:AF1426" si="570">MAX(IF(J1418*if(Z1418=true,0.453592,1)=$AE1418,K1418,0),IF(L1418*if(Z1418=true,0.453592,1)=$AE1418,M1418,0),IF(N1418*if(Z1418=true,0.453592,1)=$AE1418,O1418,0),IF(P1418*if(Z1418=true,0.453592,1)=$AE1418,Q1418,0),IF(R1418*if(Z1418=true,0.453592,1)=$AE1418,S1418,0),IF(T1418*if(Z1418=true,0.453592,1)=$AE1418,U1418,0),IF(V1418*if(Z1418=true,0.453592,1)=$AE1418,W1418,0),IF(X1418*if(Z1418=true,0.453592,1)=$AE1418,Y1418,0))</f>
        <v>0</v>
      </c>
      <c r="AG1418" s="1"/>
    </row>
    <row r="1419" ht="21.0" customHeight="1">
      <c r="A1419" s="1"/>
      <c r="B1419" s="48" t="s">
        <v>36</v>
      </c>
      <c r="C1419" s="49"/>
      <c r="D1419" s="65"/>
      <c r="E1419" s="66"/>
      <c r="F1419" s="52" t="s">
        <v>37</v>
      </c>
      <c r="G1419" s="67"/>
      <c r="H1419" s="129"/>
      <c r="I1419" s="69"/>
      <c r="J1419" s="72"/>
      <c r="K1419" s="73"/>
      <c r="L1419" s="72"/>
      <c r="M1419" s="73"/>
      <c r="N1419" s="72"/>
      <c r="O1419" s="73"/>
      <c r="P1419" s="72"/>
      <c r="Q1419" s="73"/>
      <c r="R1419" s="72"/>
      <c r="S1419" s="73"/>
      <c r="T1419" s="72"/>
      <c r="U1419" s="73"/>
      <c r="V1419" s="72"/>
      <c r="W1419" s="73"/>
      <c r="X1419" s="72"/>
      <c r="Y1419" s="73"/>
      <c r="Z1419" s="74" t="b">
        <v>0</v>
      </c>
      <c r="AA1419" s="130">
        <f t="shared" si="565"/>
        <v>0</v>
      </c>
      <c r="AB1419" s="131">
        <f t="shared" si="566"/>
        <v>0</v>
      </c>
      <c r="AC1419" s="132">
        <f t="shared" si="567"/>
        <v>0</v>
      </c>
      <c r="AD1419" s="133">
        <f t="shared" si="568"/>
        <v>0</v>
      </c>
      <c r="AE1419" s="131">
        <f t="shared" si="569"/>
        <v>0</v>
      </c>
      <c r="AF1419" s="133">
        <f t="shared" si="570"/>
        <v>0</v>
      </c>
      <c r="AG1419" s="1"/>
    </row>
    <row r="1420" ht="21.0" customHeight="1">
      <c r="A1420" s="1"/>
      <c r="B1420" s="48" t="s">
        <v>39</v>
      </c>
      <c r="C1420" s="49"/>
      <c r="D1420" s="65"/>
      <c r="E1420" s="41"/>
      <c r="F1420" s="52" t="s">
        <v>40</v>
      </c>
      <c r="G1420" s="79"/>
      <c r="H1420" s="80"/>
      <c r="I1420" s="69"/>
      <c r="J1420" s="72"/>
      <c r="K1420" s="73"/>
      <c r="L1420" s="72"/>
      <c r="M1420" s="73"/>
      <c r="N1420" s="72"/>
      <c r="O1420" s="73"/>
      <c r="P1420" s="72"/>
      <c r="Q1420" s="73"/>
      <c r="R1420" s="72"/>
      <c r="S1420" s="73"/>
      <c r="T1420" s="72"/>
      <c r="U1420" s="73"/>
      <c r="V1420" s="72"/>
      <c r="W1420" s="73"/>
      <c r="X1420" s="72"/>
      <c r="Y1420" s="73"/>
      <c r="Z1420" s="74" t="b">
        <v>0</v>
      </c>
      <c r="AA1420" s="130">
        <f t="shared" si="565"/>
        <v>0</v>
      </c>
      <c r="AB1420" s="131">
        <f t="shared" si="566"/>
        <v>0</v>
      </c>
      <c r="AC1420" s="132">
        <f t="shared" si="567"/>
        <v>0</v>
      </c>
      <c r="AD1420" s="133">
        <f t="shared" si="568"/>
        <v>0</v>
      </c>
      <c r="AE1420" s="131">
        <f t="shared" si="569"/>
        <v>0</v>
      </c>
      <c r="AF1420" s="133">
        <f t="shared" si="570"/>
        <v>0</v>
      </c>
      <c r="AG1420" s="1"/>
    </row>
    <row r="1421" ht="21.0" customHeight="1">
      <c r="A1421" s="1"/>
      <c r="B1421" s="48" t="s">
        <v>41</v>
      </c>
      <c r="C1421" s="81"/>
      <c r="D1421" s="82" t="b">
        <v>0</v>
      </c>
      <c r="E1421" s="51" t="s">
        <v>42</v>
      </c>
      <c r="F1421" s="52" t="s">
        <v>34</v>
      </c>
      <c r="G1421" s="83"/>
      <c r="H1421" s="84"/>
      <c r="I1421" s="85"/>
      <c r="J1421" s="72"/>
      <c r="K1421" s="73"/>
      <c r="L1421" s="72"/>
      <c r="M1421" s="73"/>
      <c r="N1421" s="72"/>
      <c r="O1421" s="73"/>
      <c r="P1421" s="72"/>
      <c r="Q1421" s="73"/>
      <c r="R1421" s="72"/>
      <c r="S1421" s="73"/>
      <c r="T1421" s="72"/>
      <c r="U1421" s="73"/>
      <c r="V1421" s="72"/>
      <c r="W1421" s="73"/>
      <c r="X1421" s="72"/>
      <c r="Y1421" s="73"/>
      <c r="Z1421" s="74" t="b">
        <v>0</v>
      </c>
      <c r="AA1421" s="130">
        <f t="shared" si="565"/>
        <v>0</v>
      </c>
      <c r="AB1421" s="131">
        <f t="shared" si="566"/>
        <v>0</v>
      </c>
      <c r="AC1421" s="132">
        <f t="shared" si="567"/>
        <v>0</v>
      </c>
      <c r="AD1421" s="133">
        <f t="shared" si="568"/>
        <v>0</v>
      </c>
      <c r="AE1421" s="131">
        <f t="shared" si="569"/>
        <v>0</v>
      </c>
      <c r="AF1421" s="133">
        <f t="shared" si="570"/>
        <v>0</v>
      </c>
      <c r="AG1421" s="1"/>
    </row>
    <row r="1422" ht="21.0" customHeight="1">
      <c r="A1422" s="1"/>
      <c r="B1422" s="48" t="s">
        <v>43</v>
      </c>
      <c r="C1422" s="49"/>
      <c r="D1422" s="86" t="b">
        <v>0</v>
      </c>
      <c r="E1422" s="66"/>
      <c r="F1422" s="52" t="s">
        <v>37</v>
      </c>
      <c r="G1422" s="67"/>
      <c r="H1422" s="80"/>
      <c r="I1422" s="69"/>
      <c r="J1422" s="72"/>
      <c r="K1422" s="73"/>
      <c r="L1422" s="72"/>
      <c r="M1422" s="73"/>
      <c r="N1422" s="72"/>
      <c r="O1422" s="73"/>
      <c r="P1422" s="72"/>
      <c r="Q1422" s="73"/>
      <c r="R1422" s="72"/>
      <c r="S1422" s="73"/>
      <c r="T1422" s="72"/>
      <c r="U1422" s="73"/>
      <c r="V1422" s="72"/>
      <c r="W1422" s="73"/>
      <c r="X1422" s="72"/>
      <c r="Y1422" s="73"/>
      <c r="Z1422" s="74" t="b">
        <v>0</v>
      </c>
      <c r="AA1422" s="130">
        <f t="shared" si="565"/>
        <v>0</v>
      </c>
      <c r="AB1422" s="131">
        <f t="shared" si="566"/>
        <v>0</v>
      </c>
      <c r="AC1422" s="132">
        <f t="shared" si="567"/>
        <v>0</v>
      </c>
      <c r="AD1422" s="133">
        <f t="shared" si="568"/>
        <v>0</v>
      </c>
      <c r="AE1422" s="131">
        <f t="shared" si="569"/>
        <v>0</v>
      </c>
      <c r="AF1422" s="133">
        <f t="shared" si="570"/>
        <v>0</v>
      </c>
      <c r="AG1422" s="1"/>
    </row>
    <row r="1423" ht="21.0" customHeight="1">
      <c r="A1423" s="1"/>
      <c r="B1423" s="87" t="str">
        <f t="array" ref="B1423">"📌최근 인바디 결과 : "&amp;text(xlookup(B1415,'현황'!O:O,'현황'!O:O,,-1,-1),"m/d(ddd)")</f>
        <v>#REF!</v>
      </c>
      <c r="C1423" s="88"/>
      <c r="D1423" s="49"/>
      <c r="E1423" s="41"/>
      <c r="F1423" s="52" t="s">
        <v>40</v>
      </c>
      <c r="G1423" s="79"/>
      <c r="H1423" s="80"/>
      <c r="I1423" s="69"/>
      <c r="J1423" s="72"/>
      <c r="K1423" s="73"/>
      <c r="L1423" s="72"/>
      <c r="M1423" s="73"/>
      <c r="N1423" s="72"/>
      <c r="O1423" s="73"/>
      <c r="P1423" s="72"/>
      <c r="Q1423" s="73"/>
      <c r="R1423" s="72"/>
      <c r="S1423" s="73"/>
      <c r="T1423" s="72"/>
      <c r="U1423" s="73"/>
      <c r="V1423" s="72"/>
      <c r="W1423" s="73"/>
      <c r="X1423" s="72"/>
      <c r="Y1423" s="73"/>
      <c r="Z1423" s="74" t="b">
        <v>0</v>
      </c>
      <c r="AA1423" s="130">
        <f t="shared" si="565"/>
        <v>0</v>
      </c>
      <c r="AB1423" s="131">
        <f t="shared" si="566"/>
        <v>0</v>
      </c>
      <c r="AC1423" s="132">
        <f t="shared" si="567"/>
        <v>0</v>
      </c>
      <c r="AD1423" s="133">
        <f t="shared" si="568"/>
        <v>0</v>
      </c>
      <c r="AE1423" s="131">
        <f t="shared" si="569"/>
        <v>0</v>
      </c>
      <c r="AF1423" s="133">
        <f t="shared" si="570"/>
        <v>0</v>
      </c>
      <c r="AG1423" s="1"/>
    </row>
    <row r="1424" ht="21.0" customHeight="1">
      <c r="A1424" s="1"/>
      <c r="B1424" s="89" t="s">
        <v>44</v>
      </c>
      <c r="C1424" s="49"/>
      <c r="D1424" s="90">
        <f t="array" ref="D1424">iferror(vlookup(xlookup(B1415,'현황'!O:O,'현황'!O:O,,-1,-1),'현황'!O:S,2,false),0)</f>
        <v>0</v>
      </c>
      <c r="E1424" s="51" t="s">
        <v>45</v>
      </c>
      <c r="F1424" s="52" t="s">
        <v>34</v>
      </c>
      <c r="G1424" s="83"/>
      <c r="H1424" s="84"/>
      <c r="I1424" s="85"/>
      <c r="J1424" s="72"/>
      <c r="K1424" s="73"/>
      <c r="L1424" s="72"/>
      <c r="M1424" s="73"/>
      <c r="N1424" s="72"/>
      <c r="O1424" s="73"/>
      <c r="P1424" s="72"/>
      <c r="Q1424" s="73"/>
      <c r="R1424" s="72"/>
      <c r="S1424" s="73"/>
      <c r="T1424" s="72"/>
      <c r="U1424" s="73"/>
      <c r="V1424" s="72"/>
      <c r="W1424" s="73"/>
      <c r="X1424" s="72"/>
      <c r="Y1424" s="73"/>
      <c r="Z1424" s="74" t="b">
        <v>0</v>
      </c>
      <c r="AA1424" s="130">
        <f t="shared" si="565"/>
        <v>0</v>
      </c>
      <c r="AB1424" s="131">
        <f t="shared" si="566"/>
        <v>0</v>
      </c>
      <c r="AC1424" s="132">
        <f t="shared" si="567"/>
        <v>0</v>
      </c>
      <c r="AD1424" s="133">
        <f t="shared" si="568"/>
        <v>0</v>
      </c>
      <c r="AE1424" s="131">
        <f t="shared" si="569"/>
        <v>0</v>
      </c>
      <c r="AF1424" s="133">
        <f t="shared" si="570"/>
        <v>0</v>
      </c>
      <c r="AG1424" s="1"/>
    </row>
    <row r="1425" ht="21.0" customHeight="1">
      <c r="A1425" s="1"/>
      <c r="B1425" s="48" t="s">
        <v>46</v>
      </c>
      <c r="C1425" s="49"/>
      <c r="D1425" s="91">
        <f t="array" ref="D1425">iferror(vlookup(xlookup(B1415,'현황'!O:O,'현황'!O:O,,-1,-1),'현황'!O:S,3,false),0)</f>
        <v>0</v>
      </c>
      <c r="E1425" s="66"/>
      <c r="F1425" s="52" t="s">
        <v>37</v>
      </c>
      <c r="G1425" s="67"/>
      <c r="H1425" s="80"/>
      <c r="I1425" s="69"/>
      <c r="J1425" s="72"/>
      <c r="K1425" s="73"/>
      <c r="L1425" s="72"/>
      <c r="M1425" s="73"/>
      <c r="N1425" s="72"/>
      <c r="O1425" s="73"/>
      <c r="P1425" s="72"/>
      <c r="Q1425" s="73"/>
      <c r="R1425" s="72"/>
      <c r="S1425" s="73"/>
      <c r="T1425" s="72"/>
      <c r="U1425" s="73"/>
      <c r="V1425" s="72"/>
      <c r="W1425" s="73"/>
      <c r="X1425" s="72"/>
      <c r="Y1425" s="73"/>
      <c r="Z1425" s="74" t="b">
        <v>0</v>
      </c>
      <c r="AA1425" s="130">
        <f t="shared" si="565"/>
        <v>0</v>
      </c>
      <c r="AB1425" s="131">
        <f t="shared" si="566"/>
        <v>0</v>
      </c>
      <c r="AC1425" s="132">
        <f t="shared" si="567"/>
        <v>0</v>
      </c>
      <c r="AD1425" s="133">
        <f t="shared" si="568"/>
        <v>0</v>
      </c>
      <c r="AE1425" s="131">
        <f t="shared" si="569"/>
        <v>0</v>
      </c>
      <c r="AF1425" s="133">
        <f t="shared" si="570"/>
        <v>0</v>
      </c>
      <c r="AG1425" s="1"/>
    </row>
    <row r="1426" ht="21.0" customHeight="1">
      <c r="A1426" s="1"/>
      <c r="B1426" s="48" t="s">
        <v>47</v>
      </c>
      <c r="C1426" s="49"/>
      <c r="D1426" s="91">
        <f t="array" ref="D1426">iferror(vlookup(xlookup(B1415,'현황'!O:O,'현황'!O:O,,-1,-1),'현황'!O:S,4,false),0)</f>
        <v>0</v>
      </c>
      <c r="E1426" s="41"/>
      <c r="F1426" s="92" t="s">
        <v>40</v>
      </c>
      <c r="G1426" s="79"/>
      <c r="H1426" s="93"/>
      <c r="I1426" s="94"/>
      <c r="J1426" s="95"/>
      <c r="K1426" s="96"/>
      <c r="L1426" s="95"/>
      <c r="M1426" s="96"/>
      <c r="N1426" s="95"/>
      <c r="O1426" s="96"/>
      <c r="P1426" s="95"/>
      <c r="Q1426" s="96"/>
      <c r="R1426" s="95"/>
      <c r="S1426" s="96"/>
      <c r="T1426" s="95"/>
      <c r="U1426" s="96"/>
      <c r="V1426" s="95"/>
      <c r="W1426" s="96"/>
      <c r="X1426" s="95"/>
      <c r="Y1426" s="96"/>
      <c r="Z1426" s="97" t="b">
        <v>0</v>
      </c>
      <c r="AA1426" s="135">
        <f t="shared" si="565"/>
        <v>0</v>
      </c>
      <c r="AB1426" s="136">
        <f t="shared" si="566"/>
        <v>0</v>
      </c>
      <c r="AC1426" s="137">
        <f t="shared" si="567"/>
        <v>0</v>
      </c>
      <c r="AD1426" s="138">
        <f t="shared" si="568"/>
        <v>0</v>
      </c>
      <c r="AE1426" s="136">
        <f t="shared" si="569"/>
        <v>0</v>
      </c>
      <c r="AF1426" s="138">
        <f t="shared" si="570"/>
        <v>0</v>
      </c>
      <c r="AG1426" s="1"/>
    </row>
    <row r="1427" ht="21.0" customHeight="1">
      <c r="A1427" s="1"/>
      <c r="B1427" s="102" t="s">
        <v>48</v>
      </c>
      <c r="C1427" s="103"/>
      <c r="D1427" s="104">
        <f>iferror(D1426/D1424,0)</f>
        <v>0</v>
      </c>
      <c r="E1427" s="102" t="s">
        <v>49</v>
      </c>
      <c r="F1427" s="103"/>
      <c r="G1427" s="105"/>
      <c r="H1427" s="106" t="s">
        <v>50</v>
      </c>
      <c r="I1427" s="107"/>
      <c r="J1427" s="11"/>
      <c r="K1427" s="11"/>
      <c r="L1427" s="11"/>
      <c r="M1427" s="11"/>
      <c r="N1427" s="11"/>
      <c r="O1427" s="11"/>
      <c r="P1427" s="108" t="s">
        <v>51</v>
      </c>
      <c r="Q1427" s="12"/>
      <c r="R1427" s="109"/>
      <c r="S1427" s="11"/>
      <c r="T1427" s="11"/>
      <c r="U1427" s="11"/>
      <c r="V1427" s="11"/>
      <c r="W1427" s="11"/>
      <c r="X1427" s="11"/>
      <c r="Y1427" s="11"/>
      <c r="Z1427" s="12"/>
      <c r="AA1427" s="139">
        <f>SUM(AA1418:AA1426)</f>
        <v>0</v>
      </c>
      <c r="AB1427" s="140" t="s">
        <v>287</v>
      </c>
      <c r="AG1427" s="1"/>
    </row>
    <row r="1428" ht="21.0" customHeight="1">
      <c r="A1428" s="1"/>
      <c r="B1428" s="1"/>
      <c r="C1428" s="1"/>
      <c r="D1428" s="1"/>
      <c r="E1428" s="1"/>
      <c r="F1428" s="1"/>
      <c r="G1428" s="1"/>
      <c r="H1428" s="1"/>
      <c r="I1428" s="1"/>
      <c r="AA1428" s="1"/>
      <c r="AB1428" s="1"/>
      <c r="AC1428" s="3"/>
      <c r="AD1428" s="1"/>
      <c r="AE1428" s="1"/>
      <c r="AF1428" s="1"/>
      <c r="AG1428" s="1"/>
    </row>
    <row r="1429" ht="21.0" customHeight="1">
      <c r="A1429" s="1"/>
      <c r="B1429" s="4" t="s">
        <v>1</v>
      </c>
      <c r="C1429" s="5"/>
      <c r="D1429" s="6" t="s">
        <v>2</v>
      </c>
      <c r="E1429" s="7"/>
      <c r="F1429" s="7"/>
      <c r="G1429" s="5"/>
      <c r="H1429" s="8" t="s">
        <v>3</v>
      </c>
      <c r="I1429" s="8" t="s">
        <v>4</v>
      </c>
      <c r="J1429" s="9" t="s">
        <v>5</v>
      </c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5"/>
      <c r="AA1429" s="117" t="s">
        <v>6</v>
      </c>
      <c r="AB1429" s="11"/>
      <c r="AC1429" s="11"/>
      <c r="AD1429" s="11"/>
      <c r="AE1429" s="11"/>
      <c r="AF1429" s="12"/>
      <c r="AG1429" s="1"/>
    </row>
    <row r="1430" ht="21.0" customHeight="1">
      <c r="A1430" s="1"/>
      <c r="B1430" s="149" t="s">
        <v>138</v>
      </c>
      <c r="C1430" s="14" t="str">
        <f>if(B1430="0/0","",choose(weekday(B1430),"(일)","(월)","(화)","(수)","(목)","(금)","(토)"))</f>
        <v/>
      </c>
      <c r="D1430" s="15" t="s">
        <v>7</v>
      </c>
      <c r="E1430" s="16" t="s">
        <v>8</v>
      </c>
      <c r="F1430" s="17"/>
      <c r="G1430" s="18" t="s">
        <v>9</v>
      </c>
      <c r="H1430" s="150" t="s">
        <v>139</v>
      </c>
      <c r="I1430" s="151"/>
      <c r="J1430" s="21" t="s">
        <v>12</v>
      </c>
      <c r="K1430" s="22"/>
      <c r="L1430" s="21" t="s">
        <v>13</v>
      </c>
      <c r="M1430" s="22"/>
      <c r="N1430" s="21" t="s">
        <v>14</v>
      </c>
      <c r="O1430" s="22"/>
      <c r="P1430" s="21" t="s">
        <v>15</v>
      </c>
      <c r="Q1430" s="22"/>
      <c r="R1430" s="23" t="s">
        <v>16</v>
      </c>
      <c r="S1430" s="22"/>
      <c r="T1430" s="23" t="s">
        <v>17</v>
      </c>
      <c r="U1430" s="22"/>
      <c r="V1430" s="23" t="s">
        <v>18</v>
      </c>
      <c r="W1430" s="22"/>
      <c r="X1430" s="23" t="s">
        <v>19</v>
      </c>
      <c r="Y1430" s="22"/>
      <c r="Z1430" s="24" t="s">
        <v>288</v>
      </c>
      <c r="AA1430" s="118" t="s">
        <v>21</v>
      </c>
      <c r="AB1430" s="119" t="s">
        <v>22</v>
      </c>
      <c r="AC1430" s="7"/>
      <c r="AD1430" s="22"/>
      <c r="AE1430" s="120" t="s">
        <v>23</v>
      </c>
      <c r="AF1430" s="22"/>
      <c r="AG1430" s="1"/>
    </row>
    <row r="1431" ht="21.0" customHeight="1">
      <c r="A1431" s="1"/>
      <c r="B1431" s="27">
        <f>iferror(B1430-'현황'!$C$4+1,0)</f>
        <v>0</v>
      </c>
      <c r="C1431" s="28"/>
      <c r="D1431" s="29">
        <v>0.0</v>
      </c>
      <c r="E1431" s="30">
        <v>0.0</v>
      </c>
      <c r="F1431" s="31"/>
      <c r="G1431" s="32">
        <v>0.0</v>
      </c>
      <c r="H1431" s="33">
        <v>0.0</v>
      </c>
      <c r="I1431" s="34"/>
      <c r="J1431" s="35"/>
      <c r="K1431" s="36"/>
      <c r="L1431" s="35"/>
      <c r="M1431" s="36"/>
      <c r="N1431" s="35"/>
      <c r="O1431" s="36"/>
      <c r="P1431" s="35"/>
      <c r="Q1431" s="36"/>
      <c r="R1431" s="35"/>
      <c r="S1431" s="36"/>
      <c r="T1431" s="35"/>
      <c r="U1431" s="36"/>
      <c r="V1431" s="35"/>
      <c r="W1431" s="36"/>
      <c r="X1431" s="35"/>
      <c r="Y1431" s="36"/>
      <c r="Z1431" s="37"/>
      <c r="AA1431" s="37"/>
      <c r="AB1431" s="35"/>
      <c r="AC1431" s="38"/>
      <c r="AD1431" s="36"/>
      <c r="AE1431" s="35"/>
      <c r="AF1431" s="36"/>
      <c r="AG1431" s="1"/>
    </row>
    <row r="1432" ht="21.0" customHeight="1">
      <c r="A1432" s="1"/>
      <c r="B1432" s="39" t="s">
        <v>24</v>
      </c>
      <c r="C1432" s="40"/>
      <c r="D1432" s="41"/>
      <c r="E1432" s="42" t="s">
        <v>25</v>
      </c>
      <c r="F1432" s="40"/>
      <c r="G1432" s="41"/>
      <c r="H1432" s="43" t="s">
        <v>26</v>
      </c>
      <c r="J1432" s="44" t="s">
        <v>27</v>
      </c>
      <c r="K1432" s="45" t="s">
        <v>28</v>
      </c>
      <c r="L1432" s="44" t="s">
        <v>27</v>
      </c>
      <c r="M1432" s="45" t="s">
        <v>28</v>
      </c>
      <c r="N1432" s="44" t="s">
        <v>27</v>
      </c>
      <c r="O1432" s="45" t="s">
        <v>28</v>
      </c>
      <c r="P1432" s="44" t="s">
        <v>27</v>
      </c>
      <c r="Q1432" s="45" t="s">
        <v>28</v>
      </c>
      <c r="R1432" s="44" t="s">
        <v>27</v>
      </c>
      <c r="S1432" s="45" t="s">
        <v>28</v>
      </c>
      <c r="T1432" s="44" t="s">
        <v>27</v>
      </c>
      <c r="U1432" s="45" t="s">
        <v>28</v>
      </c>
      <c r="V1432" s="44" t="s">
        <v>27</v>
      </c>
      <c r="W1432" s="45" t="s">
        <v>28</v>
      </c>
      <c r="X1432" s="44" t="s">
        <v>27</v>
      </c>
      <c r="Y1432" s="45" t="s">
        <v>28</v>
      </c>
      <c r="Z1432" s="46"/>
      <c r="AA1432" s="46"/>
      <c r="AB1432" s="121" t="s">
        <v>29</v>
      </c>
      <c r="AC1432" s="122" t="s">
        <v>30</v>
      </c>
      <c r="AD1432" s="123" t="s">
        <v>31</v>
      </c>
      <c r="AE1432" s="121" t="s">
        <v>27</v>
      </c>
      <c r="AF1432" s="123" t="s">
        <v>28</v>
      </c>
      <c r="AG1432" s="1"/>
    </row>
    <row r="1433" ht="21.0" customHeight="1">
      <c r="A1433" s="1"/>
      <c r="B1433" s="48" t="s">
        <v>32</v>
      </c>
      <c r="C1433" s="49"/>
      <c r="D1433" s="50"/>
      <c r="E1433" s="51" t="s">
        <v>33</v>
      </c>
      <c r="F1433" s="52" t="s">
        <v>34</v>
      </c>
      <c r="G1433" s="53"/>
      <c r="H1433" s="148"/>
      <c r="I1433" s="55"/>
      <c r="J1433" s="58"/>
      <c r="K1433" s="59"/>
      <c r="L1433" s="58"/>
      <c r="M1433" s="59"/>
      <c r="N1433" s="58"/>
      <c r="O1433" s="59"/>
      <c r="P1433" s="58"/>
      <c r="Q1433" s="59"/>
      <c r="R1433" s="58"/>
      <c r="S1433" s="59"/>
      <c r="T1433" s="58"/>
      <c r="U1433" s="59"/>
      <c r="V1433" s="58"/>
      <c r="W1433" s="59"/>
      <c r="X1433" s="58"/>
      <c r="Y1433" s="59"/>
      <c r="Z1433" s="60" t="b">
        <v>0</v>
      </c>
      <c r="AA1433" s="125">
        <f t="shared" ref="AA1433:AA1441" si="571">(J1433*K1433+L1433*M1433+N1433*O1433+P1433*Q1433+R1433*S1433+T1433*U1433+V1433*W1433+X1433*Y1433)*if(Z1433=true,0.453592,1)</f>
        <v>0</v>
      </c>
      <c r="AB1433" s="126">
        <f t="shared" ref="AB1433:AB1441" si="572">SUM(AE1433*AF1433*0.025,AE1433)</f>
        <v>0</v>
      </c>
      <c r="AC1433" s="127">
        <f t="shared" ref="AC1433:AC1441" si="573">AB1433*87%</f>
        <v>0</v>
      </c>
      <c r="AD1433" s="128">
        <f t="shared" ref="AD1433:AD1441" si="574">AB1433*67%</f>
        <v>0</v>
      </c>
      <c r="AE1433" s="126">
        <f t="shared" ref="AE1433:AE1441" si="575">MAX(J1433,L1433,N1433,P1433,R1433,T1433,V1433,X1433)*if(Z1433=true,0.453592,1)</f>
        <v>0</v>
      </c>
      <c r="AF1433" s="128">
        <f t="shared" ref="AF1433:AF1441" si="576">MAX(IF(J1433*if(Z1433=true,0.453592,1)=$AE1433,K1433,0),IF(L1433*if(Z1433=true,0.453592,1)=$AE1433,M1433,0),IF(N1433*if(Z1433=true,0.453592,1)=$AE1433,O1433,0),IF(P1433*if(Z1433=true,0.453592,1)=$AE1433,Q1433,0),IF(R1433*if(Z1433=true,0.453592,1)=$AE1433,S1433,0),IF(T1433*if(Z1433=true,0.453592,1)=$AE1433,U1433,0),IF(V1433*if(Z1433=true,0.453592,1)=$AE1433,W1433,0),IF(X1433*if(Z1433=true,0.453592,1)=$AE1433,Y1433,0))</f>
        <v>0</v>
      </c>
      <c r="AG1433" s="1"/>
    </row>
    <row r="1434" ht="21.0" customHeight="1">
      <c r="A1434" s="1"/>
      <c r="B1434" s="48" t="s">
        <v>36</v>
      </c>
      <c r="C1434" s="49"/>
      <c r="D1434" s="65"/>
      <c r="E1434" s="66"/>
      <c r="F1434" s="52" t="s">
        <v>37</v>
      </c>
      <c r="G1434" s="67"/>
      <c r="H1434" s="129"/>
      <c r="I1434" s="69"/>
      <c r="J1434" s="72"/>
      <c r="K1434" s="73"/>
      <c r="L1434" s="72"/>
      <c r="M1434" s="73"/>
      <c r="N1434" s="72"/>
      <c r="O1434" s="73"/>
      <c r="P1434" s="72"/>
      <c r="Q1434" s="73"/>
      <c r="R1434" s="72"/>
      <c r="S1434" s="73"/>
      <c r="T1434" s="72"/>
      <c r="U1434" s="73"/>
      <c r="V1434" s="72"/>
      <c r="W1434" s="73"/>
      <c r="X1434" s="72"/>
      <c r="Y1434" s="73"/>
      <c r="Z1434" s="74" t="b">
        <v>0</v>
      </c>
      <c r="AA1434" s="130">
        <f t="shared" si="571"/>
        <v>0</v>
      </c>
      <c r="AB1434" s="131">
        <f t="shared" si="572"/>
        <v>0</v>
      </c>
      <c r="AC1434" s="132">
        <f t="shared" si="573"/>
        <v>0</v>
      </c>
      <c r="AD1434" s="133">
        <f t="shared" si="574"/>
        <v>0</v>
      </c>
      <c r="AE1434" s="131">
        <f t="shared" si="575"/>
        <v>0</v>
      </c>
      <c r="AF1434" s="133">
        <f t="shared" si="576"/>
        <v>0</v>
      </c>
      <c r="AG1434" s="1"/>
    </row>
    <row r="1435" ht="21.0" customHeight="1">
      <c r="A1435" s="1"/>
      <c r="B1435" s="48" t="s">
        <v>39</v>
      </c>
      <c r="C1435" s="49"/>
      <c r="D1435" s="65"/>
      <c r="E1435" s="41"/>
      <c r="F1435" s="52" t="s">
        <v>40</v>
      </c>
      <c r="G1435" s="79"/>
      <c r="H1435" s="80"/>
      <c r="I1435" s="69"/>
      <c r="J1435" s="72"/>
      <c r="K1435" s="73"/>
      <c r="L1435" s="72"/>
      <c r="M1435" s="73"/>
      <c r="N1435" s="72"/>
      <c r="O1435" s="73"/>
      <c r="P1435" s="72"/>
      <c r="Q1435" s="73"/>
      <c r="R1435" s="72"/>
      <c r="S1435" s="73"/>
      <c r="T1435" s="72"/>
      <c r="U1435" s="73"/>
      <c r="V1435" s="72"/>
      <c r="W1435" s="73"/>
      <c r="X1435" s="72"/>
      <c r="Y1435" s="73"/>
      <c r="Z1435" s="74" t="b">
        <v>0</v>
      </c>
      <c r="AA1435" s="130">
        <f t="shared" si="571"/>
        <v>0</v>
      </c>
      <c r="AB1435" s="131">
        <f t="shared" si="572"/>
        <v>0</v>
      </c>
      <c r="AC1435" s="132">
        <f t="shared" si="573"/>
        <v>0</v>
      </c>
      <c r="AD1435" s="133">
        <f t="shared" si="574"/>
        <v>0</v>
      </c>
      <c r="AE1435" s="131">
        <f t="shared" si="575"/>
        <v>0</v>
      </c>
      <c r="AF1435" s="133">
        <f t="shared" si="576"/>
        <v>0</v>
      </c>
      <c r="AG1435" s="1"/>
    </row>
    <row r="1436" ht="21.0" customHeight="1">
      <c r="A1436" s="1"/>
      <c r="B1436" s="48" t="s">
        <v>41</v>
      </c>
      <c r="C1436" s="81"/>
      <c r="D1436" s="82" t="b">
        <v>0</v>
      </c>
      <c r="E1436" s="51" t="s">
        <v>42</v>
      </c>
      <c r="F1436" s="52" t="s">
        <v>34</v>
      </c>
      <c r="G1436" s="83"/>
      <c r="H1436" s="84"/>
      <c r="I1436" s="85"/>
      <c r="J1436" s="72"/>
      <c r="K1436" s="73"/>
      <c r="L1436" s="72"/>
      <c r="M1436" s="73"/>
      <c r="N1436" s="72"/>
      <c r="O1436" s="73"/>
      <c r="P1436" s="72"/>
      <c r="Q1436" s="73"/>
      <c r="R1436" s="72"/>
      <c r="S1436" s="73"/>
      <c r="T1436" s="72"/>
      <c r="U1436" s="73"/>
      <c r="V1436" s="72"/>
      <c r="W1436" s="73"/>
      <c r="X1436" s="72"/>
      <c r="Y1436" s="73"/>
      <c r="Z1436" s="74" t="b">
        <v>0</v>
      </c>
      <c r="AA1436" s="130">
        <f t="shared" si="571"/>
        <v>0</v>
      </c>
      <c r="AB1436" s="131">
        <f t="shared" si="572"/>
        <v>0</v>
      </c>
      <c r="AC1436" s="132">
        <f t="shared" si="573"/>
        <v>0</v>
      </c>
      <c r="AD1436" s="133">
        <f t="shared" si="574"/>
        <v>0</v>
      </c>
      <c r="AE1436" s="131">
        <f t="shared" si="575"/>
        <v>0</v>
      </c>
      <c r="AF1436" s="133">
        <f t="shared" si="576"/>
        <v>0</v>
      </c>
      <c r="AG1436" s="1"/>
    </row>
    <row r="1437" ht="21.0" customHeight="1">
      <c r="A1437" s="1"/>
      <c r="B1437" s="48" t="s">
        <v>43</v>
      </c>
      <c r="C1437" s="49"/>
      <c r="D1437" s="86" t="b">
        <v>0</v>
      </c>
      <c r="E1437" s="66"/>
      <c r="F1437" s="52" t="s">
        <v>37</v>
      </c>
      <c r="G1437" s="67"/>
      <c r="H1437" s="80"/>
      <c r="I1437" s="69"/>
      <c r="J1437" s="72"/>
      <c r="K1437" s="73"/>
      <c r="L1437" s="72"/>
      <c r="M1437" s="73"/>
      <c r="N1437" s="72"/>
      <c r="O1437" s="73"/>
      <c r="P1437" s="72"/>
      <c r="Q1437" s="73"/>
      <c r="R1437" s="72"/>
      <c r="S1437" s="73"/>
      <c r="T1437" s="72"/>
      <c r="U1437" s="73"/>
      <c r="V1437" s="72"/>
      <c r="W1437" s="73"/>
      <c r="X1437" s="72"/>
      <c r="Y1437" s="73"/>
      <c r="Z1437" s="74" t="b">
        <v>0</v>
      </c>
      <c r="AA1437" s="130">
        <f t="shared" si="571"/>
        <v>0</v>
      </c>
      <c r="AB1437" s="131">
        <f t="shared" si="572"/>
        <v>0</v>
      </c>
      <c r="AC1437" s="132">
        <f t="shared" si="573"/>
        <v>0</v>
      </c>
      <c r="AD1437" s="133">
        <f t="shared" si="574"/>
        <v>0</v>
      </c>
      <c r="AE1437" s="131">
        <f t="shared" si="575"/>
        <v>0</v>
      </c>
      <c r="AF1437" s="133">
        <f t="shared" si="576"/>
        <v>0</v>
      </c>
      <c r="AG1437" s="1"/>
    </row>
    <row r="1438" ht="21.0" customHeight="1">
      <c r="A1438" s="1"/>
      <c r="B1438" s="87" t="str">
        <f t="array" ref="B1438">"📌최근 인바디 결과 : "&amp;text(xlookup(B1430,'현황'!O:O,'현황'!O:O,,-1,-1),"m/d(ddd)")</f>
        <v>#REF!</v>
      </c>
      <c r="C1438" s="88"/>
      <c r="D1438" s="49"/>
      <c r="E1438" s="41"/>
      <c r="F1438" s="52" t="s">
        <v>40</v>
      </c>
      <c r="G1438" s="79"/>
      <c r="H1438" s="80"/>
      <c r="I1438" s="69"/>
      <c r="J1438" s="72"/>
      <c r="K1438" s="73"/>
      <c r="L1438" s="72"/>
      <c r="M1438" s="73"/>
      <c r="N1438" s="72"/>
      <c r="O1438" s="73"/>
      <c r="P1438" s="72"/>
      <c r="Q1438" s="73"/>
      <c r="R1438" s="72"/>
      <c r="S1438" s="73"/>
      <c r="T1438" s="72"/>
      <c r="U1438" s="73"/>
      <c r="V1438" s="72"/>
      <c r="W1438" s="73"/>
      <c r="X1438" s="72"/>
      <c r="Y1438" s="73"/>
      <c r="Z1438" s="74" t="b">
        <v>0</v>
      </c>
      <c r="AA1438" s="130">
        <f t="shared" si="571"/>
        <v>0</v>
      </c>
      <c r="AB1438" s="131">
        <f t="shared" si="572"/>
        <v>0</v>
      </c>
      <c r="AC1438" s="132">
        <f t="shared" si="573"/>
        <v>0</v>
      </c>
      <c r="AD1438" s="133">
        <f t="shared" si="574"/>
        <v>0</v>
      </c>
      <c r="AE1438" s="131">
        <f t="shared" si="575"/>
        <v>0</v>
      </c>
      <c r="AF1438" s="133">
        <f t="shared" si="576"/>
        <v>0</v>
      </c>
      <c r="AG1438" s="1"/>
    </row>
    <row r="1439" ht="21.0" customHeight="1">
      <c r="A1439" s="1"/>
      <c r="B1439" s="89" t="s">
        <v>44</v>
      </c>
      <c r="C1439" s="49"/>
      <c r="D1439" s="90">
        <f t="array" ref="D1439">iferror(vlookup(xlookup(B1430,'현황'!O:O,'현황'!O:O,,-1,-1),'현황'!O:S,2,false),0)</f>
        <v>0</v>
      </c>
      <c r="E1439" s="51" t="s">
        <v>45</v>
      </c>
      <c r="F1439" s="52" t="s">
        <v>34</v>
      </c>
      <c r="G1439" s="83"/>
      <c r="H1439" s="84"/>
      <c r="I1439" s="85"/>
      <c r="J1439" s="72"/>
      <c r="K1439" s="73"/>
      <c r="L1439" s="72"/>
      <c r="M1439" s="73"/>
      <c r="N1439" s="72"/>
      <c r="O1439" s="73"/>
      <c r="P1439" s="72"/>
      <c r="Q1439" s="73"/>
      <c r="R1439" s="72"/>
      <c r="S1439" s="73"/>
      <c r="T1439" s="72"/>
      <c r="U1439" s="73"/>
      <c r="V1439" s="72"/>
      <c r="W1439" s="73"/>
      <c r="X1439" s="72"/>
      <c r="Y1439" s="73"/>
      <c r="Z1439" s="74" t="b">
        <v>0</v>
      </c>
      <c r="AA1439" s="130">
        <f t="shared" si="571"/>
        <v>0</v>
      </c>
      <c r="AB1439" s="131">
        <f t="shared" si="572"/>
        <v>0</v>
      </c>
      <c r="AC1439" s="132">
        <f t="shared" si="573"/>
        <v>0</v>
      </c>
      <c r="AD1439" s="133">
        <f t="shared" si="574"/>
        <v>0</v>
      </c>
      <c r="AE1439" s="131">
        <f t="shared" si="575"/>
        <v>0</v>
      </c>
      <c r="AF1439" s="133">
        <f t="shared" si="576"/>
        <v>0</v>
      </c>
      <c r="AG1439" s="1"/>
    </row>
    <row r="1440" ht="21.0" customHeight="1">
      <c r="A1440" s="1"/>
      <c r="B1440" s="48" t="s">
        <v>46</v>
      </c>
      <c r="C1440" s="49"/>
      <c r="D1440" s="91">
        <f t="array" ref="D1440">iferror(vlookup(xlookup(B1430,'현황'!O:O,'현황'!O:O,,-1,-1),'현황'!O:S,3,false),0)</f>
        <v>0</v>
      </c>
      <c r="E1440" s="66"/>
      <c r="F1440" s="52" t="s">
        <v>37</v>
      </c>
      <c r="G1440" s="67"/>
      <c r="H1440" s="80"/>
      <c r="I1440" s="69"/>
      <c r="J1440" s="72"/>
      <c r="K1440" s="73"/>
      <c r="L1440" s="72"/>
      <c r="M1440" s="73"/>
      <c r="N1440" s="72"/>
      <c r="O1440" s="73"/>
      <c r="P1440" s="72"/>
      <c r="Q1440" s="73"/>
      <c r="R1440" s="72"/>
      <c r="S1440" s="73"/>
      <c r="T1440" s="72"/>
      <c r="U1440" s="73"/>
      <c r="V1440" s="72"/>
      <c r="W1440" s="73"/>
      <c r="X1440" s="72"/>
      <c r="Y1440" s="73"/>
      <c r="Z1440" s="74" t="b">
        <v>0</v>
      </c>
      <c r="AA1440" s="130">
        <f t="shared" si="571"/>
        <v>0</v>
      </c>
      <c r="AB1440" s="131">
        <f t="shared" si="572"/>
        <v>0</v>
      </c>
      <c r="AC1440" s="132">
        <f t="shared" si="573"/>
        <v>0</v>
      </c>
      <c r="AD1440" s="133">
        <f t="shared" si="574"/>
        <v>0</v>
      </c>
      <c r="AE1440" s="131">
        <f t="shared" si="575"/>
        <v>0</v>
      </c>
      <c r="AF1440" s="133">
        <f t="shared" si="576"/>
        <v>0</v>
      </c>
      <c r="AG1440" s="1"/>
    </row>
    <row r="1441" ht="21.0" customHeight="1">
      <c r="A1441" s="1"/>
      <c r="B1441" s="48" t="s">
        <v>47</v>
      </c>
      <c r="C1441" s="49"/>
      <c r="D1441" s="91">
        <f t="array" ref="D1441">iferror(vlookup(xlookup(B1430,'현황'!O:O,'현황'!O:O,,-1,-1),'현황'!O:S,4,false),0)</f>
        <v>0</v>
      </c>
      <c r="E1441" s="41"/>
      <c r="F1441" s="92" t="s">
        <v>40</v>
      </c>
      <c r="G1441" s="79"/>
      <c r="H1441" s="93"/>
      <c r="I1441" s="94"/>
      <c r="J1441" s="95"/>
      <c r="K1441" s="96"/>
      <c r="L1441" s="95"/>
      <c r="M1441" s="96"/>
      <c r="N1441" s="95"/>
      <c r="O1441" s="96"/>
      <c r="P1441" s="95"/>
      <c r="Q1441" s="96"/>
      <c r="R1441" s="95"/>
      <c r="S1441" s="96"/>
      <c r="T1441" s="95"/>
      <c r="U1441" s="96"/>
      <c r="V1441" s="95"/>
      <c r="W1441" s="96"/>
      <c r="X1441" s="95"/>
      <c r="Y1441" s="96"/>
      <c r="Z1441" s="97" t="b">
        <v>0</v>
      </c>
      <c r="AA1441" s="135">
        <f t="shared" si="571"/>
        <v>0</v>
      </c>
      <c r="AB1441" s="136">
        <f t="shared" si="572"/>
        <v>0</v>
      </c>
      <c r="AC1441" s="137">
        <f t="shared" si="573"/>
        <v>0</v>
      </c>
      <c r="AD1441" s="138">
        <f t="shared" si="574"/>
        <v>0</v>
      </c>
      <c r="AE1441" s="136">
        <f t="shared" si="575"/>
        <v>0</v>
      </c>
      <c r="AF1441" s="138">
        <f t="shared" si="576"/>
        <v>0</v>
      </c>
      <c r="AG1441" s="1"/>
    </row>
    <row r="1442" ht="21.0" customHeight="1">
      <c r="A1442" s="1"/>
      <c r="B1442" s="102" t="s">
        <v>48</v>
      </c>
      <c r="C1442" s="103"/>
      <c r="D1442" s="104">
        <f>iferror(D1441/D1439,0)</f>
        <v>0</v>
      </c>
      <c r="E1442" s="102" t="s">
        <v>49</v>
      </c>
      <c r="F1442" s="103"/>
      <c r="G1442" s="105"/>
      <c r="H1442" s="143" t="s">
        <v>50</v>
      </c>
      <c r="I1442" s="144"/>
      <c r="J1442" s="11"/>
      <c r="K1442" s="11"/>
      <c r="L1442" s="11"/>
      <c r="M1442" s="11"/>
      <c r="N1442" s="11"/>
      <c r="O1442" s="11"/>
      <c r="P1442" s="145" t="s">
        <v>51</v>
      </c>
      <c r="Q1442" s="12"/>
      <c r="R1442" s="146"/>
      <c r="S1442" s="11"/>
      <c r="T1442" s="11"/>
      <c r="U1442" s="11"/>
      <c r="V1442" s="11"/>
      <c r="W1442" s="11"/>
      <c r="X1442" s="11"/>
      <c r="Y1442" s="11"/>
      <c r="Z1442" s="12"/>
      <c r="AA1442" s="139">
        <f>SUM(AA1433:AA1441)</f>
        <v>0</v>
      </c>
      <c r="AB1442" s="140" t="s">
        <v>289</v>
      </c>
      <c r="AG1442" s="1"/>
    </row>
    <row r="1443" ht="21.0" customHeight="1">
      <c r="A1443" s="1"/>
      <c r="B1443" s="1"/>
      <c r="C1443" s="1"/>
      <c r="D1443" s="1"/>
      <c r="E1443" s="1"/>
      <c r="F1443" s="1"/>
      <c r="G1443" s="1"/>
      <c r="H1443" s="1"/>
      <c r="I1443" s="1"/>
      <c r="AA1443" s="1"/>
      <c r="AB1443" s="1"/>
      <c r="AC1443" s="3"/>
      <c r="AD1443" s="1"/>
      <c r="AE1443" s="1"/>
      <c r="AF1443" s="1"/>
      <c r="AG1443" s="1"/>
    </row>
    <row r="1444" ht="21.0" customHeight="1">
      <c r="A1444" s="1"/>
      <c r="B1444" s="4" t="s">
        <v>1</v>
      </c>
      <c r="C1444" s="5"/>
      <c r="D1444" s="6" t="s">
        <v>2</v>
      </c>
      <c r="E1444" s="7"/>
      <c r="F1444" s="7"/>
      <c r="G1444" s="5"/>
      <c r="H1444" s="8" t="s">
        <v>3</v>
      </c>
      <c r="I1444" s="8" t="s">
        <v>4</v>
      </c>
      <c r="J1444" s="9" t="s">
        <v>5</v>
      </c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5"/>
      <c r="AA1444" s="117" t="s">
        <v>6</v>
      </c>
      <c r="AB1444" s="11"/>
      <c r="AC1444" s="11"/>
      <c r="AD1444" s="11"/>
      <c r="AE1444" s="11"/>
      <c r="AF1444" s="12"/>
      <c r="AG1444" s="1"/>
    </row>
    <row r="1445" ht="21.0" customHeight="1">
      <c r="A1445" s="1"/>
      <c r="B1445" s="149" t="s">
        <v>138</v>
      </c>
      <c r="C1445" s="14" t="str">
        <f>if(B1445="0/0","",choose(weekday(B1445),"(일)","(월)","(화)","(수)","(목)","(금)","(토)"))</f>
        <v/>
      </c>
      <c r="D1445" s="15" t="s">
        <v>7</v>
      </c>
      <c r="E1445" s="16" t="s">
        <v>8</v>
      </c>
      <c r="F1445" s="17"/>
      <c r="G1445" s="18" t="s">
        <v>9</v>
      </c>
      <c r="H1445" s="150" t="s">
        <v>139</v>
      </c>
      <c r="I1445" s="151"/>
      <c r="J1445" s="21" t="s">
        <v>12</v>
      </c>
      <c r="K1445" s="22"/>
      <c r="L1445" s="21" t="s">
        <v>13</v>
      </c>
      <c r="M1445" s="22"/>
      <c r="N1445" s="21" t="s">
        <v>14</v>
      </c>
      <c r="O1445" s="22"/>
      <c r="P1445" s="21" t="s">
        <v>15</v>
      </c>
      <c r="Q1445" s="22"/>
      <c r="R1445" s="23" t="s">
        <v>16</v>
      </c>
      <c r="S1445" s="22"/>
      <c r="T1445" s="23" t="s">
        <v>17</v>
      </c>
      <c r="U1445" s="22"/>
      <c r="V1445" s="23" t="s">
        <v>18</v>
      </c>
      <c r="W1445" s="22"/>
      <c r="X1445" s="23" t="s">
        <v>19</v>
      </c>
      <c r="Y1445" s="22"/>
      <c r="Z1445" s="24" t="s">
        <v>290</v>
      </c>
      <c r="AA1445" s="118" t="s">
        <v>21</v>
      </c>
      <c r="AB1445" s="119" t="s">
        <v>22</v>
      </c>
      <c r="AC1445" s="7"/>
      <c r="AD1445" s="22"/>
      <c r="AE1445" s="120" t="s">
        <v>23</v>
      </c>
      <c r="AF1445" s="22"/>
      <c r="AG1445" s="1"/>
    </row>
    <row r="1446" ht="21.0" customHeight="1">
      <c r="A1446" s="1"/>
      <c r="B1446" s="27">
        <f>iferror(B1445-'현황'!$C$4+1,0)</f>
        <v>0</v>
      </c>
      <c r="C1446" s="28"/>
      <c r="D1446" s="29">
        <v>0.0</v>
      </c>
      <c r="E1446" s="30">
        <v>0.0</v>
      </c>
      <c r="F1446" s="31"/>
      <c r="G1446" s="32">
        <v>0.0</v>
      </c>
      <c r="H1446" s="33">
        <v>0.0</v>
      </c>
      <c r="I1446" s="34"/>
      <c r="J1446" s="35"/>
      <c r="K1446" s="36"/>
      <c r="L1446" s="35"/>
      <c r="M1446" s="36"/>
      <c r="N1446" s="35"/>
      <c r="O1446" s="36"/>
      <c r="P1446" s="35"/>
      <c r="Q1446" s="36"/>
      <c r="R1446" s="35"/>
      <c r="S1446" s="36"/>
      <c r="T1446" s="35"/>
      <c r="U1446" s="36"/>
      <c r="V1446" s="35"/>
      <c r="W1446" s="36"/>
      <c r="X1446" s="35"/>
      <c r="Y1446" s="36"/>
      <c r="Z1446" s="37"/>
      <c r="AA1446" s="37"/>
      <c r="AB1446" s="35"/>
      <c r="AC1446" s="38"/>
      <c r="AD1446" s="36"/>
      <c r="AE1446" s="35"/>
      <c r="AF1446" s="36"/>
      <c r="AG1446" s="1"/>
    </row>
    <row r="1447" ht="21.0" customHeight="1">
      <c r="A1447" s="1"/>
      <c r="B1447" s="39" t="s">
        <v>24</v>
      </c>
      <c r="C1447" s="40"/>
      <c r="D1447" s="41"/>
      <c r="E1447" s="42" t="s">
        <v>25</v>
      </c>
      <c r="F1447" s="40"/>
      <c r="G1447" s="41"/>
      <c r="H1447" s="43" t="s">
        <v>26</v>
      </c>
      <c r="J1447" s="44" t="s">
        <v>27</v>
      </c>
      <c r="K1447" s="45" t="s">
        <v>28</v>
      </c>
      <c r="L1447" s="44" t="s">
        <v>27</v>
      </c>
      <c r="M1447" s="45" t="s">
        <v>28</v>
      </c>
      <c r="N1447" s="44" t="s">
        <v>27</v>
      </c>
      <c r="O1447" s="45" t="s">
        <v>28</v>
      </c>
      <c r="P1447" s="44" t="s">
        <v>27</v>
      </c>
      <c r="Q1447" s="45" t="s">
        <v>28</v>
      </c>
      <c r="R1447" s="44" t="s">
        <v>27</v>
      </c>
      <c r="S1447" s="45" t="s">
        <v>28</v>
      </c>
      <c r="T1447" s="44" t="s">
        <v>27</v>
      </c>
      <c r="U1447" s="45" t="s">
        <v>28</v>
      </c>
      <c r="V1447" s="44" t="s">
        <v>27</v>
      </c>
      <c r="W1447" s="45" t="s">
        <v>28</v>
      </c>
      <c r="X1447" s="44" t="s">
        <v>27</v>
      </c>
      <c r="Y1447" s="45" t="s">
        <v>28</v>
      </c>
      <c r="Z1447" s="46"/>
      <c r="AA1447" s="46"/>
      <c r="AB1447" s="121" t="s">
        <v>29</v>
      </c>
      <c r="AC1447" s="122" t="s">
        <v>30</v>
      </c>
      <c r="AD1447" s="123" t="s">
        <v>31</v>
      </c>
      <c r="AE1447" s="121" t="s">
        <v>27</v>
      </c>
      <c r="AF1447" s="123" t="s">
        <v>28</v>
      </c>
      <c r="AG1447" s="1"/>
    </row>
    <row r="1448" ht="21.0" customHeight="1">
      <c r="A1448" s="1"/>
      <c r="B1448" s="48" t="s">
        <v>32</v>
      </c>
      <c r="C1448" s="49"/>
      <c r="D1448" s="50"/>
      <c r="E1448" s="51" t="s">
        <v>33</v>
      </c>
      <c r="F1448" s="52" t="s">
        <v>34</v>
      </c>
      <c r="G1448" s="53"/>
      <c r="H1448" s="148"/>
      <c r="I1448" s="55"/>
      <c r="J1448" s="58"/>
      <c r="K1448" s="59"/>
      <c r="L1448" s="58"/>
      <c r="M1448" s="59"/>
      <c r="N1448" s="58"/>
      <c r="O1448" s="59"/>
      <c r="P1448" s="58"/>
      <c r="Q1448" s="59"/>
      <c r="R1448" s="58"/>
      <c r="S1448" s="59"/>
      <c r="T1448" s="58"/>
      <c r="U1448" s="59"/>
      <c r="V1448" s="58"/>
      <c r="W1448" s="59"/>
      <c r="X1448" s="58"/>
      <c r="Y1448" s="59"/>
      <c r="Z1448" s="60" t="b">
        <v>0</v>
      </c>
      <c r="AA1448" s="125">
        <f t="shared" ref="AA1448:AA1456" si="577">(J1448*K1448+L1448*M1448+N1448*O1448+P1448*Q1448+R1448*S1448+T1448*U1448+V1448*W1448+X1448*Y1448)*if(Z1448=true,0.453592,1)</f>
        <v>0</v>
      </c>
      <c r="AB1448" s="126">
        <f t="shared" ref="AB1448:AB1456" si="578">SUM(AE1448*AF1448*0.025,AE1448)</f>
        <v>0</v>
      </c>
      <c r="AC1448" s="127">
        <f t="shared" ref="AC1448:AC1456" si="579">AB1448*87%</f>
        <v>0</v>
      </c>
      <c r="AD1448" s="128">
        <f t="shared" ref="AD1448:AD1456" si="580">AB1448*67%</f>
        <v>0</v>
      </c>
      <c r="AE1448" s="126">
        <f t="shared" ref="AE1448:AE1456" si="581">MAX(J1448,L1448,N1448,P1448,R1448,T1448,V1448,X1448)*if(Z1448=true,0.453592,1)</f>
        <v>0</v>
      </c>
      <c r="AF1448" s="128">
        <f t="shared" ref="AF1448:AF1456" si="582">MAX(IF(J1448*if(Z1448=true,0.453592,1)=$AE1448,K1448,0),IF(L1448*if(Z1448=true,0.453592,1)=$AE1448,M1448,0),IF(N1448*if(Z1448=true,0.453592,1)=$AE1448,O1448,0),IF(P1448*if(Z1448=true,0.453592,1)=$AE1448,Q1448,0),IF(R1448*if(Z1448=true,0.453592,1)=$AE1448,S1448,0),IF(T1448*if(Z1448=true,0.453592,1)=$AE1448,U1448,0),IF(V1448*if(Z1448=true,0.453592,1)=$AE1448,W1448,0),IF(X1448*if(Z1448=true,0.453592,1)=$AE1448,Y1448,0))</f>
        <v>0</v>
      </c>
      <c r="AG1448" s="1"/>
    </row>
    <row r="1449" ht="21.0" customHeight="1">
      <c r="A1449" s="1"/>
      <c r="B1449" s="48" t="s">
        <v>36</v>
      </c>
      <c r="C1449" s="49"/>
      <c r="D1449" s="65"/>
      <c r="E1449" s="66"/>
      <c r="F1449" s="52" t="s">
        <v>37</v>
      </c>
      <c r="G1449" s="67"/>
      <c r="H1449" s="129"/>
      <c r="I1449" s="69"/>
      <c r="J1449" s="72"/>
      <c r="K1449" s="73"/>
      <c r="L1449" s="72"/>
      <c r="M1449" s="73"/>
      <c r="N1449" s="72"/>
      <c r="O1449" s="73"/>
      <c r="P1449" s="72"/>
      <c r="Q1449" s="73"/>
      <c r="R1449" s="72"/>
      <c r="S1449" s="73"/>
      <c r="T1449" s="72"/>
      <c r="U1449" s="73"/>
      <c r="V1449" s="72"/>
      <c r="W1449" s="73"/>
      <c r="X1449" s="72"/>
      <c r="Y1449" s="73"/>
      <c r="Z1449" s="74" t="b">
        <v>0</v>
      </c>
      <c r="AA1449" s="130">
        <f t="shared" si="577"/>
        <v>0</v>
      </c>
      <c r="AB1449" s="131">
        <f t="shared" si="578"/>
        <v>0</v>
      </c>
      <c r="AC1449" s="132">
        <f t="shared" si="579"/>
        <v>0</v>
      </c>
      <c r="AD1449" s="133">
        <f t="shared" si="580"/>
        <v>0</v>
      </c>
      <c r="AE1449" s="131">
        <f t="shared" si="581"/>
        <v>0</v>
      </c>
      <c r="AF1449" s="133">
        <f t="shared" si="582"/>
        <v>0</v>
      </c>
      <c r="AG1449" s="1"/>
    </row>
    <row r="1450" ht="21.0" customHeight="1">
      <c r="A1450" s="1"/>
      <c r="B1450" s="48" t="s">
        <v>39</v>
      </c>
      <c r="C1450" s="49"/>
      <c r="D1450" s="65"/>
      <c r="E1450" s="41"/>
      <c r="F1450" s="52" t="s">
        <v>40</v>
      </c>
      <c r="G1450" s="79"/>
      <c r="H1450" s="80"/>
      <c r="I1450" s="69"/>
      <c r="J1450" s="72"/>
      <c r="K1450" s="73"/>
      <c r="L1450" s="72"/>
      <c r="M1450" s="73"/>
      <c r="N1450" s="72"/>
      <c r="O1450" s="73"/>
      <c r="P1450" s="72"/>
      <c r="Q1450" s="73"/>
      <c r="R1450" s="72"/>
      <c r="S1450" s="73"/>
      <c r="T1450" s="72"/>
      <c r="U1450" s="73"/>
      <c r="V1450" s="72"/>
      <c r="W1450" s="73"/>
      <c r="X1450" s="72"/>
      <c r="Y1450" s="73"/>
      <c r="Z1450" s="74" t="b">
        <v>0</v>
      </c>
      <c r="AA1450" s="130">
        <f t="shared" si="577"/>
        <v>0</v>
      </c>
      <c r="AB1450" s="131">
        <f t="shared" si="578"/>
        <v>0</v>
      </c>
      <c r="AC1450" s="132">
        <f t="shared" si="579"/>
        <v>0</v>
      </c>
      <c r="AD1450" s="133">
        <f t="shared" si="580"/>
        <v>0</v>
      </c>
      <c r="AE1450" s="131">
        <f t="shared" si="581"/>
        <v>0</v>
      </c>
      <c r="AF1450" s="133">
        <f t="shared" si="582"/>
        <v>0</v>
      </c>
      <c r="AG1450" s="1"/>
    </row>
    <row r="1451" ht="21.0" customHeight="1">
      <c r="A1451" s="1"/>
      <c r="B1451" s="48" t="s">
        <v>41</v>
      </c>
      <c r="C1451" s="81"/>
      <c r="D1451" s="82" t="b">
        <v>0</v>
      </c>
      <c r="E1451" s="51" t="s">
        <v>42</v>
      </c>
      <c r="F1451" s="52" t="s">
        <v>34</v>
      </c>
      <c r="G1451" s="83"/>
      <c r="H1451" s="84"/>
      <c r="I1451" s="85"/>
      <c r="J1451" s="72"/>
      <c r="K1451" s="73"/>
      <c r="L1451" s="72"/>
      <c r="M1451" s="73"/>
      <c r="N1451" s="72"/>
      <c r="O1451" s="73"/>
      <c r="P1451" s="72"/>
      <c r="Q1451" s="73"/>
      <c r="R1451" s="72"/>
      <c r="S1451" s="73"/>
      <c r="T1451" s="72"/>
      <c r="U1451" s="73"/>
      <c r="V1451" s="72"/>
      <c r="W1451" s="73"/>
      <c r="X1451" s="72"/>
      <c r="Y1451" s="73"/>
      <c r="Z1451" s="74" t="b">
        <v>0</v>
      </c>
      <c r="AA1451" s="130">
        <f t="shared" si="577"/>
        <v>0</v>
      </c>
      <c r="AB1451" s="131">
        <f t="shared" si="578"/>
        <v>0</v>
      </c>
      <c r="AC1451" s="132">
        <f t="shared" si="579"/>
        <v>0</v>
      </c>
      <c r="AD1451" s="133">
        <f t="shared" si="580"/>
        <v>0</v>
      </c>
      <c r="AE1451" s="131">
        <f t="shared" si="581"/>
        <v>0</v>
      </c>
      <c r="AF1451" s="133">
        <f t="shared" si="582"/>
        <v>0</v>
      </c>
      <c r="AG1451" s="1"/>
    </row>
    <row r="1452" ht="21.0" customHeight="1">
      <c r="A1452" s="1"/>
      <c r="B1452" s="48" t="s">
        <v>43</v>
      </c>
      <c r="C1452" s="49"/>
      <c r="D1452" s="86" t="b">
        <v>0</v>
      </c>
      <c r="E1452" s="66"/>
      <c r="F1452" s="52" t="s">
        <v>37</v>
      </c>
      <c r="G1452" s="67"/>
      <c r="H1452" s="80"/>
      <c r="I1452" s="69"/>
      <c r="J1452" s="72"/>
      <c r="K1452" s="73"/>
      <c r="L1452" s="72"/>
      <c r="M1452" s="73"/>
      <c r="N1452" s="72"/>
      <c r="O1452" s="73"/>
      <c r="P1452" s="72"/>
      <c r="Q1452" s="73"/>
      <c r="R1452" s="72"/>
      <c r="S1452" s="73"/>
      <c r="T1452" s="72"/>
      <c r="U1452" s="73"/>
      <c r="V1452" s="72"/>
      <c r="W1452" s="73"/>
      <c r="X1452" s="72"/>
      <c r="Y1452" s="73"/>
      <c r="Z1452" s="74" t="b">
        <v>0</v>
      </c>
      <c r="AA1452" s="130">
        <f t="shared" si="577"/>
        <v>0</v>
      </c>
      <c r="AB1452" s="131">
        <f t="shared" si="578"/>
        <v>0</v>
      </c>
      <c r="AC1452" s="132">
        <f t="shared" si="579"/>
        <v>0</v>
      </c>
      <c r="AD1452" s="133">
        <f t="shared" si="580"/>
        <v>0</v>
      </c>
      <c r="AE1452" s="131">
        <f t="shared" si="581"/>
        <v>0</v>
      </c>
      <c r="AF1452" s="133">
        <f t="shared" si="582"/>
        <v>0</v>
      </c>
      <c r="AG1452" s="1"/>
    </row>
    <row r="1453" ht="21.0" customHeight="1">
      <c r="A1453" s="1"/>
      <c r="B1453" s="87" t="str">
        <f t="array" ref="B1453">"📌최근 인바디 결과 : "&amp;text(xlookup(B1445,'현황'!O:O,'현황'!O:O,,-1,-1),"m/d(ddd)")</f>
        <v>#REF!</v>
      </c>
      <c r="C1453" s="88"/>
      <c r="D1453" s="49"/>
      <c r="E1453" s="41"/>
      <c r="F1453" s="52" t="s">
        <v>40</v>
      </c>
      <c r="G1453" s="79"/>
      <c r="H1453" s="80"/>
      <c r="I1453" s="69"/>
      <c r="J1453" s="72"/>
      <c r="K1453" s="73"/>
      <c r="L1453" s="72"/>
      <c r="M1453" s="73"/>
      <c r="N1453" s="72"/>
      <c r="O1453" s="73"/>
      <c r="P1453" s="72"/>
      <c r="Q1453" s="73"/>
      <c r="R1453" s="72"/>
      <c r="S1453" s="73"/>
      <c r="T1453" s="72"/>
      <c r="U1453" s="73"/>
      <c r="V1453" s="72"/>
      <c r="W1453" s="73"/>
      <c r="X1453" s="72"/>
      <c r="Y1453" s="73"/>
      <c r="Z1453" s="74" t="b">
        <v>0</v>
      </c>
      <c r="AA1453" s="130">
        <f t="shared" si="577"/>
        <v>0</v>
      </c>
      <c r="AB1453" s="131">
        <f t="shared" si="578"/>
        <v>0</v>
      </c>
      <c r="AC1453" s="132">
        <f t="shared" si="579"/>
        <v>0</v>
      </c>
      <c r="AD1453" s="133">
        <f t="shared" si="580"/>
        <v>0</v>
      </c>
      <c r="AE1453" s="131">
        <f t="shared" si="581"/>
        <v>0</v>
      </c>
      <c r="AF1453" s="133">
        <f t="shared" si="582"/>
        <v>0</v>
      </c>
      <c r="AG1453" s="1"/>
    </row>
    <row r="1454" ht="21.0" customHeight="1">
      <c r="A1454" s="1"/>
      <c r="B1454" s="89" t="s">
        <v>44</v>
      </c>
      <c r="C1454" s="49"/>
      <c r="D1454" s="90">
        <f t="array" ref="D1454">iferror(vlookup(xlookup(B1445,'현황'!O:O,'현황'!O:O,,-1,-1),'현황'!O:S,2,false),0)</f>
        <v>0</v>
      </c>
      <c r="E1454" s="51" t="s">
        <v>45</v>
      </c>
      <c r="F1454" s="52" t="s">
        <v>34</v>
      </c>
      <c r="G1454" s="83"/>
      <c r="H1454" s="84"/>
      <c r="I1454" s="85"/>
      <c r="J1454" s="72"/>
      <c r="K1454" s="73"/>
      <c r="L1454" s="72"/>
      <c r="M1454" s="73"/>
      <c r="N1454" s="72"/>
      <c r="O1454" s="73"/>
      <c r="P1454" s="72"/>
      <c r="Q1454" s="73"/>
      <c r="R1454" s="72"/>
      <c r="S1454" s="73"/>
      <c r="T1454" s="72"/>
      <c r="U1454" s="73"/>
      <c r="V1454" s="72"/>
      <c r="W1454" s="73"/>
      <c r="X1454" s="72"/>
      <c r="Y1454" s="73"/>
      <c r="Z1454" s="74" t="b">
        <v>0</v>
      </c>
      <c r="AA1454" s="130">
        <f t="shared" si="577"/>
        <v>0</v>
      </c>
      <c r="AB1454" s="131">
        <f t="shared" si="578"/>
        <v>0</v>
      </c>
      <c r="AC1454" s="132">
        <f t="shared" si="579"/>
        <v>0</v>
      </c>
      <c r="AD1454" s="133">
        <f t="shared" si="580"/>
        <v>0</v>
      </c>
      <c r="AE1454" s="131">
        <f t="shared" si="581"/>
        <v>0</v>
      </c>
      <c r="AF1454" s="133">
        <f t="shared" si="582"/>
        <v>0</v>
      </c>
      <c r="AG1454" s="1"/>
    </row>
    <row r="1455" ht="21.0" customHeight="1">
      <c r="A1455" s="1"/>
      <c r="B1455" s="48" t="s">
        <v>46</v>
      </c>
      <c r="C1455" s="49"/>
      <c r="D1455" s="91">
        <f t="array" ref="D1455">iferror(vlookup(xlookup(B1445,'현황'!O:O,'현황'!O:O,,-1,-1),'현황'!O:S,3,false),0)</f>
        <v>0</v>
      </c>
      <c r="E1455" s="66"/>
      <c r="F1455" s="52" t="s">
        <v>37</v>
      </c>
      <c r="G1455" s="67"/>
      <c r="H1455" s="80"/>
      <c r="I1455" s="69"/>
      <c r="J1455" s="72"/>
      <c r="K1455" s="73"/>
      <c r="L1455" s="72"/>
      <c r="M1455" s="73"/>
      <c r="N1455" s="72"/>
      <c r="O1455" s="73"/>
      <c r="P1455" s="72"/>
      <c r="Q1455" s="73"/>
      <c r="R1455" s="72"/>
      <c r="S1455" s="73"/>
      <c r="T1455" s="72"/>
      <c r="U1455" s="73"/>
      <c r="V1455" s="72"/>
      <c r="W1455" s="73"/>
      <c r="X1455" s="72"/>
      <c r="Y1455" s="73"/>
      <c r="Z1455" s="74" t="b">
        <v>0</v>
      </c>
      <c r="AA1455" s="130">
        <f t="shared" si="577"/>
        <v>0</v>
      </c>
      <c r="AB1455" s="131">
        <f t="shared" si="578"/>
        <v>0</v>
      </c>
      <c r="AC1455" s="132">
        <f t="shared" si="579"/>
        <v>0</v>
      </c>
      <c r="AD1455" s="133">
        <f t="shared" si="580"/>
        <v>0</v>
      </c>
      <c r="AE1455" s="131">
        <f t="shared" si="581"/>
        <v>0</v>
      </c>
      <c r="AF1455" s="133">
        <f t="shared" si="582"/>
        <v>0</v>
      </c>
      <c r="AG1455" s="1"/>
    </row>
    <row r="1456" ht="21.0" customHeight="1">
      <c r="A1456" s="1"/>
      <c r="B1456" s="48" t="s">
        <v>47</v>
      </c>
      <c r="C1456" s="49"/>
      <c r="D1456" s="91">
        <f t="array" ref="D1456">iferror(vlookup(xlookup(B1445,'현황'!O:O,'현황'!O:O,,-1,-1),'현황'!O:S,4,false),0)</f>
        <v>0</v>
      </c>
      <c r="E1456" s="41"/>
      <c r="F1456" s="92" t="s">
        <v>40</v>
      </c>
      <c r="G1456" s="79"/>
      <c r="H1456" s="93"/>
      <c r="I1456" s="94"/>
      <c r="J1456" s="95"/>
      <c r="K1456" s="96"/>
      <c r="L1456" s="95"/>
      <c r="M1456" s="96"/>
      <c r="N1456" s="95"/>
      <c r="O1456" s="96"/>
      <c r="P1456" s="95"/>
      <c r="Q1456" s="96"/>
      <c r="R1456" s="95"/>
      <c r="S1456" s="96"/>
      <c r="T1456" s="95"/>
      <c r="U1456" s="96"/>
      <c r="V1456" s="95"/>
      <c r="W1456" s="96"/>
      <c r="X1456" s="95"/>
      <c r="Y1456" s="96"/>
      <c r="Z1456" s="97" t="b">
        <v>0</v>
      </c>
      <c r="AA1456" s="135">
        <f t="shared" si="577"/>
        <v>0</v>
      </c>
      <c r="AB1456" s="136">
        <f t="shared" si="578"/>
        <v>0</v>
      </c>
      <c r="AC1456" s="137">
        <f t="shared" si="579"/>
        <v>0</v>
      </c>
      <c r="AD1456" s="138">
        <f t="shared" si="580"/>
        <v>0</v>
      </c>
      <c r="AE1456" s="136">
        <f t="shared" si="581"/>
        <v>0</v>
      </c>
      <c r="AF1456" s="138">
        <f t="shared" si="582"/>
        <v>0</v>
      </c>
      <c r="AG1456" s="1"/>
    </row>
    <row r="1457" ht="21.0" customHeight="1">
      <c r="A1457" s="1"/>
      <c r="B1457" s="102" t="s">
        <v>48</v>
      </c>
      <c r="C1457" s="103"/>
      <c r="D1457" s="104">
        <f>iferror(D1456/D1454,0)</f>
        <v>0</v>
      </c>
      <c r="E1457" s="102" t="s">
        <v>49</v>
      </c>
      <c r="F1457" s="103"/>
      <c r="G1457" s="105"/>
      <c r="H1457" s="106" t="s">
        <v>50</v>
      </c>
      <c r="I1457" s="107"/>
      <c r="J1457" s="11"/>
      <c r="K1457" s="11"/>
      <c r="L1457" s="11"/>
      <c r="M1457" s="11"/>
      <c r="N1457" s="11"/>
      <c r="O1457" s="11"/>
      <c r="P1457" s="108" t="s">
        <v>51</v>
      </c>
      <c r="Q1457" s="12"/>
      <c r="R1457" s="109"/>
      <c r="S1457" s="11"/>
      <c r="T1457" s="11"/>
      <c r="U1457" s="11"/>
      <c r="V1457" s="11"/>
      <c r="W1457" s="11"/>
      <c r="X1457" s="11"/>
      <c r="Y1457" s="11"/>
      <c r="Z1457" s="12"/>
      <c r="AA1457" s="139">
        <f>SUM(AA1448:AA1456)</f>
        <v>0</v>
      </c>
      <c r="AB1457" s="140" t="s">
        <v>291</v>
      </c>
      <c r="AG1457" s="1"/>
    </row>
    <row r="1458" ht="21.0" customHeight="1">
      <c r="A1458" s="1"/>
      <c r="B1458" s="1"/>
      <c r="C1458" s="1"/>
      <c r="D1458" s="1"/>
      <c r="E1458" s="1"/>
      <c r="F1458" s="1"/>
      <c r="G1458" s="1"/>
      <c r="H1458" s="1"/>
      <c r="I1458" s="1"/>
      <c r="AA1458" s="1"/>
      <c r="AB1458" s="1"/>
      <c r="AC1458" s="3"/>
      <c r="AD1458" s="1"/>
      <c r="AE1458" s="1"/>
      <c r="AF1458" s="1"/>
      <c r="AG1458" s="1"/>
    </row>
    <row r="1459" ht="21.0" customHeight="1">
      <c r="A1459" s="1"/>
      <c r="B1459" s="4" t="s">
        <v>1</v>
      </c>
      <c r="C1459" s="5"/>
      <c r="D1459" s="6" t="s">
        <v>2</v>
      </c>
      <c r="E1459" s="7"/>
      <c r="F1459" s="7"/>
      <c r="G1459" s="5"/>
      <c r="H1459" s="8" t="s">
        <v>3</v>
      </c>
      <c r="I1459" s="8" t="s">
        <v>4</v>
      </c>
      <c r="J1459" s="9" t="s">
        <v>5</v>
      </c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5"/>
      <c r="AA1459" s="117" t="s">
        <v>6</v>
      </c>
      <c r="AB1459" s="11"/>
      <c r="AC1459" s="11"/>
      <c r="AD1459" s="11"/>
      <c r="AE1459" s="11"/>
      <c r="AF1459" s="12"/>
      <c r="AG1459" s="1"/>
    </row>
    <row r="1460" ht="21.0" customHeight="1">
      <c r="A1460" s="1"/>
      <c r="B1460" s="149" t="s">
        <v>138</v>
      </c>
      <c r="C1460" s="14" t="str">
        <f>if(B1460="0/0","",choose(weekday(B1460),"(일)","(월)","(화)","(수)","(목)","(금)","(토)"))</f>
        <v/>
      </c>
      <c r="D1460" s="15" t="s">
        <v>7</v>
      </c>
      <c r="E1460" s="16" t="s">
        <v>8</v>
      </c>
      <c r="F1460" s="17"/>
      <c r="G1460" s="18" t="s">
        <v>9</v>
      </c>
      <c r="H1460" s="150" t="s">
        <v>139</v>
      </c>
      <c r="I1460" s="151"/>
      <c r="J1460" s="21" t="s">
        <v>12</v>
      </c>
      <c r="K1460" s="22"/>
      <c r="L1460" s="21" t="s">
        <v>13</v>
      </c>
      <c r="M1460" s="22"/>
      <c r="N1460" s="21" t="s">
        <v>14</v>
      </c>
      <c r="O1460" s="22"/>
      <c r="P1460" s="21" t="s">
        <v>15</v>
      </c>
      <c r="Q1460" s="22"/>
      <c r="R1460" s="23" t="s">
        <v>16</v>
      </c>
      <c r="S1460" s="22"/>
      <c r="T1460" s="23" t="s">
        <v>17</v>
      </c>
      <c r="U1460" s="22"/>
      <c r="V1460" s="23" t="s">
        <v>18</v>
      </c>
      <c r="W1460" s="22"/>
      <c r="X1460" s="23" t="s">
        <v>19</v>
      </c>
      <c r="Y1460" s="22"/>
      <c r="Z1460" s="24" t="s">
        <v>292</v>
      </c>
      <c r="AA1460" s="118" t="s">
        <v>21</v>
      </c>
      <c r="AB1460" s="119" t="s">
        <v>22</v>
      </c>
      <c r="AC1460" s="7"/>
      <c r="AD1460" s="22"/>
      <c r="AE1460" s="120" t="s">
        <v>23</v>
      </c>
      <c r="AF1460" s="22"/>
      <c r="AG1460" s="1"/>
    </row>
    <row r="1461" ht="21.0" customHeight="1">
      <c r="A1461" s="1"/>
      <c r="B1461" s="27">
        <f>iferror(B1460-'현황'!$C$4+1,0)</f>
        <v>0</v>
      </c>
      <c r="C1461" s="28"/>
      <c r="D1461" s="29">
        <v>0.0</v>
      </c>
      <c r="E1461" s="30">
        <v>0.0</v>
      </c>
      <c r="F1461" s="31"/>
      <c r="G1461" s="32">
        <v>0.0</v>
      </c>
      <c r="H1461" s="33">
        <v>0.0</v>
      </c>
      <c r="I1461" s="34"/>
      <c r="J1461" s="35"/>
      <c r="K1461" s="36"/>
      <c r="L1461" s="35"/>
      <c r="M1461" s="36"/>
      <c r="N1461" s="35"/>
      <c r="O1461" s="36"/>
      <c r="P1461" s="35"/>
      <c r="Q1461" s="36"/>
      <c r="R1461" s="35"/>
      <c r="S1461" s="36"/>
      <c r="T1461" s="35"/>
      <c r="U1461" s="36"/>
      <c r="V1461" s="35"/>
      <c r="W1461" s="36"/>
      <c r="X1461" s="35"/>
      <c r="Y1461" s="36"/>
      <c r="Z1461" s="37"/>
      <c r="AA1461" s="37"/>
      <c r="AB1461" s="35"/>
      <c r="AC1461" s="38"/>
      <c r="AD1461" s="36"/>
      <c r="AE1461" s="35"/>
      <c r="AF1461" s="36"/>
      <c r="AG1461" s="1"/>
    </row>
    <row r="1462" ht="21.0" customHeight="1">
      <c r="A1462" s="1"/>
      <c r="B1462" s="39" t="s">
        <v>24</v>
      </c>
      <c r="C1462" s="40"/>
      <c r="D1462" s="41"/>
      <c r="E1462" s="42" t="s">
        <v>25</v>
      </c>
      <c r="F1462" s="40"/>
      <c r="G1462" s="41"/>
      <c r="H1462" s="43" t="s">
        <v>26</v>
      </c>
      <c r="J1462" s="44" t="s">
        <v>27</v>
      </c>
      <c r="K1462" s="45" t="s">
        <v>28</v>
      </c>
      <c r="L1462" s="44" t="s">
        <v>27</v>
      </c>
      <c r="M1462" s="45" t="s">
        <v>28</v>
      </c>
      <c r="N1462" s="44" t="s">
        <v>27</v>
      </c>
      <c r="O1462" s="45" t="s">
        <v>28</v>
      </c>
      <c r="P1462" s="44" t="s">
        <v>27</v>
      </c>
      <c r="Q1462" s="45" t="s">
        <v>28</v>
      </c>
      <c r="R1462" s="44" t="s">
        <v>27</v>
      </c>
      <c r="S1462" s="45" t="s">
        <v>28</v>
      </c>
      <c r="T1462" s="44" t="s">
        <v>27</v>
      </c>
      <c r="U1462" s="45" t="s">
        <v>28</v>
      </c>
      <c r="V1462" s="44" t="s">
        <v>27</v>
      </c>
      <c r="W1462" s="45" t="s">
        <v>28</v>
      </c>
      <c r="X1462" s="44" t="s">
        <v>27</v>
      </c>
      <c r="Y1462" s="45" t="s">
        <v>28</v>
      </c>
      <c r="Z1462" s="46"/>
      <c r="AA1462" s="46"/>
      <c r="AB1462" s="121" t="s">
        <v>29</v>
      </c>
      <c r="AC1462" s="122" t="s">
        <v>30</v>
      </c>
      <c r="AD1462" s="123" t="s">
        <v>31</v>
      </c>
      <c r="AE1462" s="121" t="s">
        <v>27</v>
      </c>
      <c r="AF1462" s="123" t="s">
        <v>28</v>
      </c>
      <c r="AG1462" s="1"/>
    </row>
    <row r="1463" ht="21.0" customHeight="1">
      <c r="A1463" s="1"/>
      <c r="B1463" s="48" t="s">
        <v>32</v>
      </c>
      <c r="C1463" s="49"/>
      <c r="D1463" s="50"/>
      <c r="E1463" s="51" t="s">
        <v>33</v>
      </c>
      <c r="F1463" s="52" t="s">
        <v>34</v>
      </c>
      <c r="G1463" s="53"/>
      <c r="H1463" s="148"/>
      <c r="I1463" s="55"/>
      <c r="J1463" s="58"/>
      <c r="K1463" s="59"/>
      <c r="L1463" s="58"/>
      <c r="M1463" s="59"/>
      <c r="N1463" s="58"/>
      <c r="O1463" s="59"/>
      <c r="P1463" s="58"/>
      <c r="Q1463" s="59"/>
      <c r="R1463" s="58"/>
      <c r="S1463" s="59"/>
      <c r="T1463" s="58"/>
      <c r="U1463" s="59"/>
      <c r="V1463" s="58"/>
      <c r="W1463" s="59"/>
      <c r="X1463" s="58"/>
      <c r="Y1463" s="59"/>
      <c r="Z1463" s="60" t="b">
        <v>0</v>
      </c>
      <c r="AA1463" s="125">
        <f t="shared" ref="AA1463:AA1471" si="583">(J1463*K1463+L1463*M1463+N1463*O1463+P1463*Q1463+R1463*S1463+T1463*U1463+V1463*W1463+X1463*Y1463)*if(Z1463=true,0.453592,1)</f>
        <v>0</v>
      </c>
      <c r="AB1463" s="126">
        <f t="shared" ref="AB1463:AB1471" si="584">SUM(AE1463*AF1463*0.025,AE1463)</f>
        <v>0</v>
      </c>
      <c r="AC1463" s="127">
        <f t="shared" ref="AC1463:AC1471" si="585">AB1463*87%</f>
        <v>0</v>
      </c>
      <c r="AD1463" s="128">
        <f t="shared" ref="AD1463:AD1471" si="586">AB1463*67%</f>
        <v>0</v>
      </c>
      <c r="AE1463" s="126">
        <f t="shared" ref="AE1463:AE1471" si="587">MAX(J1463,L1463,N1463,P1463,R1463,T1463,V1463,X1463)*if(Z1463=true,0.453592,1)</f>
        <v>0</v>
      </c>
      <c r="AF1463" s="128">
        <f t="shared" ref="AF1463:AF1471" si="588">MAX(IF(J1463*if(Z1463=true,0.453592,1)=$AE1463,K1463,0),IF(L1463*if(Z1463=true,0.453592,1)=$AE1463,M1463,0),IF(N1463*if(Z1463=true,0.453592,1)=$AE1463,O1463,0),IF(P1463*if(Z1463=true,0.453592,1)=$AE1463,Q1463,0),IF(R1463*if(Z1463=true,0.453592,1)=$AE1463,S1463,0),IF(T1463*if(Z1463=true,0.453592,1)=$AE1463,U1463,0),IF(V1463*if(Z1463=true,0.453592,1)=$AE1463,W1463,0),IF(X1463*if(Z1463=true,0.453592,1)=$AE1463,Y1463,0))</f>
        <v>0</v>
      </c>
      <c r="AG1463" s="1"/>
    </row>
    <row r="1464" ht="21.0" customHeight="1">
      <c r="A1464" s="1"/>
      <c r="B1464" s="48" t="s">
        <v>36</v>
      </c>
      <c r="C1464" s="49"/>
      <c r="D1464" s="65"/>
      <c r="E1464" s="66"/>
      <c r="F1464" s="52" t="s">
        <v>37</v>
      </c>
      <c r="G1464" s="67"/>
      <c r="H1464" s="129"/>
      <c r="I1464" s="69"/>
      <c r="J1464" s="72"/>
      <c r="K1464" s="73"/>
      <c r="L1464" s="72"/>
      <c r="M1464" s="73"/>
      <c r="N1464" s="72"/>
      <c r="O1464" s="73"/>
      <c r="P1464" s="72"/>
      <c r="Q1464" s="73"/>
      <c r="R1464" s="72"/>
      <c r="S1464" s="73"/>
      <c r="T1464" s="72"/>
      <c r="U1464" s="73"/>
      <c r="V1464" s="72"/>
      <c r="W1464" s="73"/>
      <c r="X1464" s="72"/>
      <c r="Y1464" s="73"/>
      <c r="Z1464" s="74" t="b">
        <v>0</v>
      </c>
      <c r="AA1464" s="130">
        <f t="shared" si="583"/>
        <v>0</v>
      </c>
      <c r="AB1464" s="131">
        <f t="shared" si="584"/>
        <v>0</v>
      </c>
      <c r="AC1464" s="132">
        <f t="shared" si="585"/>
        <v>0</v>
      </c>
      <c r="AD1464" s="133">
        <f t="shared" si="586"/>
        <v>0</v>
      </c>
      <c r="AE1464" s="131">
        <f t="shared" si="587"/>
        <v>0</v>
      </c>
      <c r="AF1464" s="133">
        <f t="shared" si="588"/>
        <v>0</v>
      </c>
      <c r="AG1464" s="1"/>
    </row>
    <row r="1465" ht="21.0" customHeight="1">
      <c r="A1465" s="1"/>
      <c r="B1465" s="48" t="s">
        <v>39</v>
      </c>
      <c r="C1465" s="49"/>
      <c r="D1465" s="65"/>
      <c r="E1465" s="41"/>
      <c r="F1465" s="52" t="s">
        <v>40</v>
      </c>
      <c r="G1465" s="79"/>
      <c r="H1465" s="80"/>
      <c r="I1465" s="69"/>
      <c r="J1465" s="72"/>
      <c r="K1465" s="73"/>
      <c r="L1465" s="72"/>
      <c r="M1465" s="73"/>
      <c r="N1465" s="72"/>
      <c r="O1465" s="73"/>
      <c r="P1465" s="72"/>
      <c r="Q1465" s="73"/>
      <c r="R1465" s="72"/>
      <c r="S1465" s="73"/>
      <c r="T1465" s="72"/>
      <c r="U1465" s="73"/>
      <c r="V1465" s="72"/>
      <c r="W1465" s="73"/>
      <c r="X1465" s="72"/>
      <c r="Y1465" s="73"/>
      <c r="Z1465" s="74" t="b">
        <v>0</v>
      </c>
      <c r="AA1465" s="130">
        <f t="shared" si="583"/>
        <v>0</v>
      </c>
      <c r="AB1465" s="131">
        <f t="shared" si="584"/>
        <v>0</v>
      </c>
      <c r="AC1465" s="132">
        <f t="shared" si="585"/>
        <v>0</v>
      </c>
      <c r="AD1465" s="133">
        <f t="shared" si="586"/>
        <v>0</v>
      </c>
      <c r="AE1465" s="131">
        <f t="shared" si="587"/>
        <v>0</v>
      </c>
      <c r="AF1465" s="133">
        <f t="shared" si="588"/>
        <v>0</v>
      </c>
      <c r="AG1465" s="1"/>
    </row>
    <row r="1466" ht="21.0" customHeight="1">
      <c r="A1466" s="1"/>
      <c r="B1466" s="48" t="s">
        <v>41</v>
      </c>
      <c r="C1466" s="81"/>
      <c r="D1466" s="82" t="b">
        <v>0</v>
      </c>
      <c r="E1466" s="51" t="s">
        <v>42</v>
      </c>
      <c r="F1466" s="52" t="s">
        <v>34</v>
      </c>
      <c r="G1466" s="83"/>
      <c r="H1466" s="84"/>
      <c r="I1466" s="85"/>
      <c r="J1466" s="72"/>
      <c r="K1466" s="73"/>
      <c r="L1466" s="72"/>
      <c r="M1466" s="73"/>
      <c r="N1466" s="72"/>
      <c r="O1466" s="73"/>
      <c r="P1466" s="72"/>
      <c r="Q1466" s="73"/>
      <c r="R1466" s="72"/>
      <c r="S1466" s="73"/>
      <c r="T1466" s="72"/>
      <c r="U1466" s="73"/>
      <c r="V1466" s="72"/>
      <c r="W1466" s="73"/>
      <c r="X1466" s="72"/>
      <c r="Y1466" s="73"/>
      <c r="Z1466" s="74" t="b">
        <v>0</v>
      </c>
      <c r="AA1466" s="130">
        <f t="shared" si="583"/>
        <v>0</v>
      </c>
      <c r="AB1466" s="131">
        <f t="shared" si="584"/>
        <v>0</v>
      </c>
      <c r="AC1466" s="132">
        <f t="shared" si="585"/>
        <v>0</v>
      </c>
      <c r="AD1466" s="133">
        <f t="shared" si="586"/>
        <v>0</v>
      </c>
      <c r="AE1466" s="131">
        <f t="shared" si="587"/>
        <v>0</v>
      </c>
      <c r="AF1466" s="133">
        <f t="shared" si="588"/>
        <v>0</v>
      </c>
      <c r="AG1466" s="1"/>
    </row>
    <row r="1467" ht="21.0" customHeight="1">
      <c r="A1467" s="1"/>
      <c r="B1467" s="48" t="s">
        <v>43</v>
      </c>
      <c r="C1467" s="49"/>
      <c r="D1467" s="86" t="b">
        <v>0</v>
      </c>
      <c r="E1467" s="66"/>
      <c r="F1467" s="52" t="s">
        <v>37</v>
      </c>
      <c r="G1467" s="67"/>
      <c r="H1467" s="80"/>
      <c r="I1467" s="69"/>
      <c r="J1467" s="72"/>
      <c r="K1467" s="73"/>
      <c r="L1467" s="72"/>
      <c r="M1467" s="73"/>
      <c r="N1467" s="72"/>
      <c r="O1467" s="73"/>
      <c r="P1467" s="72"/>
      <c r="Q1467" s="73"/>
      <c r="R1467" s="72"/>
      <c r="S1467" s="73"/>
      <c r="T1467" s="72"/>
      <c r="U1467" s="73"/>
      <c r="V1467" s="72"/>
      <c r="W1467" s="73"/>
      <c r="X1467" s="72"/>
      <c r="Y1467" s="73"/>
      <c r="Z1467" s="74" t="b">
        <v>0</v>
      </c>
      <c r="AA1467" s="130">
        <f t="shared" si="583"/>
        <v>0</v>
      </c>
      <c r="AB1467" s="131">
        <f t="shared" si="584"/>
        <v>0</v>
      </c>
      <c r="AC1467" s="132">
        <f t="shared" si="585"/>
        <v>0</v>
      </c>
      <c r="AD1467" s="133">
        <f t="shared" si="586"/>
        <v>0</v>
      </c>
      <c r="AE1467" s="131">
        <f t="shared" si="587"/>
        <v>0</v>
      </c>
      <c r="AF1467" s="133">
        <f t="shared" si="588"/>
        <v>0</v>
      </c>
      <c r="AG1467" s="1"/>
    </row>
    <row r="1468" ht="21.0" customHeight="1">
      <c r="A1468" s="1"/>
      <c r="B1468" s="87" t="str">
        <f t="array" ref="B1468">"📌최근 인바디 결과 : "&amp;text(xlookup(B1460,'현황'!O:O,'현황'!O:O,,-1,-1),"m/d(ddd)")</f>
        <v>#REF!</v>
      </c>
      <c r="C1468" s="88"/>
      <c r="D1468" s="49"/>
      <c r="E1468" s="41"/>
      <c r="F1468" s="52" t="s">
        <v>40</v>
      </c>
      <c r="G1468" s="79"/>
      <c r="H1468" s="80"/>
      <c r="I1468" s="69"/>
      <c r="J1468" s="72"/>
      <c r="K1468" s="73"/>
      <c r="L1468" s="72"/>
      <c r="M1468" s="73"/>
      <c r="N1468" s="72"/>
      <c r="O1468" s="73"/>
      <c r="P1468" s="72"/>
      <c r="Q1468" s="73"/>
      <c r="R1468" s="72"/>
      <c r="S1468" s="73"/>
      <c r="T1468" s="72"/>
      <c r="U1468" s="73"/>
      <c r="V1468" s="72"/>
      <c r="W1468" s="73"/>
      <c r="X1468" s="72"/>
      <c r="Y1468" s="73"/>
      <c r="Z1468" s="74" t="b">
        <v>0</v>
      </c>
      <c r="AA1468" s="130">
        <f t="shared" si="583"/>
        <v>0</v>
      </c>
      <c r="AB1468" s="131">
        <f t="shared" si="584"/>
        <v>0</v>
      </c>
      <c r="AC1468" s="132">
        <f t="shared" si="585"/>
        <v>0</v>
      </c>
      <c r="AD1468" s="133">
        <f t="shared" si="586"/>
        <v>0</v>
      </c>
      <c r="AE1468" s="131">
        <f t="shared" si="587"/>
        <v>0</v>
      </c>
      <c r="AF1468" s="133">
        <f t="shared" si="588"/>
        <v>0</v>
      </c>
      <c r="AG1468" s="1"/>
    </row>
    <row r="1469" ht="21.0" customHeight="1">
      <c r="A1469" s="1"/>
      <c r="B1469" s="89" t="s">
        <v>44</v>
      </c>
      <c r="C1469" s="49"/>
      <c r="D1469" s="90">
        <f t="array" ref="D1469">iferror(vlookup(xlookup(B1460,'현황'!O:O,'현황'!O:O,,-1,-1),'현황'!O:S,2,false),0)</f>
        <v>0</v>
      </c>
      <c r="E1469" s="51" t="s">
        <v>45</v>
      </c>
      <c r="F1469" s="52" t="s">
        <v>34</v>
      </c>
      <c r="G1469" s="83"/>
      <c r="H1469" s="84"/>
      <c r="I1469" s="85"/>
      <c r="J1469" s="72"/>
      <c r="K1469" s="73"/>
      <c r="L1469" s="72"/>
      <c r="M1469" s="73"/>
      <c r="N1469" s="72"/>
      <c r="O1469" s="73"/>
      <c r="P1469" s="72"/>
      <c r="Q1469" s="73"/>
      <c r="R1469" s="72"/>
      <c r="S1469" s="73"/>
      <c r="T1469" s="72"/>
      <c r="U1469" s="73"/>
      <c r="V1469" s="72"/>
      <c r="W1469" s="73"/>
      <c r="X1469" s="72"/>
      <c r="Y1469" s="73"/>
      <c r="Z1469" s="74" t="b">
        <v>0</v>
      </c>
      <c r="AA1469" s="130">
        <f t="shared" si="583"/>
        <v>0</v>
      </c>
      <c r="AB1469" s="131">
        <f t="shared" si="584"/>
        <v>0</v>
      </c>
      <c r="AC1469" s="132">
        <f t="shared" si="585"/>
        <v>0</v>
      </c>
      <c r="AD1469" s="133">
        <f t="shared" si="586"/>
        <v>0</v>
      </c>
      <c r="AE1469" s="131">
        <f t="shared" si="587"/>
        <v>0</v>
      </c>
      <c r="AF1469" s="133">
        <f t="shared" si="588"/>
        <v>0</v>
      </c>
      <c r="AG1469" s="1"/>
    </row>
    <row r="1470" ht="21.0" customHeight="1">
      <c r="A1470" s="1"/>
      <c r="B1470" s="48" t="s">
        <v>46</v>
      </c>
      <c r="C1470" s="49"/>
      <c r="D1470" s="91">
        <f t="array" ref="D1470">iferror(vlookup(xlookup(B1460,'현황'!O:O,'현황'!O:O,,-1,-1),'현황'!O:S,3,false),0)</f>
        <v>0</v>
      </c>
      <c r="E1470" s="66"/>
      <c r="F1470" s="52" t="s">
        <v>37</v>
      </c>
      <c r="G1470" s="67"/>
      <c r="H1470" s="80"/>
      <c r="I1470" s="69"/>
      <c r="J1470" s="72"/>
      <c r="K1470" s="73"/>
      <c r="L1470" s="72"/>
      <c r="M1470" s="73"/>
      <c r="N1470" s="72"/>
      <c r="O1470" s="73"/>
      <c r="P1470" s="72"/>
      <c r="Q1470" s="73"/>
      <c r="R1470" s="72"/>
      <c r="S1470" s="73"/>
      <c r="T1470" s="72"/>
      <c r="U1470" s="73"/>
      <c r="V1470" s="72"/>
      <c r="W1470" s="73"/>
      <c r="X1470" s="72"/>
      <c r="Y1470" s="73"/>
      <c r="Z1470" s="74" t="b">
        <v>0</v>
      </c>
      <c r="AA1470" s="130">
        <f t="shared" si="583"/>
        <v>0</v>
      </c>
      <c r="AB1470" s="131">
        <f t="shared" si="584"/>
        <v>0</v>
      </c>
      <c r="AC1470" s="132">
        <f t="shared" si="585"/>
        <v>0</v>
      </c>
      <c r="AD1470" s="133">
        <f t="shared" si="586"/>
        <v>0</v>
      </c>
      <c r="AE1470" s="131">
        <f t="shared" si="587"/>
        <v>0</v>
      </c>
      <c r="AF1470" s="133">
        <f t="shared" si="588"/>
        <v>0</v>
      </c>
      <c r="AG1470" s="1"/>
    </row>
    <row r="1471" ht="21.0" customHeight="1">
      <c r="A1471" s="1"/>
      <c r="B1471" s="48" t="s">
        <v>47</v>
      </c>
      <c r="C1471" s="49"/>
      <c r="D1471" s="91">
        <f t="array" ref="D1471">iferror(vlookup(xlookup(B1460,'현황'!O:O,'현황'!O:O,,-1,-1),'현황'!O:S,4,false),0)</f>
        <v>0</v>
      </c>
      <c r="E1471" s="41"/>
      <c r="F1471" s="92" t="s">
        <v>40</v>
      </c>
      <c r="G1471" s="79"/>
      <c r="H1471" s="93"/>
      <c r="I1471" s="94"/>
      <c r="J1471" s="95"/>
      <c r="K1471" s="96"/>
      <c r="L1471" s="95"/>
      <c r="M1471" s="96"/>
      <c r="N1471" s="95"/>
      <c r="O1471" s="96"/>
      <c r="P1471" s="95"/>
      <c r="Q1471" s="96"/>
      <c r="R1471" s="95"/>
      <c r="S1471" s="96"/>
      <c r="T1471" s="95"/>
      <c r="U1471" s="96"/>
      <c r="V1471" s="95"/>
      <c r="W1471" s="96"/>
      <c r="X1471" s="95"/>
      <c r="Y1471" s="96"/>
      <c r="Z1471" s="97" t="b">
        <v>0</v>
      </c>
      <c r="AA1471" s="135">
        <f t="shared" si="583"/>
        <v>0</v>
      </c>
      <c r="AB1471" s="136">
        <f t="shared" si="584"/>
        <v>0</v>
      </c>
      <c r="AC1471" s="137">
        <f t="shared" si="585"/>
        <v>0</v>
      </c>
      <c r="AD1471" s="138">
        <f t="shared" si="586"/>
        <v>0</v>
      </c>
      <c r="AE1471" s="136">
        <f t="shared" si="587"/>
        <v>0</v>
      </c>
      <c r="AF1471" s="138">
        <f t="shared" si="588"/>
        <v>0</v>
      </c>
      <c r="AG1471" s="1"/>
    </row>
    <row r="1472" ht="21.0" customHeight="1">
      <c r="A1472" s="1"/>
      <c r="B1472" s="102" t="s">
        <v>48</v>
      </c>
      <c r="C1472" s="103"/>
      <c r="D1472" s="104">
        <f>iferror(D1471/D1469,0)</f>
        <v>0</v>
      </c>
      <c r="E1472" s="102" t="s">
        <v>49</v>
      </c>
      <c r="F1472" s="103"/>
      <c r="G1472" s="105"/>
      <c r="H1472" s="106" t="s">
        <v>50</v>
      </c>
      <c r="I1472" s="107"/>
      <c r="J1472" s="11"/>
      <c r="K1472" s="11"/>
      <c r="L1472" s="11"/>
      <c r="M1472" s="11"/>
      <c r="N1472" s="11"/>
      <c r="O1472" s="11"/>
      <c r="P1472" s="108" t="s">
        <v>51</v>
      </c>
      <c r="Q1472" s="12"/>
      <c r="R1472" s="109"/>
      <c r="S1472" s="11"/>
      <c r="T1472" s="11"/>
      <c r="U1472" s="11"/>
      <c r="V1472" s="11"/>
      <c r="W1472" s="11"/>
      <c r="X1472" s="11"/>
      <c r="Y1472" s="11"/>
      <c r="Z1472" s="12"/>
      <c r="AA1472" s="139">
        <f>SUM(AA1463:AA1471)</f>
        <v>0</v>
      </c>
      <c r="AB1472" s="140" t="s">
        <v>293</v>
      </c>
      <c r="AG1472" s="1"/>
    </row>
    <row r="1473" ht="21.0" customHeight="1">
      <c r="A1473" s="1"/>
      <c r="B1473" s="1"/>
      <c r="C1473" s="1"/>
      <c r="D1473" s="1"/>
      <c r="E1473" s="1"/>
      <c r="F1473" s="1"/>
      <c r="G1473" s="1"/>
      <c r="H1473" s="1"/>
      <c r="I1473" s="1"/>
      <c r="AA1473" s="1"/>
      <c r="AB1473" s="1"/>
      <c r="AC1473" s="3"/>
      <c r="AD1473" s="1"/>
      <c r="AE1473" s="1"/>
      <c r="AF1473" s="1"/>
      <c r="AG1473" s="1"/>
    </row>
    <row r="1474" ht="21.0" customHeight="1">
      <c r="A1474" s="1"/>
      <c r="B1474" s="4" t="s">
        <v>1</v>
      </c>
      <c r="C1474" s="5"/>
      <c r="D1474" s="6" t="s">
        <v>2</v>
      </c>
      <c r="E1474" s="7"/>
      <c r="F1474" s="7"/>
      <c r="G1474" s="5"/>
      <c r="H1474" s="8" t="s">
        <v>3</v>
      </c>
      <c r="I1474" s="8" t="s">
        <v>4</v>
      </c>
      <c r="J1474" s="9" t="s">
        <v>5</v>
      </c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5"/>
      <c r="AA1474" s="117" t="s">
        <v>6</v>
      </c>
      <c r="AB1474" s="11"/>
      <c r="AC1474" s="11"/>
      <c r="AD1474" s="11"/>
      <c r="AE1474" s="11"/>
      <c r="AF1474" s="12"/>
      <c r="AG1474" s="1"/>
    </row>
    <row r="1475" ht="21.0" customHeight="1">
      <c r="A1475" s="1"/>
      <c r="B1475" s="149" t="s">
        <v>138</v>
      </c>
      <c r="C1475" s="14" t="str">
        <f>if(B1475="0/0","",choose(weekday(B1475),"(일)","(월)","(화)","(수)","(목)","(금)","(토)"))</f>
        <v/>
      </c>
      <c r="D1475" s="15" t="s">
        <v>7</v>
      </c>
      <c r="E1475" s="16" t="s">
        <v>8</v>
      </c>
      <c r="F1475" s="17"/>
      <c r="G1475" s="18" t="s">
        <v>9</v>
      </c>
      <c r="H1475" s="150" t="s">
        <v>139</v>
      </c>
      <c r="I1475" s="151"/>
      <c r="J1475" s="21" t="s">
        <v>12</v>
      </c>
      <c r="K1475" s="22"/>
      <c r="L1475" s="21" t="s">
        <v>13</v>
      </c>
      <c r="M1475" s="22"/>
      <c r="N1475" s="21" t="s">
        <v>14</v>
      </c>
      <c r="O1475" s="22"/>
      <c r="P1475" s="21" t="s">
        <v>15</v>
      </c>
      <c r="Q1475" s="22"/>
      <c r="R1475" s="23" t="s">
        <v>16</v>
      </c>
      <c r="S1475" s="22"/>
      <c r="T1475" s="23" t="s">
        <v>17</v>
      </c>
      <c r="U1475" s="22"/>
      <c r="V1475" s="23" t="s">
        <v>18</v>
      </c>
      <c r="W1475" s="22"/>
      <c r="X1475" s="23" t="s">
        <v>19</v>
      </c>
      <c r="Y1475" s="22"/>
      <c r="Z1475" s="24" t="s">
        <v>294</v>
      </c>
      <c r="AA1475" s="118" t="s">
        <v>21</v>
      </c>
      <c r="AB1475" s="119" t="s">
        <v>22</v>
      </c>
      <c r="AC1475" s="7"/>
      <c r="AD1475" s="22"/>
      <c r="AE1475" s="120" t="s">
        <v>23</v>
      </c>
      <c r="AF1475" s="22"/>
      <c r="AG1475" s="1"/>
    </row>
    <row r="1476" ht="21.0" customHeight="1">
      <c r="A1476" s="1"/>
      <c r="B1476" s="27">
        <f>iferror(B1475-'현황'!$C$4+1,0)</f>
        <v>0</v>
      </c>
      <c r="C1476" s="28"/>
      <c r="D1476" s="29">
        <v>0.0</v>
      </c>
      <c r="E1476" s="30">
        <v>0.0</v>
      </c>
      <c r="F1476" s="31"/>
      <c r="G1476" s="32">
        <v>0.0</v>
      </c>
      <c r="H1476" s="33">
        <v>0.0</v>
      </c>
      <c r="I1476" s="34"/>
      <c r="J1476" s="35"/>
      <c r="K1476" s="36"/>
      <c r="L1476" s="35"/>
      <c r="M1476" s="36"/>
      <c r="N1476" s="35"/>
      <c r="O1476" s="36"/>
      <c r="P1476" s="35"/>
      <c r="Q1476" s="36"/>
      <c r="R1476" s="35"/>
      <c r="S1476" s="36"/>
      <c r="T1476" s="35"/>
      <c r="U1476" s="36"/>
      <c r="V1476" s="35"/>
      <c r="W1476" s="36"/>
      <c r="X1476" s="35"/>
      <c r="Y1476" s="36"/>
      <c r="Z1476" s="37"/>
      <c r="AA1476" s="37"/>
      <c r="AB1476" s="35"/>
      <c r="AC1476" s="38"/>
      <c r="AD1476" s="36"/>
      <c r="AE1476" s="35"/>
      <c r="AF1476" s="36"/>
      <c r="AG1476" s="1"/>
    </row>
    <row r="1477" ht="21.0" customHeight="1">
      <c r="A1477" s="1"/>
      <c r="B1477" s="39" t="s">
        <v>24</v>
      </c>
      <c r="C1477" s="40"/>
      <c r="D1477" s="41"/>
      <c r="E1477" s="42" t="s">
        <v>25</v>
      </c>
      <c r="F1477" s="40"/>
      <c r="G1477" s="41"/>
      <c r="H1477" s="43" t="s">
        <v>26</v>
      </c>
      <c r="J1477" s="44" t="s">
        <v>27</v>
      </c>
      <c r="K1477" s="45" t="s">
        <v>28</v>
      </c>
      <c r="L1477" s="44" t="s">
        <v>27</v>
      </c>
      <c r="M1477" s="45" t="s">
        <v>28</v>
      </c>
      <c r="N1477" s="44" t="s">
        <v>27</v>
      </c>
      <c r="O1477" s="45" t="s">
        <v>28</v>
      </c>
      <c r="P1477" s="44" t="s">
        <v>27</v>
      </c>
      <c r="Q1477" s="45" t="s">
        <v>28</v>
      </c>
      <c r="R1477" s="44" t="s">
        <v>27</v>
      </c>
      <c r="S1477" s="45" t="s">
        <v>28</v>
      </c>
      <c r="T1477" s="44" t="s">
        <v>27</v>
      </c>
      <c r="U1477" s="45" t="s">
        <v>28</v>
      </c>
      <c r="V1477" s="44" t="s">
        <v>27</v>
      </c>
      <c r="W1477" s="45" t="s">
        <v>28</v>
      </c>
      <c r="X1477" s="44" t="s">
        <v>27</v>
      </c>
      <c r="Y1477" s="45" t="s">
        <v>28</v>
      </c>
      <c r="Z1477" s="46"/>
      <c r="AA1477" s="46"/>
      <c r="AB1477" s="121" t="s">
        <v>29</v>
      </c>
      <c r="AC1477" s="122" t="s">
        <v>30</v>
      </c>
      <c r="AD1477" s="123" t="s">
        <v>31</v>
      </c>
      <c r="AE1477" s="121" t="s">
        <v>27</v>
      </c>
      <c r="AF1477" s="123" t="s">
        <v>28</v>
      </c>
      <c r="AG1477" s="1"/>
    </row>
    <row r="1478" ht="21.0" customHeight="1">
      <c r="A1478" s="1"/>
      <c r="B1478" s="48" t="s">
        <v>32</v>
      </c>
      <c r="C1478" s="49"/>
      <c r="D1478" s="50"/>
      <c r="E1478" s="51" t="s">
        <v>33</v>
      </c>
      <c r="F1478" s="52" t="s">
        <v>34</v>
      </c>
      <c r="G1478" s="53"/>
      <c r="H1478" s="148"/>
      <c r="I1478" s="55"/>
      <c r="J1478" s="58"/>
      <c r="K1478" s="59"/>
      <c r="L1478" s="58"/>
      <c r="M1478" s="59"/>
      <c r="N1478" s="58"/>
      <c r="O1478" s="59"/>
      <c r="P1478" s="58"/>
      <c r="Q1478" s="59"/>
      <c r="R1478" s="58"/>
      <c r="S1478" s="59"/>
      <c r="T1478" s="58"/>
      <c r="U1478" s="59"/>
      <c r="V1478" s="58"/>
      <c r="W1478" s="59"/>
      <c r="X1478" s="58"/>
      <c r="Y1478" s="59"/>
      <c r="Z1478" s="60" t="b">
        <v>0</v>
      </c>
      <c r="AA1478" s="125">
        <f t="shared" ref="AA1478:AA1486" si="589">(J1478*K1478+L1478*M1478+N1478*O1478+P1478*Q1478+R1478*S1478+T1478*U1478+V1478*W1478+X1478*Y1478)*if(Z1478=true,0.453592,1)</f>
        <v>0</v>
      </c>
      <c r="AB1478" s="126">
        <f t="shared" ref="AB1478:AB1486" si="590">SUM(AE1478*AF1478*0.025,AE1478)</f>
        <v>0</v>
      </c>
      <c r="AC1478" s="127">
        <f t="shared" ref="AC1478:AC1486" si="591">AB1478*87%</f>
        <v>0</v>
      </c>
      <c r="AD1478" s="128">
        <f t="shared" ref="AD1478:AD1486" si="592">AB1478*67%</f>
        <v>0</v>
      </c>
      <c r="AE1478" s="126">
        <f t="shared" ref="AE1478:AE1486" si="593">MAX(J1478,L1478,N1478,P1478,R1478,T1478,V1478,X1478)*if(Z1478=true,0.453592,1)</f>
        <v>0</v>
      </c>
      <c r="AF1478" s="128">
        <f t="shared" ref="AF1478:AF1486" si="594">MAX(IF(J1478*if(Z1478=true,0.453592,1)=$AE1478,K1478,0),IF(L1478*if(Z1478=true,0.453592,1)=$AE1478,M1478,0),IF(N1478*if(Z1478=true,0.453592,1)=$AE1478,O1478,0),IF(P1478*if(Z1478=true,0.453592,1)=$AE1478,Q1478,0),IF(R1478*if(Z1478=true,0.453592,1)=$AE1478,S1478,0),IF(T1478*if(Z1478=true,0.453592,1)=$AE1478,U1478,0),IF(V1478*if(Z1478=true,0.453592,1)=$AE1478,W1478,0),IF(X1478*if(Z1478=true,0.453592,1)=$AE1478,Y1478,0))</f>
        <v>0</v>
      </c>
      <c r="AG1478" s="1"/>
    </row>
    <row r="1479" ht="21.0" customHeight="1">
      <c r="A1479" s="1"/>
      <c r="B1479" s="48" t="s">
        <v>36</v>
      </c>
      <c r="C1479" s="49"/>
      <c r="D1479" s="65"/>
      <c r="E1479" s="66"/>
      <c r="F1479" s="52" t="s">
        <v>37</v>
      </c>
      <c r="G1479" s="67"/>
      <c r="H1479" s="129"/>
      <c r="I1479" s="69"/>
      <c r="J1479" s="72"/>
      <c r="K1479" s="73"/>
      <c r="L1479" s="72"/>
      <c r="M1479" s="73"/>
      <c r="N1479" s="72"/>
      <c r="O1479" s="73"/>
      <c r="P1479" s="72"/>
      <c r="Q1479" s="73"/>
      <c r="R1479" s="72"/>
      <c r="S1479" s="73"/>
      <c r="T1479" s="72"/>
      <c r="U1479" s="73"/>
      <c r="V1479" s="72"/>
      <c r="W1479" s="73"/>
      <c r="X1479" s="72"/>
      <c r="Y1479" s="73"/>
      <c r="Z1479" s="74" t="b">
        <v>0</v>
      </c>
      <c r="AA1479" s="130">
        <f t="shared" si="589"/>
        <v>0</v>
      </c>
      <c r="AB1479" s="131">
        <f t="shared" si="590"/>
        <v>0</v>
      </c>
      <c r="AC1479" s="132">
        <f t="shared" si="591"/>
        <v>0</v>
      </c>
      <c r="AD1479" s="133">
        <f t="shared" si="592"/>
        <v>0</v>
      </c>
      <c r="AE1479" s="131">
        <f t="shared" si="593"/>
        <v>0</v>
      </c>
      <c r="AF1479" s="133">
        <f t="shared" si="594"/>
        <v>0</v>
      </c>
      <c r="AG1479" s="1"/>
    </row>
    <row r="1480" ht="21.0" customHeight="1">
      <c r="A1480" s="1"/>
      <c r="B1480" s="48" t="s">
        <v>39</v>
      </c>
      <c r="C1480" s="49"/>
      <c r="D1480" s="65"/>
      <c r="E1480" s="41"/>
      <c r="F1480" s="52" t="s">
        <v>40</v>
      </c>
      <c r="G1480" s="79"/>
      <c r="H1480" s="80"/>
      <c r="I1480" s="69"/>
      <c r="J1480" s="72"/>
      <c r="K1480" s="73"/>
      <c r="L1480" s="72"/>
      <c r="M1480" s="73"/>
      <c r="N1480" s="72"/>
      <c r="O1480" s="73"/>
      <c r="P1480" s="72"/>
      <c r="Q1480" s="73"/>
      <c r="R1480" s="72"/>
      <c r="S1480" s="73"/>
      <c r="T1480" s="72"/>
      <c r="U1480" s="73"/>
      <c r="V1480" s="72"/>
      <c r="W1480" s="73"/>
      <c r="X1480" s="72"/>
      <c r="Y1480" s="73"/>
      <c r="Z1480" s="74" t="b">
        <v>0</v>
      </c>
      <c r="AA1480" s="130">
        <f t="shared" si="589"/>
        <v>0</v>
      </c>
      <c r="AB1480" s="131">
        <f t="shared" si="590"/>
        <v>0</v>
      </c>
      <c r="AC1480" s="132">
        <f t="shared" si="591"/>
        <v>0</v>
      </c>
      <c r="AD1480" s="133">
        <f t="shared" si="592"/>
        <v>0</v>
      </c>
      <c r="AE1480" s="131">
        <f t="shared" si="593"/>
        <v>0</v>
      </c>
      <c r="AF1480" s="133">
        <f t="shared" si="594"/>
        <v>0</v>
      </c>
      <c r="AG1480" s="1"/>
    </row>
    <row r="1481" ht="21.0" customHeight="1">
      <c r="A1481" s="1"/>
      <c r="B1481" s="48" t="s">
        <v>41</v>
      </c>
      <c r="C1481" s="81"/>
      <c r="D1481" s="82" t="b">
        <v>0</v>
      </c>
      <c r="E1481" s="51" t="s">
        <v>42</v>
      </c>
      <c r="F1481" s="52" t="s">
        <v>34</v>
      </c>
      <c r="G1481" s="83"/>
      <c r="H1481" s="84"/>
      <c r="I1481" s="85"/>
      <c r="J1481" s="72"/>
      <c r="K1481" s="73"/>
      <c r="L1481" s="72"/>
      <c r="M1481" s="73"/>
      <c r="N1481" s="72"/>
      <c r="O1481" s="73"/>
      <c r="P1481" s="72"/>
      <c r="Q1481" s="73"/>
      <c r="R1481" s="72"/>
      <c r="S1481" s="73"/>
      <c r="T1481" s="72"/>
      <c r="U1481" s="73"/>
      <c r="V1481" s="72"/>
      <c r="W1481" s="73"/>
      <c r="X1481" s="72"/>
      <c r="Y1481" s="73"/>
      <c r="Z1481" s="74" t="b">
        <v>0</v>
      </c>
      <c r="AA1481" s="130">
        <f t="shared" si="589"/>
        <v>0</v>
      </c>
      <c r="AB1481" s="131">
        <f t="shared" si="590"/>
        <v>0</v>
      </c>
      <c r="AC1481" s="132">
        <f t="shared" si="591"/>
        <v>0</v>
      </c>
      <c r="AD1481" s="133">
        <f t="shared" si="592"/>
        <v>0</v>
      </c>
      <c r="AE1481" s="131">
        <f t="shared" si="593"/>
        <v>0</v>
      </c>
      <c r="AF1481" s="133">
        <f t="shared" si="594"/>
        <v>0</v>
      </c>
      <c r="AG1481" s="1"/>
    </row>
    <row r="1482" ht="21.0" customHeight="1">
      <c r="A1482" s="1"/>
      <c r="B1482" s="48" t="s">
        <v>43</v>
      </c>
      <c r="C1482" s="49"/>
      <c r="D1482" s="86" t="b">
        <v>0</v>
      </c>
      <c r="E1482" s="66"/>
      <c r="F1482" s="52" t="s">
        <v>37</v>
      </c>
      <c r="G1482" s="67"/>
      <c r="H1482" s="80"/>
      <c r="I1482" s="69"/>
      <c r="J1482" s="72"/>
      <c r="K1482" s="73"/>
      <c r="L1482" s="72"/>
      <c r="M1482" s="73"/>
      <c r="N1482" s="72"/>
      <c r="O1482" s="73"/>
      <c r="P1482" s="72"/>
      <c r="Q1482" s="73"/>
      <c r="R1482" s="72"/>
      <c r="S1482" s="73"/>
      <c r="T1482" s="72"/>
      <c r="U1482" s="73"/>
      <c r="V1482" s="72"/>
      <c r="W1482" s="73"/>
      <c r="X1482" s="72"/>
      <c r="Y1482" s="73"/>
      <c r="Z1482" s="74" t="b">
        <v>0</v>
      </c>
      <c r="AA1482" s="130">
        <f t="shared" si="589"/>
        <v>0</v>
      </c>
      <c r="AB1482" s="131">
        <f t="shared" si="590"/>
        <v>0</v>
      </c>
      <c r="AC1482" s="132">
        <f t="shared" si="591"/>
        <v>0</v>
      </c>
      <c r="AD1482" s="133">
        <f t="shared" si="592"/>
        <v>0</v>
      </c>
      <c r="AE1482" s="131">
        <f t="shared" si="593"/>
        <v>0</v>
      </c>
      <c r="AF1482" s="133">
        <f t="shared" si="594"/>
        <v>0</v>
      </c>
      <c r="AG1482" s="1"/>
    </row>
    <row r="1483" ht="21.0" customHeight="1">
      <c r="A1483" s="1"/>
      <c r="B1483" s="87" t="str">
        <f t="array" ref="B1483">"📌최근 인바디 결과 : "&amp;text(xlookup(B1475,'현황'!O:O,'현황'!O:O,,-1,-1),"m/d(ddd)")</f>
        <v>#REF!</v>
      </c>
      <c r="C1483" s="88"/>
      <c r="D1483" s="49"/>
      <c r="E1483" s="41"/>
      <c r="F1483" s="52" t="s">
        <v>40</v>
      </c>
      <c r="G1483" s="79"/>
      <c r="H1483" s="80"/>
      <c r="I1483" s="69"/>
      <c r="J1483" s="72"/>
      <c r="K1483" s="73"/>
      <c r="L1483" s="72"/>
      <c r="M1483" s="73"/>
      <c r="N1483" s="72"/>
      <c r="O1483" s="73"/>
      <c r="P1483" s="72"/>
      <c r="Q1483" s="73"/>
      <c r="R1483" s="72"/>
      <c r="S1483" s="73"/>
      <c r="T1483" s="72"/>
      <c r="U1483" s="73"/>
      <c r="V1483" s="72"/>
      <c r="W1483" s="73"/>
      <c r="X1483" s="72"/>
      <c r="Y1483" s="73"/>
      <c r="Z1483" s="74" t="b">
        <v>0</v>
      </c>
      <c r="AA1483" s="130">
        <f t="shared" si="589"/>
        <v>0</v>
      </c>
      <c r="AB1483" s="131">
        <f t="shared" si="590"/>
        <v>0</v>
      </c>
      <c r="AC1483" s="132">
        <f t="shared" si="591"/>
        <v>0</v>
      </c>
      <c r="AD1483" s="133">
        <f t="shared" si="592"/>
        <v>0</v>
      </c>
      <c r="AE1483" s="131">
        <f t="shared" si="593"/>
        <v>0</v>
      </c>
      <c r="AF1483" s="133">
        <f t="shared" si="594"/>
        <v>0</v>
      </c>
      <c r="AG1483" s="1"/>
    </row>
    <row r="1484" ht="21.0" customHeight="1">
      <c r="A1484" s="1"/>
      <c r="B1484" s="89" t="s">
        <v>44</v>
      </c>
      <c r="C1484" s="49"/>
      <c r="D1484" s="90">
        <f t="array" ref="D1484">iferror(vlookup(xlookup(B1475,'현황'!O:O,'현황'!O:O,,-1,-1),'현황'!O:S,2,false),0)</f>
        <v>0</v>
      </c>
      <c r="E1484" s="51" t="s">
        <v>45</v>
      </c>
      <c r="F1484" s="52" t="s">
        <v>34</v>
      </c>
      <c r="G1484" s="83"/>
      <c r="H1484" s="84"/>
      <c r="I1484" s="85"/>
      <c r="J1484" s="72"/>
      <c r="K1484" s="73"/>
      <c r="L1484" s="72"/>
      <c r="M1484" s="73"/>
      <c r="N1484" s="72"/>
      <c r="O1484" s="73"/>
      <c r="P1484" s="72"/>
      <c r="Q1484" s="73"/>
      <c r="R1484" s="72"/>
      <c r="S1484" s="73"/>
      <c r="T1484" s="72"/>
      <c r="U1484" s="73"/>
      <c r="V1484" s="72"/>
      <c r="W1484" s="73"/>
      <c r="X1484" s="72"/>
      <c r="Y1484" s="73"/>
      <c r="Z1484" s="74" t="b">
        <v>0</v>
      </c>
      <c r="AA1484" s="130">
        <f t="shared" si="589"/>
        <v>0</v>
      </c>
      <c r="AB1484" s="131">
        <f t="shared" si="590"/>
        <v>0</v>
      </c>
      <c r="AC1484" s="132">
        <f t="shared" si="591"/>
        <v>0</v>
      </c>
      <c r="AD1484" s="133">
        <f t="shared" si="592"/>
        <v>0</v>
      </c>
      <c r="AE1484" s="131">
        <f t="shared" si="593"/>
        <v>0</v>
      </c>
      <c r="AF1484" s="133">
        <f t="shared" si="594"/>
        <v>0</v>
      </c>
      <c r="AG1484" s="1"/>
    </row>
    <row r="1485" ht="21.0" customHeight="1">
      <c r="A1485" s="1"/>
      <c r="B1485" s="48" t="s">
        <v>46</v>
      </c>
      <c r="C1485" s="49"/>
      <c r="D1485" s="91">
        <f t="array" ref="D1485">iferror(vlookup(xlookup(B1475,'현황'!O:O,'현황'!O:O,,-1,-1),'현황'!O:S,3,false),0)</f>
        <v>0</v>
      </c>
      <c r="E1485" s="66"/>
      <c r="F1485" s="52" t="s">
        <v>37</v>
      </c>
      <c r="G1485" s="67"/>
      <c r="H1485" s="80"/>
      <c r="I1485" s="69"/>
      <c r="J1485" s="72"/>
      <c r="K1485" s="73"/>
      <c r="L1485" s="72"/>
      <c r="M1485" s="73"/>
      <c r="N1485" s="72"/>
      <c r="O1485" s="73"/>
      <c r="P1485" s="72"/>
      <c r="Q1485" s="73"/>
      <c r="R1485" s="72"/>
      <c r="S1485" s="73"/>
      <c r="T1485" s="72"/>
      <c r="U1485" s="73"/>
      <c r="V1485" s="72"/>
      <c r="W1485" s="73"/>
      <c r="X1485" s="72"/>
      <c r="Y1485" s="73"/>
      <c r="Z1485" s="74" t="b">
        <v>0</v>
      </c>
      <c r="AA1485" s="130">
        <f t="shared" si="589"/>
        <v>0</v>
      </c>
      <c r="AB1485" s="131">
        <f t="shared" si="590"/>
        <v>0</v>
      </c>
      <c r="AC1485" s="132">
        <f t="shared" si="591"/>
        <v>0</v>
      </c>
      <c r="AD1485" s="133">
        <f t="shared" si="592"/>
        <v>0</v>
      </c>
      <c r="AE1485" s="131">
        <f t="shared" si="593"/>
        <v>0</v>
      </c>
      <c r="AF1485" s="133">
        <f t="shared" si="594"/>
        <v>0</v>
      </c>
      <c r="AG1485" s="1"/>
    </row>
    <row r="1486" ht="21.0" customHeight="1">
      <c r="A1486" s="1"/>
      <c r="B1486" s="48" t="s">
        <v>47</v>
      </c>
      <c r="C1486" s="49"/>
      <c r="D1486" s="91">
        <f t="array" ref="D1486">iferror(vlookup(xlookup(B1475,'현황'!O:O,'현황'!O:O,,-1,-1),'현황'!O:S,4,false),0)</f>
        <v>0</v>
      </c>
      <c r="E1486" s="41"/>
      <c r="F1486" s="92" t="s">
        <v>40</v>
      </c>
      <c r="G1486" s="79"/>
      <c r="H1486" s="93"/>
      <c r="I1486" s="94"/>
      <c r="J1486" s="95"/>
      <c r="K1486" s="96"/>
      <c r="L1486" s="95"/>
      <c r="M1486" s="96"/>
      <c r="N1486" s="95"/>
      <c r="O1486" s="96"/>
      <c r="P1486" s="95"/>
      <c r="Q1486" s="96"/>
      <c r="R1486" s="95"/>
      <c r="S1486" s="96"/>
      <c r="T1486" s="95"/>
      <c r="U1486" s="96"/>
      <c r="V1486" s="95"/>
      <c r="W1486" s="96"/>
      <c r="X1486" s="95"/>
      <c r="Y1486" s="96"/>
      <c r="Z1486" s="97" t="b">
        <v>0</v>
      </c>
      <c r="AA1486" s="135">
        <f t="shared" si="589"/>
        <v>0</v>
      </c>
      <c r="AB1486" s="136">
        <f t="shared" si="590"/>
        <v>0</v>
      </c>
      <c r="AC1486" s="137">
        <f t="shared" si="591"/>
        <v>0</v>
      </c>
      <c r="AD1486" s="138">
        <f t="shared" si="592"/>
        <v>0</v>
      </c>
      <c r="AE1486" s="136">
        <f t="shared" si="593"/>
        <v>0</v>
      </c>
      <c r="AF1486" s="138">
        <f t="shared" si="594"/>
        <v>0</v>
      </c>
      <c r="AG1486" s="1"/>
    </row>
    <row r="1487" ht="21.0" customHeight="1">
      <c r="A1487" s="1"/>
      <c r="B1487" s="102" t="s">
        <v>48</v>
      </c>
      <c r="C1487" s="103"/>
      <c r="D1487" s="104">
        <f>iferror(D1486/D1484,0)</f>
        <v>0</v>
      </c>
      <c r="E1487" s="102" t="s">
        <v>49</v>
      </c>
      <c r="F1487" s="103"/>
      <c r="G1487" s="105"/>
      <c r="H1487" s="106" t="s">
        <v>50</v>
      </c>
      <c r="I1487" s="107"/>
      <c r="J1487" s="11"/>
      <c r="K1487" s="11"/>
      <c r="L1487" s="11"/>
      <c r="M1487" s="11"/>
      <c r="N1487" s="11"/>
      <c r="O1487" s="11"/>
      <c r="P1487" s="108" t="s">
        <v>51</v>
      </c>
      <c r="Q1487" s="12"/>
      <c r="R1487" s="109"/>
      <c r="S1487" s="11"/>
      <c r="T1487" s="11"/>
      <c r="U1487" s="11"/>
      <c r="V1487" s="11"/>
      <c r="W1487" s="11"/>
      <c r="X1487" s="11"/>
      <c r="Y1487" s="11"/>
      <c r="Z1487" s="12"/>
      <c r="AA1487" s="139">
        <f>SUM(AA1478:AA1486)</f>
        <v>0</v>
      </c>
      <c r="AB1487" s="140" t="s">
        <v>295</v>
      </c>
      <c r="AG1487" s="1"/>
    </row>
    <row r="1488" ht="21.0" customHeight="1">
      <c r="A1488" s="1"/>
      <c r="B1488" s="1"/>
      <c r="C1488" s="1"/>
      <c r="D1488" s="1"/>
      <c r="E1488" s="1"/>
      <c r="F1488" s="1"/>
      <c r="G1488" s="1"/>
      <c r="H1488" s="1"/>
      <c r="I1488" s="1"/>
      <c r="AA1488" s="1"/>
      <c r="AB1488" s="1"/>
      <c r="AC1488" s="3"/>
      <c r="AD1488" s="1"/>
      <c r="AE1488" s="1"/>
      <c r="AF1488" s="1"/>
      <c r="AG1488" s="1"/>
    </row>
    <row r="1489" ht="21.0" customHeight="1">
      <c r="A1489" s="1"/>
      <c r="B1489" s="4" t="s">
        <v>1</v>
      </c>
      <c r="C1489" s="5"/>
      <c r="D1489" s="6" t="s">
        <v>2</v>
      </c>
      <c r="E1489" s="7"/>
      <c r="F1489" s="7"/>
      <c r="G1489" s="5"/>
      <c r="H1489" s="8" t="s">
        <v>3</v>
      </c>
      <c r="I1489" s="8" t="s">
        <v>4</v>
      </c>
      <c r="J1489" s="9" t="s">
        <v>5</v>
      </c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5"/>
      <c r="AA1489" s="117" t="s">
        <v>6</v>
      </c>
      <c r="AB1489" s="11"/>
      <c r="AC1489" s="11"/>
      <c r="AD1489" s="11"/>
      <c r="AE1489" s="11"/>
      <c r="AF1489" s="12"/>
      <c r="AG1489" s="1"/>
    </row>
    <row r="1490" ht="21.0" customHeight="1">
      <c r="A1490" s="1"/>
      <c r="B1490" s="149" t="s">
        <v>138</v>
      </c>
      <c r="C1490" s="14" t="str">
        <f>if(B1490="0/0","",choose(weekday(B1490),"(일)","(월)","(화)","(수)","(목)","(금)","(토)"))</f>
        <v/>
      </c>
      <c r="D1490" s="15" t="s">
        <v>7</v>
      </c>
      <c r="E1490" s="16" t="s">
        <v>8</v>
      </c>
      <c r="F1490" s="17"/>
      <c r="G1490" s="18" t="s">
        <v>9</v>
      </c>
      <c r="H1490" s="150" t="s">
        <v>139</v>
      </c>
      <c r="I1490" s="151"/>
      <c r="J1490" s="21" t="s">
        <v>12</v>
      </c>
      <c r="K1490" s="22"/>
      <c r="L1490" s="21" t="s">
        <v>13</v>
      </c>
      <c r="M1490" s="22"/>
      <c r="N1490" s="21" t="s">
        <v>14</v>
      </c>
      <c r="O1490" s="22"/>
      <c r="P1490" s="21" t="s">
        <v>15</v>
      </c>
      <c r="Q1490" s="22"/>
      <c r="R1490" s="23" t="s">
        <v>16</v>
      </c>
      <c r="S1490" s="22"/>
      <c r="T1490" s="23" t="s">
        <v>17</v>
      </c>
      <c r="U1490" s="22"/>
      <c r="V1490" s="23" t="s">
        <v>18</v>
      </c>
      <c r="W1490" s="22"/>
      <c r="X1490" s="23" t="s">
        <v>19</v>
      </c>
      <c r="Y1490" s="22"/>
      <c r="Z1490" s="24" t="s">
        <v>296</v>
      </c>
      <c r="AA1490" s="118" t="s">
        <v>21</v>
      </c>
      <c r="AB1490" s="119" t="s">
        <v>22</v>
      </c>
      <c r="AC1490" s="7"/>
      <c r="AD1490" s="22"/>
      <c r="AE1490" s="120" t="s">
        <v>23</v>
      </c>
      <c r="AF1490" s="22"/>
      <c r="AG1490" s="1"/>
    </row>
    <row r="1491" ht="21.0" customHeight="1">
      <c r="A1491" s="1"/>
      <c r="B1491" s="27">
        <f>iferror(B1490-'현황'!$C$4+1,0)</f>
        <v>0</v>
      </c>
      <c r="C1491" s="28"/>
      <c r="D1491" s="29">
        <v>0.0</v>
      </c>
      <c r="E1491" s="30">
        <v>0.0</v>
      </c>
      <c r="F1491" s="31"/>
      <c r="G1491" s="32">
        <v>0.0</v>
      </c>
      <c r="H1491" s="33">
        <v>0.0</v>
      </c>
      <c r="I1491" s="34"/>
      <c r="J1491" s="35"/>
      <c r="K1491" s="36"/>
      <c r="L1491" s="35"/>
      <c r="M1491" s="36"/>
      <c r="N1491" s="35"/>
      <c r="O1491" s="36"/>
      <c r="P1491" s="35"/>
      <c r="Q1491" s="36"/>
      <c r="R1491" s="35"/>
      <c r="S1491" s="36"/>
      <c r="T1491" s="35"/>
      <c r="U1491" s="36"/>
      <c r="V1491" s="35"/>
      <c r="W1491" s="36"/>
      <c r="X1491" s="35"/>
      <c r="Y1491" s="36"/>
      <c r="Z1491" s="37"/>
      <c r="AA1491" s="37"/>
      <c r="AB1491" s="35"/>
      <c r="AC1491" s="38"/>
      <c r="AD1491" s="36"/>
      <c r="AE1491" s="35"/>
      <c r="AF1491" s="36"/>
      <c r="AG1491" s="1"/>
    </row>
    <row r="1492" ht="21.0" customHeight="1">
      <c r="A1492" s="1"/>
      <c r="B1492" s="39" t="s">
        <v>24</v>
      </c>
      <c r="C1492" s="40"/>
      <c r="D1492" s="41"/>
      <c r="E1492" s="42" t="s">
        <v>25</v>
      </c>
      <c r="F1492" s="40"/>
      <c r="G1492" s="41"/>
      <c r="H1492" s="43" t="s">
        <v>26</v>
      </c>
      <c r="J1492" s="44" t="s">
        <v>27</v>
      </c>
      <c r="K1492" s="45" t="s">
        <v>28</v>
      </c>
      <c r="L1492" s="44" t="s">
        <v>27</v>
      </c>
      <c r="M1492" s="45" t="s">
        <v>28</v>
      </c>
      <c r="N1492" s="44" t="s">
        <v>27</v>
      </c>
      <c r="O1492" s="45" t="s">
        <v>28</v>
      </c>
      <c r="P1492" s="44" t="s">
        <v>27</v>
      </c>
      <c r="Q1492" s="45" t="s">
        <v>28</v>
      </c>
      <c r="R1492" s="44" t="s">
        <v>27</v>
      </c>
      <c r="S1492" s="45" t="s">
        <v>28</v>
      </c>
      <c r="T1492" s="44" t="s">
        <v>27</v>
      </c>
      <c r="U1492" s="45" t="s">
        <v>28</v>
      </c>
      <c r="V1492" s="44" t="s">
        <v>27</v>
      </c>
      <c r="W1492" s="45" t="s">
        <v>28</v>
      </c>
      <c r="X1492" s="44" t="s">
        <v>27</v>
      </c>
      <c r="Y1492" s="45" t="s">
        <v>28</v>
      </c>
      <c r="Z1492" s="46"/>
      <c r="AA1492" s="46"/>
      <c r="AB1492" s="121" t="s">
        <v>29</v>
      </c>
      <c r="AC1492" s="122" t="s">
        <v>30</v>
      </c>
      <c r="AD1492" s="123" t="s">
        <v>31</v>
      </c>
      <c r="AE1492" s="121" t="s">
        <v>27</v>
      </c>
      <c r="AF1492" s="123" t="s">
        <v>28</v>
      </c>
      <c r="AG1492" s="1"/>
    </row>
    <row r="1493" ht="21.0" customHeight="1">
      <c r="A1493" s="1"/>
      <c r="B1493" s="48" t="s">
        <v>32</v>
      </c>
      <c r="C1493" s="49"/>
      <c r="D1493" s="50"/>
      <c r="E1493" s="51" t="s">
        <v>33</v>
      </c>
      <c r="F1493" s="52" t="s">
        <v>34</v>
      </c>
      <c r="G1493" s="53"/>
      <c r="H1493" s="148"/>
      <c r="I1493" s="55"/>
      <c r="J1493" s="58"/>
      <c r="K1493" s="59"/>
      <c r="L1493" s="58"/>
      <c r="M1493" s="59"/>
      <c r="N1493" s="58"/>
      <c r="O1493" s="59"/>
      <c r="P1493" s="58"/>
      <c r="Q1493" s="59"/>
      <c r="R1493" s="58"/>
      <c r="S1493" s="59"/>
      <c r="T1493" s="58"/>
      <c r="U1493" s="59"/>
      <c r="V1493" s="58"/>
      <c r="W1493" s="59"/>
      <c r="X1493" s="58"/>
      <c r="Y1493" s="59"/>
      <c r="Z1493" s="60" t="b">
        <v>0</v>
      </c>
      <c r="AA1493" s="125">
        <f t="shared" ref="AA1493:AA1501" si="595">(J1493*K1493+L1493*M1493+N1493*O1493+P1493*Q1493+R1493*S1493+T1493*U1493+V1493*W1493+X1493*Y1493)*if(Z1493=true,0.453592,1)</f>
        <v>0</v>
      </c>
      <c r="AB1493" s="126">
        <f t="shared" ref="AB1493:AB1501" si="596">SUM(AE1493*AF1493*0.025,AE1493)</f>
        <v>0</v>
      </c>
      <c r="AC1493" s="127">
        <f t="shared" ref="AC1493:AC1501" si="597">AB1493*87%</f>
        <v>0</v>
      </c>
      <c r="AD1493" s="128">
        <f t="shared" ref="AD1493:AD1501" si="598">AB1493*67%</f>
        <v>0</v>
      </c>
      <c r="AE1493" s="126">
        <f t="shared" ref="AE1493:AE1501" si="599">MAX(J1493,L1493,N1493,P1493,R1493,T1493,V1493,X1493)*if(Z1493=true,0.453592,1)</f>
        <v>0</v>
      </c>
      <c r="AF1493" s="128">
        <f t="shared" ref="AF1493:AF1501" si="600">MAX(IF(J1493*if(Z1493=true,0.453592,1)=$AE1493,K1493,0),IF(L1493*if(Z1493=true,0.453592,1)=$AE1493,M1493,0),IF(N1493*if(Z1493=true,0.453592,1)=$AE1493,O1493,0),IF(P1493*if(Z1493=true,0.453592,1)=$AE1493,Q1493,0),IF(R1493*if(Z1493=true,0.453592,1)=$AE1493,S1493,0),IF(T1493*if(Z1493=true,0.453592,1)=$AE1493,U1493,0),IF(V1493*if(Z1493=true,0.453592,1)=$AE1493,W1493,0),IF(X1493*if(Z1493=true,0.453592,1)=$AE1493,Y1493,0))</f>
        <v>0</v>
      </c>
      <c r="AG1493" s="1"/>
    </row>
    <row r="1494" ht="21.0" customHeight="1">
      <c r="A1494" s="1"/>
      <c r="B1494" s="48" t="s">
        <v>36</v>
      </c>
      <c r="C1494" s="49"/>
      <c r="D1494" s="65"/>
      <c r="E1494" s="66"/>
      <c r="F1494" s="52" t="s">
        <v>37</v>
      </c>
      <c r="G1494" s="67"/>
      <c r="H1494" s="129"/>
      <c r="I1494" s="69"/>
      <c r="J1494" s="72"/>
      <c r="K1494" s="73"/>
      <c r="L1494" s="72"/>
      <c r="M1494" s="73"/>
      <c r="N1494" s="72"/>
      <c r="O1494" s="73"/>
      <c r="P1494" s="72"/>
      <c r="Q1494" s="73"/>
      <c r="R1494" s="72"/>
      <c r="S1494" s="73"/>
      <c r="T1494" s="72"/>
      <c r="U1494" s="73"/>
      <c r="V1494" s="72"/>
      <c r="W1494" s="73"/>
      <c r="X1494" s="72"/>
      <c r="Y1494" s="73"/>
      <c r="Z1494" s="74" t="b">
        <v>0</v>
      </c>
      <c r="AA1494" s="130">
        <f t="shared" si="595"/>
        <v>0</v>
      </c>
      <c r="AB1494" s="131">
        <f t="shared" si="596"/>
        <v>0</v>
      </c>
      <c r="AC1494" s="132">
        <f t="shared" si="597"/>
        <v>0</v>
      </c>
      <c r="AD1494" s="133">
        <f t="shared" si="598"/>
        <v>0</v>
      </c>
      <c r="AE1494" s="131">
        <f t="shared" si="599"/>
        <v>0</v>
      </c>
      <c r="AF1494" s="133">
        <f t="shared" si="600"/>
        <v>0</v>
      </c>
      <c r="AG1494" s="1"/>
    </row>
    <row r="1495" ht="21.0" customHeight="1">
      <c r="A1495" s="1"/>
      <c r="B1495" s="48" t="s">
        <v>39</v>
      </c>
      <c r="C1495" s="49"/>
      <c r="D1495" s="65"/>
      <c r="E1495" s="41"/>
      <c r="F1495" s="52" t="s">
        <v>40</v>
      </c>
      <c r="G1495" s="79"/>
      <c r="H1495" s="80"/>
      <c r="I1495" s="69"/>
      <c r="J1495" s="72"/>
      <c r="K1495" s="73"/>
      <c r="L1495" s="72"/>
      <c r="M1495" s="73"/>
      <c r="N1495" s="72"/>
      <c r="O1495" s="73"/>
      <c r="P1495" s="72"/>
      <c r="Q1495" s="73"/>
      <c r="R1495" s="72"/>
      <c r="S1495" s="73"/>
      <c r="T1495" s="72"/>
      <c r="U1495" s="73"/>
      <c r="V1495" s="72"/>
      <c r="W1495" s="73"/>
      <c r="X1495" s="72"/>
      <c r="Y1495" s="73"/>
      <c r="Z1495" s="74" t="b">
        <v>0</v>
      </c>
      <c r="AA1495" s="130">
        <f t="shared" si="595"/>
        <v>0</v>
      </c>
      <c r="AB1495" s="131">
        <f t="shared" si="596"/>
        <v>0</v>
      </c>
      <c r="AC1495" s="132">
        <f t="shared" si="597"/>
        <v>0</v>
      </c>
      <c r="AD1495" s="133">
        <f t="shared" si="598"/>
        <v>0</v>
      </c>
      <c r="AE1495" s="131">
        <f t="shared" si="599"/>
        <v>0</v>
      </c>
      <c r="AF1495" s="133">
        <f t="shared" si="600"/>
        <v>0</v>
      </c>
      <c r="AG1495" s="1"/>
    </row>
    <row r="1496" ht="21.0" customHeight="1">
      <c r="A1496" s="1"/>
      <c r="B1496" s="48" t="s">
        <v>41</v>
      </c>
      <c r="C1496" s="81"/>
      <c r="D1496" s="82" t="b">
        <v>0</v>
      </c>
      <c r="E1496" s="51" t="s">
        <v>42</v>
      </c>
      <c r="F1496" s="52" t="s">
        <v>34</v>
      </c>
      <c r="G1496" s="83"/>
      <c r="H1496" s="84"/>
      <c r="I1496" s="85"/>
      <c r="J1496" s="72"/>
      <c r="K1496" s="73"/>
      <c r="L1496" s="72"/>
      <c r="M1496" s="73"/>
      <c r="N1496" s="72"/>
      <c r="O1496" s="73"/>
      <c r="P1496" s="72"/>
      <c r="Q1496" s="73"/>
      <c r="R1496" s="72"/>
      <c r="S1496" s="73"/>
      <c r="T1496" s="72"/>
      <c r="U1496" s="73"/>
      <c r="V1496" s="72"/>
      <c r="W1496" s="73"/>
      <c r="X1496" s="72"/>
      <c r="Y1496" s="73"/>
      <c r="Z1496" s="74" t="b">
        <v>0</v>
      </c>
      <c r="AA1496" s="130">
        <f t="shared" si="595"/>
        <v>0</v>
      </c>
      <c r="AB1496" s="131">
        <f t="shared" si="596"/>
        <v>0</v>
      </c>
      <c r="AC1496" s="132">
        <f t="shared" si="597"/>
        <v>0</v>
      </c>
      <c r="AD1496" s="133">
        <f t="shared" si="598"/>
        <v>0</v>
      </c>
      <c r="AE1496" s="131">
        <f t="shared" si="599"/>
        <v>0</v>
      </c>
      <c r="AF1496" s="133">
        <f t="shared" si="600"/>
        <v>0</v>
      </c>
      <c r="AG1496" s="1"/>
    </row>
    <row r="1497" ht="21.0" customHeight="1">
      <c r="A1497" s="1"/>
      <c r="B1497" s="48" t="s">
        <v>43</v>
      </c>
      <c r="C1497" s="49"/>
      <c r="D1497" s="86" t="b">
        <v>0</v>
      </c>
      <c r="E1497" s="66"/>
      <c r="F1497" s="52" t="s">
        <v>37</v>
      </c>
      <c r="G1497" s="67"/>
      <c r="H1497" s="80"/>
      <c r="I1497" s="69"/>
      <c r="J1497" s="72"/>
      <c r="K1497" s="73"/>
      <c r="L1497" s="72"/>
      <c r="M1497" s="73"/>
      <c r="N1497" s="72"/>
      <c r="O1497" s="73"/>
      <c r="P1497" s="72"/>
      <c r="Q1497" s="73"/>
      <c r="R1497" s="72"/>
      <c r="S1497" s="73"/>
      <c r="T1497" s="72"/>
      <c r="U1497" s="73"/>
      <c r="V1497" s="72"/>
      <c r="W1497" s="73"/>
      <c r="X1497" s="72"/>
      <c r="Y1497" s="73"/>
      <c r="Z1497" s="74" t="b">
        <v>0</v>
      </c>
      <c r="AA1497" s="130">
        <f t="shared" si="595"/>
        <v>0</v>
      </c>
      <c r="AB1497" s="131">
        <f t="shared" si="596"/>
        <v>0</v>
      </c>
      <c r="AC1497" s="132">
        <f t="shared" si="597"/>
        <v>0</v>
      </c>
      <c r="AD1497" s="133">
        <f t="shared" si="598"/>
        <v>0</v>
      </c>
      <c r="AE1497" s="131">
        <f t="shared" si="599"/>
        <v>0</v>
      </c>
      <c r="AF1497" s="133">
        <f t="shared" si="600"/>
        <v>0</v>
      </c>
      <c r="AG1497" s="1"/>
    </row>
    <row r="1498" ht="21.0" customHeight="1">
      <c r="A1498" s="1"/>
      <c r="B1498" s="87" t="str">
        <f t="array" ref="B1498">"📌최근 인바디 결과 : "&amp;text(xlookup(B1490,'현황'!O:O,'현황'!O:O,,-1,-1),"m/d(ddd)")</f>
        <v>#REF!</v>
      </c>
      <c r="C1498" s="88"/>
      <c r="D1498" s="49"/>
      <c r="E1498" s="41"/>
      <c r="F1498" s="52" t="s">
        <v>40</v>
      </c>
      <c r="G1498" s="79"/>
      <c r="H1498" s="80"/>
      <c r="I1498" s="69"/>
      <c r="J1498" s="72"/>
      <c r="K1498" s="73"/>
      <c r="L1498" s="72"/>
      <c r="M1498" s="73"/>
      <c r="N1498" s="72"/>
      <c r="O1498" s="73"/>
      <c r="P1498" s="72"/>
      <c r="Q1498" s="73"/>
      <c r="R1498" s="72"/>
      <c r="S1498" s="73"/>
      <c r="T1498" s="72"/>
      <c r="U1498" s="73"/>
      <c r="V1498" s="72"/>
      <c r="W1498" s="73"/>
      <c r="X1498" s="72"/>
      <c r="Y1498" s="73"/>
      <c r="Z1498" s="74" t="b">
        <v>0</v>
      </c>
      <c r="AA1498" s="130">
        <f t="shared" si="595"/>
        <v>0</v>
      </c>
      <c r="AB1498" s="131">
        <f t="shared" si="596"/>
        <v>0</v>
      </c>
      <c r="AC1498" s="132">
        <f t="shared" si="597"/>
        <v>0</v>
      </c>
      <c r="AD1498" s="133">
        <f t="shared" si="598"/>
        <v>0</v>
      </c>
      <c r="AE1498" s="131">
        <f t="shared" si="599"/>
        <v>0</v>
      </c>
      <c r="AF1498" s="133">
        <f t="shared" si="600"/>
        <v>0</v>
      </c>
      <c r="AG1498" s="1"/>
    </row>
    <row r="1499" ht="21.0" customHeight="1">
      <c r="A1499" s="1"/>
      <c r="B1499" s="89" t="s">
        <v>44</v>
      </c>
      <c r="C1499" s="49"/>
      <c r="D1499" s="90">
        <f t="array" ref="D1499">iferror(vlookup(xlookup(B1490,'현황'!O:O,'현황'!O:O,,-1,-1),'현황'!O:S,2,false),0)</f>
        <v>0</v>
      </c>
      <c r="E1499" s="51" t="s">
        <v>45</v>
      </c>
      <c r="F1499" s="52" t="s">
        <v>34</v>
      </c>
      <c r="G1499" s="83"/>
      <c r="H1499" s="84"/>
      <c r="I1499" s="85"/>
      <c r="J1499" s="72"/>
      <c r="K1499" s="73"/>
      <c r="L1499" s="72"/>
      <c r="M1499" s="73"/>
      <c r="N1499" s="72"/>
      <c r="O1499" s="73"/>
      <c r="P1499" s="72"/>
      <c r="Q1499" s="73"/>
      <c r="R1499" s="72"/>
      <c r="S1499" s="73"/>
      <c r="T1499" s="72"/>
      <c r="U1499" s="73"/>
      <c r="V1499" s="72"/>
      <c r="W1499" s="73"/>
      <c r="X1499" s="72"/>
      <c r="Y1499" s="73"/>
      <c r="Z1499" s="74" t="b">
        <v>0</v>
      </c>
      <c r="AA1499" s="130">
        <f t="shared" si="595"/>
        <v>0</v>
      </c>
      <c r="AB1499" s="131">
        <f t="shared" si="596"/>
        <v>0</v>
      </c>
      <c r="AC1499" s="132">
        <f t="shared" si="597"/>
        <v>0</v>
      </c>
      <c r="AD1499" s="133">
        <f t="shared" si="598"/>
        <v>0</v>
      </c>
      <c r="AE1499" s="131">
        <f t="shared" si="599"/>
        <v>0</v>
      </c>
      <c r="AF1499" s="133">
        <f t="shared" si="600"/>
        <v>0</v>
      </c>
      <c r="AG1499" s="1"/>
    </row>
    <row r="1500" ht="21.0" customHeight="1">
      <c r="A1500" s="1"/>
      <c r="B1500" s="48" t="s">
        <v>46</v>
      </c>
      <c r="C1500" s="49"/>
      <c r="D1500" s="91">
        <f t="array" ref="D1500">iferror(vlookup(xlookup(B1490,'현황'!O:O,'현황'!O:O,,-1,-1),'현황'!O:S,3,false),0)</f>
        <v>0</v>
      </c>
      <c r="E1500" s="66"/>
      <c r="F1500" s="52" t="s">
        <v>37</v>
      </c>
      <c r="G1500" s="67"/>
      <c r="H1500" s="80"/>
      <c r="I1500" s="69"/>
      <c r="J1500" s="72"/>
      <c r="K1500" s="73"/>
      <c r="L1500" s="72"/>
      <c r="M1500" s="73"/>
      <c r="N1500" s="72"/>
      <c r="O1500" s="73"/>
      <c r="P1500" s="72"/>
      <c r="Q1500" s="73"/>
      <c r="R1500" s="72"/>
      <c r="S1500" s="73"/>
      <c r="T1500" s="72"/>
      <c r="U1500" s="73"/>
      <c r="V1500" s="72"/>
      <c r="W1500" s="73"/>
      <c r="X1500" s="72"/>
      <c r="Y1500" s="73"/>
      <c r="Z1500" s="74" t="b">
        <v>0</v>
      </c>
      <c r="AA1500" s="130">
        <f t="shared" si="595"/>
        <v>0</v>
      </c>
      <c r="AB1500" s="131">
        <f t="shared" si="596"/>
        <v>0</v>
      </c>
      <c r="AC1500" s="132">
        <f t="shared" si="597"/>
        <v>0</v>
      </c>
      <c r="AD1500" s="133">
        <f t="shared" si="598"/>
        <v>0</v>
      </c>
      <c r="AE1500" s="131">
        <f t="shared" si="599"/>
        <v>0</v>
      </c>
      <c r="AF1500" s="133">
        <f t="shared" si="600"/>
        <v>0</v>
      </c>
      <c r="AG1500" s="1"/>
    </row>
    <row r="1501" ht="21.0" customHeight="1">
      <c r="A1501" s="1"/>
      <c r="B1501" s="48" t="s">
        <v>47</v>
      </c>
      <c r="C1501" s="49"/>
      <c r="D1501" s="91">
        <f t="array" ref="D1501">iferror(vlookup(xlookup(B1490,'현황'!O:O,'현황'!O:O,,-1,-1),'현황'!O:S,4,false),0)</f>
        <v>0</v>
      </c>
      <c r="E1501" s="41"/>
      <c r="F1501" s="92" t="s">
        <v>40</v>
      </c>
      <c r="G1501" s="79"/>
      <c r="H1501" s="93"/>
      <c r="I1501" s="94"/>
      <c r="J1501" s="95"/>
      <c r="K1501" s="96"/>
      <c r="L1501" s="95"/>
      <c r="M1501" s="96"/>
      <c r="N1501" s="95"/>
      <c r="O1501" s="96"/>
      <c r="P1501" s="95"/>
      <c r="Q1501" s="96"/>
      <c r="R1501" s="95"/>
      <c r="S1501" s="96"/>
      <c r="T1501" s="95"/>
      <c r="U1501" s="96"/>
      <c r="V1501" s="95"/>
      <c r="W1501" s="96"/>
      <c r="X1501" s="95"/>
      <c r="Y1501" s="96"/>
      <c r="Z1501" s="97" t="b">
        <v>0</v>
      </c>
      <c r="AA1501" s="135">
        <f t="shared" si="595"/>
        <v>0</v>
      </c>
      <c r="AB1501" s="136">
        <f t="shared" si="596"/>
        <v>0</v>
      </c>
      <c r="AC1501" s="137">
        <f t="shared" si="597"/>
        <v>0</v>
      </c>
      <c r="AD1501" s="138">
        <f t="shared" si="598"/>
        <v>0</v>
      </c>
      <c r="AE1501" s="136">
        <f t="shared" si="599"/>
        <v>0</v>
      </c>
      <c r="AF1501" s="138">
        <f t="shared" si="600"/>
        <v>0</v>
      </c>
      <c r="AG1501" s="1"/>
    </row>
    <row r="1502" ht="21.0" customHeight="1">
      <c r="A1502" s="1"/>
      <c r="B1502" s="102" t="s">
        <v>48</v>
      </c>
      <c r="C1502" s="103"/>
      <c r="D1502" s="104">
        <f>iferror(D1501/D1499,0)</f>
        <v>0</v>
      </c>
      <c r="E1502" s="102" t="s">
        <v>49</v>
      </c>
      <c r="F1502" s="103"/>
      <c r="G1502" s="105"/>
      <c r="H1502" s="143" t="s">
        <v>50</v>
      </c>
      <c r="I1502" s="144"/>
      <c r="J1502" s="11"/>
      <c r="K1502" s="11"/>
      <c r="L1502" s="11"/>
      <c r="M1502" s="11"/>
      <c r="N1502" s="11"/>
      <c r="O1502" s="11"/>
      <c r="P1502" s="145" t="s">
        <v>51</v>
      </c>
      <c r="Q1502" s="12"/>
      <c r="R1502" s="146"/>
      <c r="S1502" s="11"/>
      <c r="T1502" s="11"/>
      <c r="U1502" s="11"/>
      <c r="V1502" s="11"/>
      <c r="W1502" s="11"/>
      <c r="X1502" s="11"/>
      <c r="Y1502" s="11"/>
      <c r="Z1502" s="12"/>
      <c r="AA1502" s="139">
        <f>SUM(AA1493:AA1501)</f>
        <v>0</v>
      </c>
      <c r="AB1502" s="140" t="s">
        <v>297</v>
      </c>
      <c r="AG1502" s="1"/>
    </row>
    <row r="1503" ht="21.0" customHeight="1">
      <c r="A1503" s="1"/>
      <c r="B1503" s="1"/>
      <c r="C1503" s="1"/>
      <c r="D1503" s="1"/>
      <c r="E1503" s="1"/>
      <c r="F1503" s="1"/>
      <c r="G1503" s="1"/>
      <c r="H1503" s="1"/>
      <c r="I1503" s="1"/>
      <c r="AA1503" s="1"/>
      <c r="AB1503" s="1"/>
      <c r="AC1503" s="3"/>
      <c r="AD1503" s="1"/>
      <c r="AE1503" s="1"/>
      <c r="AF1503" s="1"/>
      <c r="AG1503" s="1"/>
    </row>
    <row r="1504" ht="21.0" customHeight="1">
      <c r="A1504" s="1"/>
      <c r="B1504" s="4" t="s">
        <v>1</v>
      </c>
      <c r="C1504" s="5"/>
      <c r="D1504" s="6" t="s">
        <v>2</v>
      </c>
      <c r="E1504" s="7"/>
      <c r="F1504" s="7"/>
      <c r="G1504" s="5"/>
      <c r="H1504" s="8" t="s">
        <v>3</v>
      </c>
      <c r="I1504" s="8" t="s">
        <v>4</v>
      </c>
      <c r="J1504" s="9" t="s">
        <v>5</v>
      </c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5"/>
      <c r="AA1504" s="117" t="s">
        <v>6</v>
      </c>
      <c r="AB1504" s="11"/>
      <c r="AC1504" s="11"/>
      <c r="AD1504" s="11"/>
      <c r="AE1504" s="11"/>
      <c r="AF1504" s="12"/>
      <c r="AG1504" s="1"/>
    </row>
    <row r="1505" ht="21.0" customHeight="1">
      <c r="A1505" s="1"/>
      <c r="B1505" s="149" t="s">
        <v>138</v>
      </c>
      <c r="C1505" s="14" t="str">
        <f>if(B1505="0/0","",choose(weekday(B1505),"(일)","(월)","(화)","(수)","(목)","(금)","(토)"))</f>
        <v/>
      </c>
      <c r="D1505" s="15" t="s">
        <v>7</v>
      </c>
      <c r="E1505" s="16" t="s">
        <v>8</v>
      </c>
      <c r="F1505" s="17"/>
      <c r="G1505" s="18" t="s">
        <v>9</v>
      </c>
      <c r="H1505" s="150" t="s">
        <v>139</v>
      </c>
      <c r="I1505" s="151"/>
      <c r="J1505" s="21" t="s">
        <v>12</v>
      </c>
      <c r="K1505" s="22"/>
      <c r="L1505" s="21" t="s">
        <v>13</v>
      </c>
      <c r="M1505" s="22"/>
      <c r="N1505" s="21" t="s">
        <v>14</v>
      </c>
      <c r="O1505" s="22"/>
      <c r="P1505" s="21" t="s">
        <v>15</v>
      </c>
      <c r="Q1505" s="22"/>
      <c r="R1505" s="23" t="s">
        <v>16</v>
      </c>
      <c r="S1505" s="22"/>
      <c r="T1505" s="23" t="s">
        <v>17</v>
      </c>
      <c r="U1505" s="22"/>
      <c r="V1505" s="23" t="s">
        <v>18</v>
      </c>
      <c r="W1505" s="22"/>
      <c r="X1505" s="23" t="s">
        <v>19</v>
      </c>
      <c r="Y1505" s="22"/>
      <c r="Z1505" s="24" t="s">
        <v>298</v>
      </c>
      <c r="AA1505" s="118" t="s">
        <v>21</v>
      </c>
      <c r="AB1505" s="119" t="s">
        <v>22</v>
      </c>
      <c r="AC1505" s="7"/>
      <c r="AD1505" s="22"/>
      <c r="AE1505" s="120" t="s">
        <v>23</v>
      </c>
      <c r="AF1505" s="22"/>
      <c r="AG1505" s="1"/>
    </row>
    <row r="1506" ht="21.0" customHeight="1">
      <c r="A1506" s="1"/>
      <c r="B1506" s="27">
        <f>iferror(B1505-'현황'!$C$4+1,0)</f>
        <v>0</v>
      </c>
      <c r="C1506" s="28"/>
      <c r="D1506" s="29">
        <v>0.0</v>
      </c>
      <c r="E1506" s="30">
        <v>0.0</v>
      </c>
      <c r="F1506" s="31"/>
      <c r="G1506" s="32">
        <v>0.0</v>
      </c>
      <c r="H1506" s="33">
        <v>0.0</v>
      </c>
      <c r="I1506" s="34"/>
      <c r="J1506" s="35"/>
      <c r="K1506" s="36"/>
      <c r="L1506" s="35"/>
      <c r="M1506" s="36"/>
      <c r="N1506" s="35"/>
      <c r="O1506" s="36"/>
      <c r="P1506" s="35"/>
      <c r="Q1506" s="36"/>
      <c r="R1506" s="35"/>
      <c r="S1506" s="36"/>
      <c r="T1506" s="35"/>
      <c r="U1506" s="36"/>
      <c r="V1506" s="35"/>
      <c r="W1506" s="36"/>
      <c r="X1506" s="35"/>
      <c r="Y1506" s="36"/>
      <c r="Z1506" s="37"/>
      <c r="AA1506" s="37"/>
      <c r="AB1506" s="35"/>
      <c r="AC1506" s="38"/>
      <c r="AD1506" s="36"/>
      <c r="AE1506" s="35"/>
      <c r="AF1506" s="36"/>
      <c r="AG1506" s="1"/>
    </row>
    <row r="1507" ht="21.0" customHeight="1">
      <c r="A1507" s="1"/>
      <c r="B1507" s="39" t="s">
        <v>24</v>
      </c>
      <c r="C1507" s="40"/>
      <c r="D1507" s="41"/>
      <c r="E1507" s="42" t="s">
        <v>25</v>
      </c>
      <c r="F1507" s="40"/>
      <c r="G1507" s="41"/>
      <c r="H1507" s="43" t="s">
        <v>26</v>
      </c>
      <c r="J1507" s="44" t="s">
        <v>27</v>
      </c>
      <c r="K1507" s="45" t="s">
        <v>28</v>
      </c>
      <c r="L1507" s="44" t="s">
        <v>27</v>
      </c>
      <c r="M1507" s="45" t="s">
        <v>28</v>
      </c>
      <c r="N1507" s="44" t="s">
        <v>27</v>
      </c>
      <c r="O1507" s="45" t="s">
        <v>28</v>
      </c>
      <c r="P1507" s="44" t="s">
        <v>27</v>
      </c>
      <c r="Q1507" s="45" t="s">
        <v>28</v>
      </c>
      <c r="R1507" s="44" t="s">
        <v>27</v>
      </c>
      <c r="S1507" s="45" t="s">
        <v>28</v>
      </c>
      <c r="T1507" s="44" t="s">
        <v>27</v>
      </c>
      <c r="U1507" s="45" t="s">
        <v>28</v>
      </c>
      <c r="V1507" s="44" t="s">
        <v>27</v>
      </c>
      <c r="W1507" s="45" t="s">
        <v>28</v>
      </c>
      <c r="X1507" s="44" t="s">
        <v>27</v>
      </c>
      <c r="Y1507" s="45" t="s">
        <v>28</v>
      </c>
      <c r="Z1507" s="46"/>
      <c r="AA1507" s="46"/>
      <c r="AB1507" s="121" t="s">
        <v>29</v>
      </c>
      <c r="AC1507" s="122" t="s">
        <v>30</v>
      </c>
      <c r="AD1507" s="123" t="s">
        <v>31</v>
      </c>
      <c r="AE1507" s="121" t="s">
        <v>27</v>
      </c>
      <c r="AF1507" s="123" t="s">
        <v>28</v>
      </c>
      <c r="AG1507" s="1"/>
    </row>
    <row r="1508" ht="21.0" customHeight="1">
      <c r="A1508" s="1"/>
      <c r="B1508" s="48" t="s">
        <v>32</v>
      </c>
      <c r="C1508" s="49"/>
      <c r="D1508" s="50"/>
      <c r="E1508" s="51" t="s">
        <v>33</v>
      </c>
      <c r="F1508" s="52" t="s">
        <v>34</v>
      </c>
      <c r="G1508" s="53"/>
      <c r="H1508" s="148"/>
      <c r="I1508" s="55"/>
      <c r="J1508" s="58"/>
      <c r="K1508" s="59"/>
      <c r="L1508" s="58"/>
      <c r="M1508" s="59"/>
      <c r="N1508" s="58"/>
      <c r="O1508" s="59"/>
      <c r="P1508" s="58"/>
      <c r="Q1508" s="59"/>
      <c r="R1508" s="58"/>
      <c r="S1508" s="59"/>
      <c r="T1508" s="58"/>
      <c r="U1508" s="59"/>
      <c r="V1508" s="58"/>
      <c r="W1508" s="59"/>
      <c r="X1508" s="58"/>
      <c r="Y1508" s="59"/>
      <c r="Z1508" s="60" t="b">
        <v>0</v>
      </c>
      <c r="AA1508" s="125">
        <f t="shared" ref="AA1508:AA1516" si="601">(J1508*K1508+L1508*M1508+N1508*O1508+P1508*Q1508+R1508*S1508+T1508*U1508+V1508*W1508+X1508*Y1508)*if(Z1508=true,0.453592,1)</f>
        <v>0</v>
      </c>
      <c r="AB1508" s="126">
        <f t="shared" ref="AB1508:AB1516" si="602">SUM(AE1508*AF1508*0.025,AE1508)</f>
        <v>0</v>
      </c>
      <c r="AC1508" s="127">
        <f t="shared" ref="AC1508:AC1516" si="603">AB1508*87%</f>
        <v>0</v>
      </c>
      <c r="AD1508" s="128">
        <f t="shared" ref="AD1508:AD1516" si="604">AB1508*67%</f>
        <v>0</v>
      </c>
      <c r="AE1508" s="126">
        <f t="shared" ref="AE1508:AE1516" si="605">MAX(J1508,L1508,N1508,P1508,R1508,T1508,V1508,X1508)*if(Z1508=true,0.453592,1)</f>
        <v>0</v>
      </c>
      <c r="AF1508" s="128">
        <f t="shared" ref="AF1508:AF1516" si="606">MAX(IF(J1508*if(Z1508=true,0.453592,1)=$AE1508,K1508,0),IF(L1508*if(Z1508=true,0.453592,1)=$AE1508,M1508,0),IF(N1508*if(Z1508=true,0.453592,1)=$AE1508,O1508,0),IF(P1508*if(Z1508=true,0.453592,1)=$AE1508,Q1508,0),IF(R1508*if(Z1508=true,0.453592,1)=$AE1508,S1508,0),IF(T1508*if(Z1508=true,0.453592,1)=$AE1508,U1508,0),IF(V1508*if(Z1508=true,0.453592,1)=$AE1508,W1508,0),IF(X1508*if(Z1508=true,0.453592,1)=$AE1508,Y1508,0))</f>
        <v>0</v>
      </c>
      <c r="AG1508" s="1"/>
    </row>
    <row r="1509" ht="21.0" customHeight="1">
      <c r="A1509" s="1"/>
      <c r="B1509" s="48" t="s">
        <v>36</v>
      </c>
      <c r="C1509" s="49"/>
      <c r="D1509" s="65"/>
      <c r="E1509" s="66"/>
      <c r="F1509" s="52" t="s">
        <v>37</v>
      </c>
      <c r="G1509" s="67"/>
      <c r="H1509" s="129"/>
      <c r="I1509" s="69"/>
      <c r="J1509" s="72"/>
      <c r="K1509" s="73"/>
      <c r="L1509" s="72"/>
      <c r="M1509" s="73"/>
      <c r="N1509" s="72"/>
      <c r="O1509" s="73"/>
      <c r="P1509" s="72"/>
      <c r="Q1509" s="73"/>
      <c r="R1509" s="72"/>
      <c r="S1509" s="73"/>
      <c r="T1509" s="72"/>
      <c r="U1509" s="73"/>
      <c r="V1509" s="72"/>
      <c r="W1509" s="73"/>
      <c r="X1509" s="72"/>
      <c r="Y1509" s="73"/>
      <c r="Z1509" s="74" t="b">
        <v>0</v>
      </c>
      <c r="AA1509" s="130">
        <f t="shared" si="601"/>
        <v>0</v>
      </c>
      <c r="AB1509" s="131">
        <f t="shared" si="602"/>
        <v>0</v>
      </c>
      <c r="AC1509" s="132">
        <f t="shared" si="603"/>
        <v>0</v>
      </c>
      <c r="AD1509" s="133">
        <f t="shared" si="604"/>
        <v>0</v>
      </c>
      <c r="AE1509" s="131">
        <f t="shared" si="605"/>
        <v>0</v>
      </c>
      <c r="AF1509" s="133">
        <f t="shared" si="606"/>
        <v>0</v>
      </c>
      <c r="AG1509" s="1"/>
    </row>
    <row r="1510" ht="21.0" customHeight="1">
      <c r="A1510" s="1"/>
      <c r="B1510" s="48" t="s">
        <v>39</v>
      </c>
      <c r="C1510" s="49"/>
      <c r="D1510" s="65"/>
      <c r="E1510" s="41"/>
      <c r="F1510" s="52" t="s">
        <v>40</v>
      </c>
      <c r="G1510" s="79"/>
      <c r="H1510" s="80"/>
      <c r="I1510" s="69"/>
      <c r="J1510" s="72"/>
      <c r="K1510" s="73"/>
      <c r="L1510" s="72"/>
      <c r="M1510" s="73"/>
      <c r="N1510" s="72"/>
      <c r="O1510" s="73"/>
      <c r="P1510" s="72"/>
      <c r="Q1510" s="73"/>
      <c r="R1510" s="72"/>
      <c r="S1510" s="73"/>
      <c r="T1510" s="72"/>
      <c r="U1510" s="73"/>
      <c r="V1510" s="72"/>
      <c r="W1510" s="73"/>
      <c r="X1510" s="72"/>
      <c r="Y1510" s="73"/>
      <c r="Z1510" s="74" t="b">
        <v>0</v>
      </c>
      <c r="AA1510" s="130">
        <f t="shared" si="601"/>
        <v>0</v>
      </c>
      <c r="AB1510" s="131">
        <f t="shared" si="602"/>
        <v>0</v>
      </c>
      <c r="AC1510" s="132">
        <f t="shared" si="603"/>
        <v>0</v>
      </c>
      <c r="AD1510" s="133">
        <f t="shared" si="604"/>
        <v>0</v>
      </c>
      <c r="AE1510" s="131">
        <f t="shared" si="605"/>
        <v>0</v>
      </c>
      <c r="AF1510" s="133">
        <f t="shared" si="606"/>
        <v>0</v>
      </c>
      <c r="AG1510" s="1"/>
    </row>
    <row r="1511" ht="21.0" customHeight="1">
      <c r="A1511" s="1"/>
      <c r="B1511" s="48" t="s">
        <v>41</v>
      </c>
      <c r="C1511" s="81"/>
      <c r="D1511" s="82" t="b">
        <v>0</v>
      </c>
      <c r="E1511" s="51" t="s">
        <v>42</v>
      </c>
      <c r="F1511" s="52" t="s">
        <v>34</v>
      </c>
      <c r="G1511" s="83"/>
      <c r="H1511" s="84"/>
      <c r="I1511" s="85"/>
      <c r="J1511" s="72"/>
      <c r="K1511" s="73"/>
      <c r="L1511" s="72"/>
      <c r="M1511" s="73"/>
      <c r="N1511" s="72"/>
      <c r="O1511" s="73"/>
      <c r="P1511" s="72"/>
      <c r="Q1511" s="73"/>
      <c r="R1511" s="72"/>
      <c r="S1511" s="73"/>
      <c r="T1511" s="72"/>
      <c r="U1511" s="73"/>
      <c r="V1511" s="72"/>
      <c r="W1511" s="73"/>
      <c r="X1511" s="72"/>
      <c r="Y1511" s="73"/>
      <c r="Z1511" s="74" t="b">
        <v>0</v>
      </c>
      <c r="AA1511" s="130">
        <f t="shared" si="601"/>
        <v>0</v>
      </c>
      <c r="AB1511" s="131">
        <f t="shared" si="602"/>
        <v>0</v>
      </c>
      <c r="AC1511" s="132">
        <f t="shared" si="603"/>
        <v>0</v>
      </c>
      <c r="AD1511" s="133">
        <f t="shared" si="604"/>
        <v>0</v>
      </c>
      <c r="AE1511" s="131">
        <f t="shared" si="605"/>
        <v>0</v>
      </c>
      <c r="AF1511" s="133">
        <f t="shared" si="606"/>
        <v>0</v>
      </c>
      <c r="AG1511" s="1"/>
    </row>
    <row r="1512" ht="21.0" customHeight="1">
      <c r="A1512" s="1"/>
      <c r="B1512" s="48" t="s">
        <v>43</v>
      </c>
      <c r="C1512" s="49"/>
      <c r="D1512" s="86" t="b">
        <v>0</v>
      </c>
      <c r="E1512" s="66"/>
      <c r="F1512" s="52" t="s">
        <v>37</v>
      </c>
      <c r="G1512" s="67"/>
      <c r="H1512" s="80"/>
      <c r="I1512" s="69"/>
      <c r="J1512" s="72"/>
      <c r="K1512" s="73"/>
      <c r="L1512" s="72"/>
      <c r="M1512" s="73"/>
      <c r="N1512" s="72"/>
      <c r="O1512" s="73"/>
      <c r="P1512" s="72"/>
      <c r="Q1512" s="73"/>
      <c r="R1512" s="72"/>
      <c r="S1512" s="73"/>
      <c r="T1512" s="72"/>
      <c r="U1512" s="73"/>
      <c r="V1512" s="72"/>
      <c r="W1512" s="73"/>
      <c r="X1512" s="72"/>
      <c r="Y1512" s="73"/>
      <c r="Z1512" s="74" t="b">
        <v>0</v>
      </c>
      <c r="AA1512" s="130">
        <f t="shared" si="601"/>
        <v>0</v>
      </c>
      <c r="AB1512" s="131">
        <f t="shared" si="602"/>
        <v>0</v>
      </c>
      <c r="AC1512" s="132">
        <f t="shared" si="603"/>
        <v>0</v>
      </c>
      <c r="AD1512" s="133">
        <f t="shared" si="604"/>
        <v>0</v>
      </c>
      <c r="AE1512" s="131">
        <f t="shared" si="605"/>
        <v>0</v>
      </c>
      <c r="AF1512" s="133">
        <f t="shared" si="606"/>
        <v>0</v>
      </c>
      <c r="AG1512" s="1"/>
    </row>
    <row r="1513" ht="21.0" customHeight="1">
      <c r="A1513" s="1"/>
      <c r="B1513" s="87" t="str">
        <f t="array" ref="B1513">"📌최근 인바디 결과 : "&amp;text(xlookup(B1505,'현황'!O:O,'현황'!O:O,,-1,-1),"m/d(ddd)")</f>
        <v>#REF!</v>
      </c>
      <c r="C1513" s="88"/>
      <c r="D1513" s="49"/>
      <c r="E1513" s="41"/>
      <c r="F1513" s="52" t="s">
        <v>40</v>
      </c>
      <c r="G1513" s="79"/>
      <c r="H1513" s="80"/>
      <c r="I1513" s="69"/>
      <c r="J1513" s="72"/>
      <c r="K1513" s="73"/>
      <c r="L1513" s="72"/>
      <c r="M1513" s="73"/>
      <c r="N1513" s="72"/>
      <c r="O1513" s="73"/>
      <c r="P1513" s="72"/>
      <c r="Q1513" s="73"/>
      <c r="R1513" s="72"/>
      <c r="S1513" s="73"/>
      <c r="T1513" s="72"/>
      <c r="U1513" s="73"/>
      <c r="V1513" s="72"/>
      <c r="W1513" s="73"/>
      <c r="X1513" s="72"/>
      <c r="Y1513" s="73"/>
      <c r="Z1513" s="74" t="b">
        <v>0</v>
      </c>
      <c r="AA1513" s="130">
        <f t="shared" si="601"/>
        <v>0</v>
      </c>
      <c r="AB1513" s="131">
        <f t="shared" si="602"/>
        <v>0</v>
      </c>
      <c r="AC1513" s="132">
        <f t="shared" si="603"/>
        <v>0</v>
      </c>
      <c r="AD1513" s="133">
        <f t="shared" si="604"/>
        <v>0</v>
      </c>
      <c r="AE1513" s="131">
        <f t="shared" si="605"/>
        <v>0</v>
      </c>
      <c r="AF1513" s="133">
        <f t="shared" si="606"/>
        <v>0</v>
      </c>
      <c r="AG1513" s="1"/>
    </row>
    <row r="1514" ht="21.0" customHeight="1">
      <c r="A1514" s="1"/>
      <c r="B1514" s="89" t="s">
        <v>44</v>
      </c>
      <c r="C1514" s="49"/>
      <c r="D1514" s="90">
        <f t="array" ref="D1514">iferror(vlookup(xlookup(B1505,'현황'!O:O,'현황'!O:O,,-1,-1),'현황'!O:S,2,false),0)</f>
        <v>0</v>
      </c>
      <c r="E1514" s="51" t="s">
        <v>45</v>
      </c>
      <c r="F1514" s="52" t="s">
        <v>34</v>
      </c>
      <c r="G1514" s="83"/>
      <c r="H1514" s="84"/>
      <c r="I1514" s="85"/>
      <c r="J1514" s="72"/>
      <c r="K1514" s="73"/>
      <c r="L1514" s="72"/>
      <c r="M1514" s="73"/>
      <c r="N1514" s="72"/>
      <c r="O1514" s="73"/>
      <c r="P1514" s="72"/>
      <c r="Q1514" s="73"/>
      <c r="R1514" s="72"/>
      <c r="S1514" s="73"/>
      <c r="T1514" s="72"/>
      <c r="U1514" s="73"/>
      <c r="V1514" s="72"/>
      <c r="W1514" s="73"/>
      <c r="X1514" s="72"/>
      <c r="Y1514" s="73"/>
      <c r="Z1514" s="74" t="b">
        <v>0</v>
      </c>
      <c r="AA1514" s="130">
        <f t="shared" si="601"/>
        <v>0</v>
      </c>
      <c r="AB1514" s="131">
        <f t="shared" si="602"/>
        <v>0</v>
      </c>
      <c r="AC1514" s="132">
        <f t="shared" si="603"/>
        <v>0</v>
      </c>
      <c r="AD1514" s="133">
        <f t="shared" si="604"/>
        <v>0</v>
      </c>
      <c r="AE1514" s="131">
        <f t="shared" si="605"/>
        <v>0</v>
      </c>
      <c r="AF1514" s="133">
        <f t="shared" si="606"/>
        <v>0</v>
      </c>
      <c r="AG1514" s="1"/>
    </row>
    <row r="1515" ht="21.0" customHeight="1">
      <c r="A1515" s="1"/>
      <c r="B1515" s="48" t="s">
        <v>46</v>
      </c>
      <c r="C1515" s="49"/>
      <c r="D1515" s="91">
        <f t="array" ref="D1515">iferror(vlookup(xlookup(B1505,'현황'!O:O,'현황'!O:O,,-1,-1),'현황'!O:S,3,false),0)</f>
        <v>0</v>
      </c>
      <c r="E1515" s="66"/>
      <c r="F1515" s="52" t="s">
        <v>37</v>
      </c>
      <c r="G1515" s="67"/>
      <c r="H1515" s="80"/>
      <c r="I1515" s="69"/>
      <c r="J1515" s="72"/>
      <c r="K1515" s="73"/>
      <c r="L1515" s="72"/>
      <c r="M1515" s="73"/>
      <c r="N1515" s="72"/>
      <c r="O1515" s="73"/>
      <c r="P1515" s="72"/>
      <c r="Q1515" s="73"/>
      <c r="R1515" s="72"/>
      <c r="S1515" s="73"/>
      <c r="T1515" s="72"/>
      <c r="U1515" s="73"/>
      <c r="V1515" s="72"/>
      <c r="W1515" s="73"/>
      <c r="X1515" s="72"/>
      <c r="Y1515" s="73"/>
      <c r="Z1515" s="74" t="b">
        <v>0</v>
      </c>
      <c r="AA1515" s="130">
        <f t="shared" si="601"/>
        <v>0</v>
      </c>
      <c r="AB1515" s="131">
        <f t="shared" si="602"/>
        <v>0</v>
      </c>
      <c r="AC1515" s="132">
        <f t="shared" si="603"/>
        <v>0</v>
      </c>
      <c r="AD1515" s="133">
        <f t="shared" si="604"/>
        <v>0</v>
      </c>
      <c r="AE1515" s="131">
        <f t="shared" si="605"/>
        <v>0</v>
      </c>
      <c r="AF1515" s="133">
        <f t="shared" si="606"/>
        <v>0</v>
      </c>
      <c r="AG1515" s="1"/>
    </row>
    <row r="1516" ht="21.0" customHeight="1">
      <c r="A1516" s="1"/>
      <c r="B1516" s="48" t="s">
        <v>47</v>
      </c>
      <c r="C1516" s="49"/>
      <c r="D1516" s="91">
        <f t="array" ref="D1516">iferror(vlookup(xlookup(B1505,'현황'!O:O,'현황'!O:O,,-1,-1),'현황'!O:S,4,false),0)</f>
        <v>0</v>
      </c>
      <c r="E1516" s="41"/>
      <c r="F1516" s="92" t="s">
        <v>40</v>
      </c>
      <c r="G1516" s="79"/>
      <c r="H1516" s="93"/>
      <c r="I1516" s="94"/>
      <c r="J1516" s="95"/>
      <c r="K1516" s="96"/>
      <c r="L1516" s="95"/>
      <c r="M1516" s="96"/>
      <c r="N1516" s="95"/>
      <c r="O1516" s="96"/>
      <c r="P1516" s="95"/>
      <c r="Q1516" s="96"/>
      <c r="R1516" s="95"/>
      <c r="S1516" s="96"/>
      <c r="T1516" s="95"/>
      <c r="U1516" s="96"/>
      <c r="V1516" s="95"/>
      <c r="W1516" s="96"/>
      <c r="X1516" s="95"/>
      <c r="Y1516" s="96"/>
      <c r="Z1516" s="97" t="b">
        <v>0</v>
      </c>
      <c r="AA1516" s="135">
        <f t="shared" si="601"/>
        <v>0</v>
      </c>
      <c r="AB1516" s="136">
        <f t="shared" si="602"/>
        <v>0</v>
      </c>
      <c r="AC1516" s="137">
        <f t="shared" si="603"/>
        <v>0</v>
      </c>
      <c r="AD1516" s="138">
        <f t="shared" si="604"/>
        <v>0</v>
      </c>
      <c r="AE1516" s="136">
        <f t="shared" si="605"/>
        <v>0</v>
      </c>
      <c r="AF1516" s="138">
        <f t="shared" si="606"/>
        <v>0</v>
      </c>
      <c r="AG1516" s="1"/>
    </row>
    <row r="1517" ht="21.0" customHeight="1">
      <c r="A1517" s="1"/>
      <c r="B1517" s="102" t="s">
        <v>48</v>
      </c>
      <c r="C1517" s="103"/>
      <c r="D1517" s="104">
        <f>iferror(D1516/D1514,0)</f>
        <v>0</v>
      </c>
      <c r="E1517" s="102" t="s">
        <v>49</v>
      </c>
      <c r="F1517" s="103"/>
      <c r="G1517" s="105"/>
      <c r="H1517" s="106" t="s">
        <v>50</v>
      </c>
      <c r="I1517" s="107"/>
      <c r="J1517" s="11"/>
      <c r="K1517" s="11"/>
      <c r="L1517" s="11"/>
      <c r="M1517" s="11"/>
      <c r="N1517" s="11"/>
      <c r="O1517" s="11"/>
      <c r="P1517" s="108" t="s">
        <v>51</v>
      </c>
      <c r="Q1517" s="12"/>
      <c r="R1517" s="109"/>
      <c r="S1517" s="11"/>
      <c r="T1517" s="11"/>
      <c r="U1517" s="11"/>
      <c r="V1517" s="11"/>
      <c r="W1517" s="11"/>
      <c r="X1517" s="11"/>
      <c r="Y1517" s="11"/>
      <c r="Z1517" s="12"/>
      <c r="AA1517" s="139">
        <f>SUM(AA1508:AA1516)</f>
        <v>0</v>
      </c>
      <c r="AB1517" s="140" t="s">
        <v>299</v>
      </c>
      <c r="AG1517" s="1"/>
    </row>
    <row r="1518" ht="21.0" customHeight="1">
      <c r="A1518" s="1"/>
      <c r="B1518" s="1"/>
      <c r="C1518" s="1"/>
      <c r="D1518" s="1"/>
      <c r="E1518" s="1"/>
      <c r="F1518" s="1"/>
      <c r="G1518" s="1"/>
      <c r="H1518" s="1"/>
      <c r="I1518" s="1"/>
      <c r="AA1518" s="1"/>
      <c r="AB1518" s="1"/>
      <c r="AC1518" s="3"/>
      <c r="AD1518" s="1"/>
      <c r="AE1518" s="1"/>
      <c r="AF1518" s="1"/>
      <c r="AG1518" s="1"/>
    </row>
    <row r="1519" ht="21.0" customHeight="1">
      <c r="A1519" s="1"/>
      <c r="B1519" s="4" t="s">
        <v>1</v>
      </c>
      <c r="C1519" s="5"/>
      <c r="D1519" s="6" t="s">
        <v>2</v>
      </c>
      <c r="E1519" s="7"/>
      <c r="F1519" s="7"/>
      <c r="G1519" s="5"/>
      <c r="H1519" s="8" t="s">
        <v>3</v>
      </c>
      <c r="I1519" s="8" t="s">
        <v>4</v>
      </c>
      <c r="J1519" s="9" t="s">
        <v>5</v>
      </c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5"/>
      <c r="AA1519" s="117" t="s">
        <v>6</v>
      </c>
      <c r="AB1519" s="11"/>
      <c r="AC1519" s="11"/>
      <c r="AD1519" s="11"/>
      <c r="AE1519" s="11"/>
      <c r="AF1519" s="12"/>
      <c r="AG1519" s="1"/>
    </row>
    <row r="1520" ht="21.0" customHeight="1">
      <c r="A1520" s="1"/>
      <c r="B1520" s="149" t="s">
        <v>138</v>
      </c>
      <c r="C1520" s="14" t="str">
        <f>if(B1520="0/0","",choose(weekday(B1520),"(일)","(월)","(화)","(수)","(목)","(금)","(토)"))</f>
        <v/>
      </c>
      <c r="D1520" s="15" t="s">
        <v>7</v>
      </c>
      <c r="E1520" s="16" t="s">
        <v>8</v>
      </c>
      <c r="F1520" s="17"/>
      <c r="G1520" s="18" t="s">
        <v>9</v>
      </c>
      <c r="H1520" s="150" t="s">
        <v>139</v>
      </c>
      <c r="I1520" s="151"/>
      <c r="J1520" s="21" t="s">
        <v>12</v>
      </c>
      <c r="K1520" s="22"/>
      <c r="L1520" s="21" t="s">
        <v>13</v>
      </c>
      <c r="M1520" s="22"/>
      <c r="N1520" s="21" t="s">
        <v>14</v>
      </c>
      <c r="O1520" s="22"/>
      <c r="P1520" s="21" t="s">
        <v>15</v>
      </c>
      <c r="Q1520" s="22"/>
      <c r="R1520" s="23" t="s">
        <v>16</v>
      </c>
      <c r="S1520" s="22"/>
      <c r="T1520" s="23" t="s">
        <v>17</v>
      </c>
      <c r="U1520" s="22"/>
      <c r="V1520" s="23" t="s">
        <v>18</v>
      </c>
      <c r="W1520" s="22"/>
      <c r="X1520" s="23" t="s">
        <v>19</v>
      </c>
      <c r="Y1520" s="22"/>
      <c r="Z1520" s="24" t="s">
        <v>300</v>
      </c>
      <c r="AA1520" s="118" t="s">
        <v>21</v>
      </c>
      <c r="AB1520" s="119" t="s">
        <v>22</v>
      </c>
      <c r="AC1520" s="7"/>
      <c r="AD1520" s="22"/>
      <c r="AE1520" s="120" t="s">
        <v>23</v>
      </c>
      <c r="AF1520" s="22"/>
      <c r="AG1520" s="1"/>
    </row>
    <row r="1521" ht="21.0" customHeight="1">
      <c r="A1521" s="1"/>
      <c r="B1521" s="27">
        <f>iferror(B1520-'현황'!$C$4+1,0)</f>
        <v>0</v>
      </c>
      <c r="C1521" s="28"/>
      <c r="D1521" s="29">
        <v>0.0</v>
      </c>
      <c r="E1521" s="30">
        <v>0.0</v>
      </c>
      <c r="F1521" s="31"/>
      <c r="G1521" s="32">
        <v>0.0</v>
      </c>
      <c r="H1521" s="33">
        <v>0.0</v>
      </c>
      <c r="I1521" s="34"/>
      <c r="J1521" s="35"/>
      <c r="K1521" s="36"/>
      <c r="L1521" s="35"/>
      <c r="M1521" s="36"/>
      <c r="N1521" s="35"/>
      <c r="O1521" s="36"/>
      <c r="P1521" s="35"/>
      <c r="Q1521" s="36"/>
      <c r="R1521" s="35"/>
      <c r="S1521" s="36"/>
      <c r="T1521" s="35"/>
      <c r="U1521" s="36"/>
      <c r="V1521" s="35"/>
      <c r="W1521" s="36"/>
      <c r="X1521" s="35"/>
      <c r="Y1521" s="36"/>
      <c r="Z1521" s="37"/>
      <c r="AA1521" s="37"/>
      <c r="AB1521" s="35"/>
      <c r="AC1521" s="38"/>
      <c r="AD1521" s="36"/>
      <c r="AE1521" s="35"/>
      <c r="AF1521" s="36"/>
      <c r="AG1521" s="1"/>
    </row>
    <row r="1522" ht="21.0" customHeight="1">
      <c r="A1522" s="1"/>
      <c r="B1522" s="39" t="s">
        <v>24</v>
      </c>
      <c r="C1522" s="40"/>
      <c r="D1522" s="41"/>
      <c r="E1522" s="42" t="s">
        <v>25</v>
      </c>
      <c r="F1522" s="40"/>
      <c r="G1522" s="41"/>
      <c r="H1522" s="43" t="s">
        <v>26</v>
      </c>
      <c r="J1522" s="44" t="s">
        <v>27</v>
      </c>
      <c r="K1522" s="45" t="s">
        <v>28</v>
      </c>
      <c r="L1522" s="44" t="s">
        <v>27</v>
      </c>
      <c r="M1522" s="45" t="s">
        <v>28</v>
      </c>
      <c r="N1522" s="44" t="s">
        <v>27</v>
      </c>
      <c r="O1522" s="45" t="s">
        <v>28</v>
      </c>
      <c r="P1522" s="44" t="s">
        <v>27</v>
      </c>
      <c r="Q1522" s="45" t="s">
        <v>28</v>
      </c>
      <c r="R1522" s="44" t="s">
        <v>27</v>
      </c>
      <c r="S1522" s="45" t="s">
        <v>28</v>
      </c>
      <c r="T1522" s="44" t="s">
        <v>27</v>
      </c>
      <c r="U1522" s="45" t="s">
        <v>28</v>
      </c>
      <c r="V1522" s="44" t="s">
        <v>27</v>
      </c>
      <c r="W1522" s="45" t="s">
        <v>28</v>
      </c>
      <c r="X1522" s="44" t="s">
        <v>27</v>
      </c>
      <c r="Y1522" s="45" t="s">
        <v>28</v>
      </c>
      <c r="Z1522" s="46"/>
      <c r="AA1522" s="46"/>
      <c r="AB1522" s="121" t="s">
        <v>29</v>
      </c>
      <c r="AC1522" s="122" t="s">
        <v>30</v>
      </c>
      <c r="AD1522" s="123" t="s">
        <v>31</v>
      </c>
      <c r="AE1522" s="121" t="s">
        <v>27</v>
      </c>
      <c r="AF1522" s="123" t="s">
        <v>28</v>
      </c>
      <c r="AG1522" s="1"/>
    </row>
    <row r="1523" ht="21.0" customHeight="1">
      <c r="A1523" s="1"/>
      <c r="B1523" s="48" t="s">
        <v>32</v>
      </c>
      <c r="C1523" s="49"/>
      <c r="D1523" s="50"/>
      <c r="E1523" s="51" t="s">
        <v>33</v>
      </c>
      <c r="F1523" s="52" t="s">
        <v>34</v>
      </c>
      <c r="G1523" s="53"/>
      <c r="H1523" s="148"/>
      <c r="I1523" s="55"/>
      <c r="J1523" s="58"/>
      <c r="K1523" s="59"/>
      <c r="L1523" s="58"/>
      <c r="M1523" s="59"/>
      <c r="N1523" s="58"/>
      <c r="O1523" s="59"/>
      <c r="P1523" s="58"/>
      <c r="Q1523" s="59"/>
      <c r="R1523" s="58"/>
      <c r="S1523" s="59"/>
      <c r="T1523" s="58"/>
      <c r="U1523" s="59"/>
      <c r="V1523" s="58"/>
      <c r="W1523" s="59"/>
      <c r="X1523" s="58"/>
      <c r="Y1523" s="59"/>
      <c r="Z1523" s="60" t="b">
        <v>0</v>
      </c>
      <c r="AA1523" s="125">
        <f t="shared" ref="AA1523:AA1531" si="607">(J1523*K1523+L1523*M1523+N1523*O1523+P1523*Q1523+R1523*S1523+T1523*U1523+V1523*W1523+X1523*Y1523)*if(Z1523=true,0.453592,1)</f>
        <v>0</v>
      </c>
      <c r="AB1523" s="126">
        <f t="shared" ref="AB1523:AB1531" si="608">SUM(AE1523*AF1523*0.025,AE1523)</f>
        <v>0</v>
      </c>
      <c r="AC1523" s="127">
        <f t="shared" ref="AC1523:AC1531" si="609">AB1523*87%</f>
        <v>0</v>
      </c>
      <c r="AD1523" s="128">
        <f t="shared" ref="AD1523:AD1531" si="610">AB1523*67%</f>
        <v>0</v>
      </c>
      <c r="AE1523" s="126">
        <f t="shared" ref="AE1523:AE1531" si="611">MAX(J1523,L1523,N1523,P1523,R1523,T1523,V1523,X1523)*if(Z1523=true,0.453592,1)</f>
        <v>0</v>
      </c>
      <c r="AF1523" s="128">
        <f t="shared" ref="AF1523:AF1531" si="612">MAX(IF(J1523*if(Z1523=true,0.453592,1)=$AE1523,K1523,0),IF(L1523*if(Z1523=true,0.453592,1)=$AE1523,M1523,0),IF(N1523*if(Z1523=true,0.453592,1)=$AE1523,O1523,0),IF(P1523*if(Z1523=true,0.453592,1)=$AE1523,Q1523,0),IF(R1523*if(Z1523=true,0.453592,1)=$AE1523,S1523,0),IF(T1523*if(Z1523=true,0.453592,1)=$AE1523,U1523,0),IF(V1523*if(Z1523=true,0.453592,1)=$AE1523,W1523,0),IF(X1523*if(Z1523=true,0.453592,1)=$AE1523,Y1523,0))</f>
        <v>0</v>
      </c>
      <c r="AG1523" s="1"/>
    </row>
    <row r="1524" ht="21.0" customHeight="1">
      <c r="A1524" s="1"/>
      <c r="B1524" s="48" t="s">
        <v>36</v>
      </c>
      <c r="C1524" s="49"/>
      <c r="D1524" s="65"/>
      <c r="E1524" s="66"/>
      <c r="F1524" s="52" t="s">
        <v>37</v>
      </c>
      <c r="G1524" s="67"/>
      <c r="H1524" s="129"/>
      <c r="I1524" s="69"/>
      <c r="J1524" s="72"/>
      <c r="K1524" s="73"/>
      <c r="L1524" s="72"/>
      <c r="M1524" s="73"/>
      <c r="N1524" s="72"/>
      <c r="O1524" s="73"/>
      <c r="P1524" s="72"/>
      <c r="Q1524" s="73"/>
      <c r="R1524" s="72"/>
      <c r="S1524" s="73"/>
      <c r="T1524" s="72"/>
      <c r="U1524" s="73"/>
      <c r="V1524" s="72"/>
      <c r="W1524" s="73"/>
      <c r="X1524" s="72"/>
      <c r="Y1524" s="73"/>
      <c r="Z1524" s="74" t="b">
        <v>0</v>
      </c>
      <c r="AA1524" s="130">
        <f t="shared" si="607"/>
        <v>0</v>
      </c>
      <c r="AB1524" s="131">
        <f t="shared" si="608"/>
        <v>0</v>
      </c>
      <c r="AC1524" s="132">
        <f t="shared" si="609"/>
        <v>0</v>
      </c>
      <c r="AD1524" s="133">
        <f t="shared" si="610"/>
        <v>0</v>
      </c>
      <c r="AE1524" s="131">
        <f t="shared" si="611"/>
        <v>0</v>
      </c>
      <c r="AF1524" s="133">
        <f t="shared" si="612"/>
        <v>0</v>
      </c>
      <c r="AG1524" s="1"/>
    </row>
    <row r="1525" ht="21.0" customHeight="1">
      <c r="A1525" s="1"/>
      <c r="B1525" s="48" t="s">
        <v>39</v>
      </c>
      <c r="C1525" s="49"/>
      <c r="D1525" s="65"/>
      <c r="E1525" s="41"/>
      <c r="F1525" s="52" t="s">
        <v>40</v>
      </c>
      <c r="G1525" s="79"/>
      <c r="H1525" s="80"/>
      <c r="I1525" s="69"/>
      <c r="J1525" s="72"/>
      <c r="K1525" s="73"/>
      <c r="L1525" s="72"/>
      <c r="M1525" s="73"/>
      <c r="N1525" s="72"/>
      <c r="O1525" s="73"/>
      <c r="P1525" s="72"/>
      <c r="Q1525" s="73"/>
      <c r="R1525" s="72"/>
      <c r="S1525" s="73"/>
      <c r="T1525" s="72"/>
      <c r="U1525" s="73"/>
      <c r="V1525" s="72"/>
      <c r="W1525" s="73"/>
      <c r="X1525" s="72"/>
      <c r="Y1525" s="73"/>
      <c r="Z1525" s="74" t="b">
        <v>0</v>
      </c>
      <c r="AA1525" s="130">
        <f t="shared" si="607"/>
        <v>0</v>
      </c>
      <c r="AB1525" s="131">
        <f t="shared" si="608"/>
        <v>0</v>
      </c>
      <c r="AC1525" s="132">
        <f t="shared" si="609"/>
        <v>0</v>
      </c>
      <c r="AD1525" s="133">
        <f t="shared" si="610"/>
        <v>0</v>
      </c>
      <c r="AE1525" s="131">
        <f t="shared" si="611"/>
        <v>0</v>
      </c>
      <c r="AF1525" s="133">
        <f t="shared" si="612"/>
        <v>0</v>
      </c>
      <c r="AG1525" s="1"/>
    </row>
    <row r="1526" ht="21.0" customHeight="1">
      <c r="A1526" s="1"/>
      <c r="B1526" s="48" t="s">
        <v>41</v>
      </c>
      <c r="C1526" s="81"/>
      <c r="D1526" s="82" t="b">
        <v>0</v>
      </c>
      <c r="E1526" s="51" t="s">
        <v>42</v>
      </c>
      <c r="F1526" s="52" t="s">
        <v>34</v>
      </c>
      <c r="G1526" s="83"/>
      <c r="H1526" s="84"/>
      <c r="I1526" s="85"/>
      <c r="J1526" s="72"/>
      <c r="K1526" s="73"/>
      <c r="L1526" s="72"/>
      <c r="M1526" s="73"/>
      <c r="N1526" s="72"/>
      <c r="O1526" s="73"/>
      <c r="P1526" s="72"/>
      <c r="Q1526" s="73"/>
      <c r="R1526" s="72"/>
      <c r="S1526" s="73"/>
      <c r="T1526" s="72"/>
      <c r="U1526" s="73"/>
      <c r="V1526" s="72"/>
      <c r="W1526" s="73"/>
      <c r="X1526" s="72"/>
      <c r="Y1526" s="73"/>
      <c r="Z1526" s="74" t="b">
        <v>0</v>
      </c>
      <c r="AA1526" s="130">
        <f t="shared" si="607"/>
        <v>0</v>
      </c>
      <c r="AB1526" s="131">
        <f t="shared" si="608"/>
        <v>0</v>
      </c>
      <c r="AC1526" s="132">
        <f t="shared" si="609"/>
        <v>0</v>
      </c>
      <c r="AD1526" s="133">
        <f t="shared" si="610"/>
        <v>0</v>
      </c>
      <c r="AE1526" s="131">
        <f t="shared" si="611"/>
        <v>0</v>
      </c>
      <c r="AF1526" s="133">
        <f t="shared" si="612"/>
        <v>0</v>
      </c>
      <c r="AG1526" s="1"/>
    </row>
    <row r="1527" ht="21.0" customHeight="1">
      <c r="A1527" s="1"/>
      <c r="B1527" s="48" t="s">
        <v>43</v>
      </c>
      <c r="C1527" s="49"/>
      <c r="D1527" s="86" t="b">
        <v>0</v>
      </c>
      <c r="E1527" s="66"/>
      <c r="F1527" s="52" t="s">
        <v>37</v>
      </c>
      <c r="G1527" s="67"/>
      <c r="H1527" s="80"/>
      <c r="I1527" s="69"/>
      <c r="J1527" s="72"/>
      <c r="K1527" s="73"/>
      <c r="L1527" s="72"/>
      <c r="M1527" s="73"/>
      <c r="N1527" s="72"/>
      <c r="O1527" s="73"/>
      <c r="P1527" s="72"/>
      <c r="Q1527" s="73"/>
      <c r="R1527" s="72"/>
      <c r="S1527" s="73"/>
      <c r="T1527" s="72"/>
      <c r="U1527" s="73"/>
      <c r="V1527" s="72"/>
      <c r="W1527" s="73"/>
      <c r="X1527" s="72"/>
      <c r="Y1527" s="73"/>
      <c r="Z1527" s="74" t="b">
        <v>0</v>
      </c>
      <c r="AA1527" s="130">
        <f t="shared" si="607"/>
        <v>0</v>
      </c>
      <c r="AB1527" s="131">
        <f t="shared" si="608"/>
        <v>0</v>
      </c>
      <c r="AC1527" s="132">
        <f t="shared" si="609"/>
        <v>0</v>
      </c>
      <c r="AD1527" s="133">
        <f t="shared" si="610"/>
        <v>0</v>
      </c>
      <c r="AE1527" s="131">
        <f t="shared" si="611"/>
        <v>0</v>
      </c>
      <c r="AF1527" s="133">
        <f t="shared" si="612"/>
        <v>0</v>
      </c>
      <c r="AG1527" s="1"/>
    </row>
    <row r="1528" ht="21.0" customHeight="1">
      <c r="A1528" s="1"/>
      <c r="B1528" s="87" t="str">
        <f t="array" ref="B1528">"📌최근 인바디 결과 : "&amp;text(xlookup(B1520,'현황'!O:O,'현황'!O:O,,-1,-1),"m/d(ddd)")</f>
        <v>#REF!</v>
      </c>
      <c r="C1528" s="88"/>
      <c r="D1528" s="49"/>
      <c r="E1528" s="41"/>
      <c r="F1528" s="52" t="s">
        <v>40</v>
      </c>
      <c r="G1528" s="79"/>
      <c r="H1528" s="80"/>
      <c r="I1528" s="69"/>
      <c r="J1528" s="72"/>
      <c r="K1528" s="73"/>
      <c r="L1528" s="72"/>
      <c r="M1528" s="73"/>
      <c r="N1528" s="72"/>
      <c r="O1528" s="73"/>
      <c r="P1528" s="72"/>
      <c r="Q1528" s="73"/>
      <c r="R1528" s="72"/>
      <c r="S1528" s="73"/>
      <c r="T1528" s="72"/>
      <c r="U1528" s="73"/>
      <c r="V1528" s="72"/>
      <c r="W1528" s="73"/>
      <c r="X1528" s="72"/>
      <c r="Y1528" s="73"/>
      <c r="Z1528" s="74" t="b">
        <v>0</v>
      </c>
      <c r="AA1528" s="130">
        <f t="shared" si="607"/>
        <v>0</v>
      </c>
      <c r="AB1528" s="131">
        <f t="shared" si="608"/>
        <v>0</v>
      </c>
      <c r="AC1528" s="132">
        <f t="shared" si="609"/>
        <v>0</v>
      </c>
      <c r="AD1528" s="133">
        <f t="shared" si="610"/>
        <v>0</v>
      </c>
      <c r="AE1528" s="131">
        <f t="shared" si="611"/>
        <v>0</v>
      </c>
      <c r="AF1528" s="133">
        <f t="shared" si="612"/>
        <v>0</v>
      </c>
      <c r="AG1528" s="1"/>
    </row>
    <row r="1529" ht="21.0" customHeight="1">
      <c r="A1529" s="1"/>
      <c r="B1529" s="89" t="s">
        <v>44</v>
      </c>
      <c r="C1529" s="49"/>
      <c r="D1529" s="90">
        <f t="array" ref="D1529">iferror(vlookup(xlookup(B1520,'현황'!O:O,'현황'!O:O,,-1,-1),'현황'!O:S,2,false),0)</f>
        <v>0</v>
      </c>
      <c r="E1529" s="51" t="s">
        <v>45</v>
      </c>
      <c r="F1529" s="52" t="s">
        <v>34</v>
      </c>
      <c r="G1529" s="83"/>
      <c r="H1529" s="84"/>
      <c r="I1529" s="85"/>
      <c r="J1529" s="72"/>
      <c r="K1529" s="73"/>
      <c r="L1529" s="72"/>
      <c r="M1529" s="73"/>
      <c r="N1529" s="72"/>
      <c r="O1529" s="73"/>
      <c r="P1529" s="72"/>
      <c r="Q1529" s="73"/>
      <c r="R1529" s="72"/>
      <c r="S1529" s="73"/>
      <c r="T1529" s="72"/>
      <c r="U1529" s="73"/>
      <c r="V1529" s="72"/>
      <c r="W1529" s="73"/>
      <c r="X1529" s="72"/>
      <c r="Y1529" s="73"/>
      <c r="Z1529" s="74" t="b">
        <v>0</v>
      </c>
      <c r="AA1529" s="130">
        <f t="shared" si="607"/>
        <v>0</v>
      </c>
      <c r="AB1529" s="131">
        <f t="shared" si="608"/>
        <v>0</v>
      </c>
      <c r="AC1529" s="132">
        <f t="shared" si="609"/>
        <v>0</v>
      </c>
      <c r="AD1529" s="133">
        <f t="shared" si="610"/>
        <v>0</v>
      </c>
      <c r="AE1529" s="131">
        <f t="shared" si="611"/>
        <v>0</v>
      </c>
      <c r="AF1529" s="133">
        <f t="shared" si="612"/>
        <v>0</v>
      </c>
      <c r="AG1529" s="1"/>
    </row>
    <row r="1530" ht="21.0" customHeight="1">
      <c r="A1530" s="1"/>
      <c r="B1530" s="48" t="s">
        <v>46</v>
      </c>
      <c r="C1530" s="49"/>
      <c r="D1530" s="91">
        <f t="array" ref="D1530">iferror(vlookup(xlookup(B1520,'현황'!O:O,'현황'!O:O,,-1,-1),'현황'!O:S,3,false),0)</f>
        <v>0</v>
      </c>
      <c r="E1530" s="66"/>
      <c r="F1530" s="52" t="s">
        <v>37</v>
      </c>
      <c r="G1530" s="67"/>
      <c r="H1530" s="80"/>
      <c r="I1530" s="69"/>
      <c r="J1530" s="72"/>
      <c r="K1530" s="73"/>
      <c r="L1530" s="72"/>
      <c r="M1530" s="73"/>
      <c r="N1530" s="72"/>
      <c r="O1530" s="73"/>
      <c r="P1530" s="72"/>
      <c r="Q1530" s="73"/>
      <c r="R1530" s="72"/>
      <c r="S1530" s="73"/>
      <c r="T1530" s="72"/>
      <c r="U1530" s="73"/>
      <c r="V1530" s="72"/>
      <c r="W1530" s="73"/>
      <c r="X1530" s="72"/>
      <c r="Y1530" s="73"/>
      <c r="Z1530" s="74" t="b">
        <v>0</v>
      </c>
      <c r="AA1530" s="130">
        <f t="shared" si="607"/>
        <v>0</v>
      </c>
      <c r="AB1530" s="131">
        <f t="shared" si="608"/>
        <v>0</v>
      </c>
      <c r="AC1530" s="132">
        <f t="shared" si="609"/>
        <v>0</v>
      </c>
      <c r="AD1530" s="133">
        <f t="shared" si="610"/>
        <v>0</v>
      </c>
      <c r="AE1530" s="131">
        <f t="shared" si="611"/>
        <v>0</v>
      </c>
      <c r="AF1530" s="133">
        <f t="shared" si="612"/>
        <v>0</v>
      </c>
      <c r="AG1530" s="1"/>
    </row>
    <row r="1531" ht="21.0" customHeight="1">
      <c r="A1531" s="1"/>
      <c r="B1531" s="48" t="s">
        <v>47</v>
      </c>
      <c r="C1531" s="49"/>
      <c r="D1531" s="91">
        <f t="array" ref="D1531">iferror(vlookup(xlookup(B1520,'현황'!O:O,'현황'!O:O,,-1,-1),'현황'!O:S,4,false),0)</f>
        <v>0</v>
      </c>
      <c r="E1531" s="41"/>
      <c r="F1531" s="92" t="s">
        <v>40</v>
      </c>
      <c r="G1531" s="79"/>
      <c r="H1531" s="93"/>
      <c r="I1531" s="94"/>
      <c r="J1531" s="95"/>
      <c r="K1531" s="96"/>
      <c r="L1531" s="95"/>
      <c r="M1531" s="96"/>
      <c r="N1531" s="95"/>
      <c r="O1531" s="96"/>
      <c r="P1531" s="95"/>
      <c r="Q1531" s="96"/>
      <c r="R1531" s="95"/>
      <c r="S1531" s="96"/>
      <c r="T1531" s="95"/>
      <c r="U1531" s="96"/>
      <c r="V1531" s="95"/>
      <c r="W1531" s="96"/>
      <c r="X1531" s="95"/>
      <c r="Y1531" s="96"/>
      <c r="Z1531" s="97" t="b">
        <v>0</v>
      </c>
      <c r="AA1531" s="135">
        <f t="shared" si="607"/>
        <v>0</v>
      </c>
      <c r="AB1531" s="136">
        <f t="shared" si="608"/>
        <v>0</v>
      </c>
      <c r="AC1531" s="137">
        <f t="shared" si="609"/>
        <v>0</v>
      </c>
      <c r="AD1531" s="138">
        <f t="shared" si="610"/>
        <v>0</v>
      </c>
      <c r="AE1531" s="136">
        <f t="shared" si="611"/>
        <v>0</v>
      </c>
      <c r="AF1531" s="138">
        <f t="shared" si="612"/>
        <v>0</v>
      </c>
      <c r="AG1531" s="1"/>
    </row>
    <row r="1532" ht="21.0" customHeight="1">
      <c r="A1532" s="1"/>
      <c r="B1532" s="102" t="s">
        <v>48</v>
      </c>
      <c r="C1532" s="103"/>
      <c r="D1532" s="104">
        <f>iferror(D1531/D1529,0)</f>
        <v>0</v>
      </c>
      <c r="E1532" s="102" t="s">
        <v>49</v>
      </c>
      <c r="F1532" s="103"/>
      <c r="G1532" s="105"/>
      <c r="H1532" s="106" t="s">
        <v>50</v>
      </c>
      <c r="I1532" s="107"/>
      <c r="J1532" s="11"/>
      <c r="K1532" s="11"/>
      <c r="L1532" s="11"/>
      <c r="M1532" s="11"/>
      <c r="N1532" s="11"/>
      <c r="O1532" s="11"/>
      <c r="P1532" s="108" t="s">
        <v>51</v>
      </c>
      <c r="Q1532" s="12"/>
      <c r="R1532" s="109"/>
      <c r="S1532" s="11"/>
      <c r="T1532" s="11"/>
      <c r="U1532" s="11"/>
      <c r="V1532" s="11"/>
      <c r="W1532" s="11"/>
      <c r="X1532" s="11"/>
      <c r="Y1532" s="11"/>
      <c r="Z1532" s="12"/>
      <c r="AA1532" s="139">
        <f>SUM(AA1523:AA1531)</f>
        <v>0</v>
      </c>
      <c r="AB1532" s="140" t="s">
        <v>301</v>
      </c>
      <c r="AG1532" s="1"/>
    </row>
    <row r="1533" ht="21.0" customHeight="1">
      <c r="A1533" s="1"/>
      <c r="B1533" s="1"/>
      <c r="C1533" s="1"/>
      <c r="D1533" s="1"/>
      <c r="E1533" s="1"/>
      <c r="F1533" s="1"/>
      <c r="G1533" s="1"/>
      <c r="H1533" s="1"/>
      <c r="I1533" s="1"/>
      <c r="AA1533" s="1"/>
      <c r="AB1533" s="1"/>
      <c r="AC1533" s="3"/>
      <c r="AD1533" s="1"/>
      <c r="AE1533" s="1"/>
      <c r="AF1533" s="1"/>
      <c r="AG1533" s="1"/>
    </row>
    <row r="1534" ht="21.0" customHeight="1">
      <c r="A1534" s="1"/>
      <c r="B1534" s="4" t="s">
        <v>1</v>
      </c>
      <c r="C1534" s="5"/>
      <c r="D1534" s="6" t="s">
        <v>2</v>
      </c>
      <c r="E1534" s="7"/>
      <c r="F1534" s="7"/>
      <c r="G1534" s="5"/>
      <c r="H1534" s="8" t="s">
        <v>3</v>
      </c>
      <c r="I1534" s="8" t="s">
        <v>4</v>
      </c>
      <c r="J1534" s="9" t="s">
        <v>5</v>
      </c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5"/>
      <c r="AA1534" s="117" t="s">
        <v>6</v>
      </c>
      <c r="AB1534" s="11"/>
      <c r="AC1534" s="11"/>
      <c r="AD1534" s="11"/>
      <c r="AE1534" s="11"/>
      <c r="AF1534" s="12"/>
      <c r="AG1534" s="1"/>
    </row>
    <row r="1535" ht="21.0" customHeight="1">
      <c r="A1535" s="1"/>
      <c r="B1535" s="149" t="s">
        <v>138</v>
      </c>
      <c r="C1535" s="14" t="str">
        <f>if(B1535="0/0","",choose(weekday(B1535),"(일)","(월)","(화)","(수)","(목)","(금)","(토)"))</f>
        <v/>
      </c>
      <c r="D1535" s="15" t="s">
        <v>7</v>
      </c>
      <c r="E1535" s="16" t="s">
        <v>8</v>
      </c>
      <c r="F1535" s="17"/>
      <c r="G1535" s="18" t="s">
        <v>9</v>
      </c>
      <c r="H1535" s="150" t="s">
        <v>139</v>
      </c>
      <c r="I1535" s="151"/>
      <c r="J1535" s="21" t="s">
        <v>12</v>
      </c>
      <c r="K1535" s="22"/>
      <c r="L1535" s="21" t="s">
        <v>13</v>
      </c>
      <c r="M1535" s="22"/>
      <c r="N1535" s="21" t="s">
        <v>14</v>
      </c>
      <c r="O1535" s="22"/>
      <c r="P1535" s="21" t="s">
        <v>15</v>
      </c>
      <c r="Q1535" s="22"/>
      <c r="R1535" s="23" t="s">
        <v>16</v>
      </c>
      <c r="S1535" s="22"/>
      <c r="T1535" s="23" t="s">
        <v>17</v>
      </c>
      <c r="U1535" s="22"/>
      <c r="V1535" s="23" t="s">
        <v>18</v>
      </c>
      <c r="W1535" s="22"/>
      <c r="X1535" s="23" t="s">
        <v>19</v>
      </c>
      <c r="Y1535" s="22"/>
      <c r="Z1535" s="24" t="s">
        <v>302</v>
      </c>
      <c r="AA1535" s="118" t="s">
        <v>21</v>
      </c>
      <c r="AB1535" s="119" t="s">
        <v>22</v>
      </c>
      <c r="AC1535" s="7"/>
      <c r="AD1535" s="22"/>
      <c r="AE1535" s="120" t="s">
        <v>23</v>
      </c>
      <c r="AF1535" s="22"/>
      <c r="AG1535" s="1"/>
    </row>
    <row r="1536" ht="21.0" customHeight="1">
      <c r="A1536" s="1"/>
      <c r="B1536" s="27">
        <f>iferror(B1535-'현황'!$C$4+1,0)</f>
        <v>0</v>
      </c>
      <c r="C1536" s="28"/>
      <c r="D1536" s="29">
        <v>0.0</v>
      </c>
      <c r="E1536" s="30">
        <v>0.0</v>
      </c>
      <c r="F1536" s="31"/>
      <c r="G1536" s="32">
        <v>0.0</v>
      </c>
      <c r="H1536" s="33">
        <v>0.0</v>
      </c>
      <c r="I1536" s="34"/>
      <c r="J1536" s="35"/>
      <c r="K1536" s="36"/>
      <c r="L1536" s="35"/>
      <c r="M1536" s="36"/>
      <c r="N1536" s="35"/>
      <c r="O1536" s="36"/>
      <c r="P1536" s="35"/>
      <c r="Q1536" s="36"/>
      <c r="R1536" s="35"/>
      <c r="S1536" s="36"/>
      <c r="T1536" s="35"/>
      <c r="U1536" s="36"/>
      <c r="V1536" s="35"/>
      <c r="W1536" s="36"/>
      <c r="X1536" s="35"/>
      <c r="Y1536" s="36"/>
      <c r="Z1536" s="37"/>
      <c r="AA1536" s="37"/>
      <c r="AB1536" s="35"/>
      <c r="AC1536" s="38"/>
      <c r="AD1536" s="36"/>
      <c r="AE1536" s="35"/>
      <c r="AF1536" s="36"/>
      <c r="AG1536" s="1"/>
    </row>
    <row r="1537" ht="21.0" customHeight="1">
      <c r="A1537" s="1"/>
      <c r="B1537" s="39" t="s">
        <v>24</v>
      </c>
      <c r="C1537" s="40"/>
      <c r="D1537" s="41"/>
      <c r="E1537" s="42" t="s">
        <v>25</v>
      </c>
      <c r="F1537" s="40"/>
      <c r="G1537" s="41"/>
      <c r="H1537" s="43" t="s">
        <v>26</v>
      </c>
      <c r="J1537" s="44" t="s">
        <v>27</v>
      </c>
      <c r="K1537" s="45" t="s">
        <v>28</v>
      </c>
      <c r="L1537" s="44" t="s">
        <v>27</v>
      </c>
      <c r="M1537" s="45" t="s">
        <v>28</v>
      </c>
      <c r="N1537" s="44" t="s">
        <v>27</v>
      </c>
      <c r="O1537" s="45" t="s">
        <v>28</v>
      </c>
      <c r="P1537" s="44" t="s">
        <v>27</v>
      </c>
      <c r="Q1537" s="45" t="s">
        <v>28</v>
      </c>
      <c r="R1537" s="44" t="s">
        <v>27</v>
      </c>
      <c r="S1537" s="45" t="s">
        <v>28</v>
      </c>
      <c r="T1537" s="44" t="s">
        <v>27</v>
      </c>
      <c r="U1537" s="45" t="s">
        <v>28</v>
      </c>
      <c r="V1537" s="44" t="s">
        <v>27</v>
      </c>
      <c r="W1537" s="45" t="s">
        <v>28</v>
      </c>
      <c r="X1537" s="44" t="s">
        <v>27</v>
      </c>
      <c r="Y1537" s="45" t="s">
        <v>28</v>
      </c>
      <c r="Z1537" s="46"/>
      <c r="AA1537" s="46"/>
      <c r="AB1537" s="121" t="s">
        <v>29</v>
      </c>
      <c r="AC1537" s="122" t="s">
        <v>30</v>
      </c>
      <c r="AD1537" s="123" t="s">
        <v>31</v>
      </c>
      <c r="AE1537" s="121" t="s">
        <v>27</v>
      </c>
      <c r="AF1537" s="123" t="s">
        <v>28</v>
      </c>
      <c r="AG1537" s="1"/>
    </row>
    <row r="1538" ht="21.0" customHeight="1">
      <c r="A1538" s="1"/>
      <c r="B1538" s="48" t="s">
        <v>32</v>
      </c>
      <c r="C1538" s="49"/>
      <c r="D1538" s="50"/>
      <c r="E1538" s="51" t="s">
        <v>33</v>
      </c>
      <c r="F1538" s="52" t="s">
        <v>34</v>
      </c>
      <c r="G1538" s="53"/>
      <c r="H1538" s="148"/>
      <c r="I1538" s="55"/>
      <c r="J1538" s="58"/>
      <c r="K1538" s="59"/>
      <c r="L1538" s="58"/>
      <c r="M1538" s="59"/>
      <c r="N1538" s="58"/>
      <c r="O1538" s="59"/>
      <c r="P1538" s="58"/>
      <c r="Q1538" s="59"/>
      <c r="R1538" s="58"/>
      <c r="S1538" s="59"/>
      <c r="T1538" s="58"/>
      <c r="U1538" s="59"/>
      <c r="V1538" s="58"/>
      <c r="W1538" s="59"/>
      <c r="X1538" s="58"/>
      <c r="Y1538" s="59"/>
      <c r="Z1538" s="60" t="b">
        <v>0</v>
      </c>
      <c r="AA1538" s="125">
        <f t="shared" ref="AA1538:AA1546" si="613">(J1538*K1538+L1538*M1538+N1538*O1538+P1538*Q1538+R1538*S1538+T1538*U1538+V1538*W1538+X1538*Y1538)*if(Z1538=true,0.453592,1)</f>
        <v>0</v>
      </c>
      <c r="AB1538" s="126">
        <f t="shared" ref="AB1538:AB1546" si="614">SUM(AE1538*AF1538*0.025,AE1538)</f>
        <v>0</v>
      </c>
      <c r="AC1538" s="127">
        <f t="shared" ref="AC1538:AC1546" si="615">AB1538*87%</f>
        <v>0</v>
      </c>
      <c r="AD1538" s="128">
        <f t="shared" ref="AD1538:AD1546" si="616">AB1538*67%</f>
        <v>0</v>
      </c>
      <c r="AE1538" s="126">
        <f t="shared" ref="AE1538:AE1546" si="617">MAX(J1538,L1538,N1538,P1538,R1538,T1538,V1538,X1538)*if(Z1538=true,0.453592,1)</f>
        <v>0</v>
      </c>
      <c r="AF1538" s="128">
        <f t="shared" ref="AF1538:AF1546" si="618">MAX(IF(J1538*if(Z1538=true,0.453592,1)=$AE1538,K1538,0),IF(L1538*if(Z1538=true,0.453592,1)=$AE1538,M1538,0),IF(N1538*if(Z1538=true,0.453592,1)=$AE1538,O1538,0),IF(P1538*if(Z1538=true,0.453592,1)=$AE1538,Q1538,0),IF(R1538*if(Z1538=true,0.453592,1)=$AE1538,S1538,0),IF(T1538*if(Z1538=true,0.453592,1)=$AE1538,U1538,0),IF(V1538*if(Z1538=true,0.453592,1)=$AE1538,W1538,0),IF(X1538*if(Z1538=true,0.453592,1)=$AE1538,Y1538,0))</f>
        <v>0</v>
      </c>
      <c r="AG1538" s="1"/>
    </row>
    <row r="1539" ht="21.0" customHeight="1">
      <c r="A1539" s="1"/>
      <c r="B1539" s="48" t="s">
        <v>36</v>
      </c>
      <c r="C1539" s="49"/>
      <c r="D1539" s="65"/>
      <c r="E1539" s="66"/>
      <c r="F1539" s="52" t="s">
        <v>37</v>
      </c>
      <c r="G1539" s="67"/>
      <c r="H1539" s="129"/>
      <c r="I1539" s="69"/>
      <c r="J1539" s="72"/>
      <c r="K1539" s="73"/>
      <c r="L1539" s="72"/>
      <c r="M1539" s="73"/>
      <c r="N1539" s="72"/>
      <c r="O1539" s="73"/>
      <c r="P1539" s="72"/>
      <c r="Q1539" s="73"/>
      <c r="R1539" s="72"/>
      <c r="S1539" s="73"/>
      <c r="T1539" s="72"/>
      <c r="U1539" s="73"/>
      <c r="V1539" s="72"/>
      <c r="W1539" s="73"/>
      <c r="X1539" s="72"/>
      <c r="Y1539" s="73"/>
      <c r="Z1539" s="74" t="b">
        <v>0</v>
      </c>
      <c r="AA1539" s="130">
        <f t="shared" si="613"/>
        <v>0</v>
      </c>
      <c r="AB1539" s="131">
        <f t="shared" si="614"/>
        <v>0</v>
      </c>
      <c r="AC1539" s="132">
        <f t="shared" si="615"/>
        <v>0</v>
      </c>
      <c r="AD1539" s="133">
        <f t="shared" si="616"/>
        <v>0</v>
      </c>
      <c r="AE1539" s="131">
        <f t="shared" si="617"/>
        <v>0</v>
      </c>
      <c r="AF1539" s="133">
        <f t="shared" si="618"/>
        <v>0</v>
      </c>
      <c r="AG1539" s="1"/>
    </row>
    <row r="1540" ht="21.0" customHeight="1">
      <c r="A1540" s="1"/>
      <c r="B1540" s="48" t="s">
        <v>39</v>
      </c>
      <c r="C1540" s="49"/>
      <c r="D1540" s="65"/>
      <c r="E1540" s="41"/>
      <c r="F1540" s="52" t="s">
        <v>40</v>
      </c>
      <c r="G1540" s="79"/>
      <c r="H1540" s="80"/>
      <c r="I1540" s="69"/>
      <c r="J1540" s="72"/>
      <c r="K1540" s="73"/>
      <c r="L1540" s="72"/>
      <c r="M1540" s="73"/>
      <c r="N1540" s="72"/>
      <c r="O1540" s="73"/>
      <c r="P1540" s="72"/>
      <c r="Q1540" s="73"/>
      <c r="R1540" s="72"/>
      <c r="S1540" s="73"/>
      <c r="T1540" s="72"/>
      <c r="U1540" s="73"/>
      <c r="V1540" s="72"/>
      <c r="W1540" s="73"/>
      <c r="X1540" s="72"/>
      <c r="Y1540" s="73"/>
      <c r="Z1540" s="74" t="b">
        <v>0</v>
      </c>
      <c r="AA1540" s="130">
        <f t="shared" si="613"/>
        <v>0</v>
      </c>
      <c r="AB1540" s="131">
        <f t="shared" si="614"/>
        <v>0</v>
      </c>
      <c r="AC1540" s="132">
        <f t="shared" si="615"/>
        <v>0</v>
      </c>
      <c r="AD1540" s="133">
        <f t="shared" si="616"/>
        <v>0</v>
      </c>
      <c r="AE1540" s="131">
        <f t="shared" si="617"/>
        <v>0</v>
      </c>
      <c r="AF1540" s="133">
        <f t="shared" si="618"/>
        <v>0</v>
      </c>
      <c r="AG1540" s="1"/>
    </row>
    <row r="1541" ht="21.0" customHeight="1">
      <c r="A1541" s="1"/>
      <c r="B1541" s="48" t="s">
        <v>41</v>
      </c>
      <c r="C1541" s="81"/>
      <c r="D1541" s="82" t="b">
        <v>0</v>
      </c>
      <c r="E1541" s="51" t="s">
        <v>42</v>
      </c>
      <c r="F1541" s="52" t="s">
        <v>34</v>
      </c>
      <c r="G1541" s="83"/>
      <c r="H1541" s="84"/>
      <c r="I1541" s="85"/>
      <c r="J1541" s="72"/>
      <c r="K1541" s="73"/>
      <c r="L1541" s="72"/>
      <c r="M1541" s="73"/>
      <c r="N1541" s="72"/>
      <c r="O1541" s="73"/>
      <c r="P1541" s="72"/>
      <c r="Q1541" s="73"/>
      <c r="R1541" s="72"/>
      <c r="S1541" s="73"/>
      <c r="T1541" s="72"/>
      <c r="U1541" s="73"/>
      <c r="V1541" s="72"/>
      <c r="W1541" s="73"/>
      <c r="X1541" s="72"/>
      <c r="Y1541" s="73"/>
      <c r="Z1541" s="74" t="b">
        <v>0</v>
      </c>
      <c r="AA1541" s="130">
        <f t="shared" si="613"/>
        <v>0</v>
      </c>
      <c r="AB1541" s="131">
        <f t="shared" si="614"/>
        <v>0</v>
      </c>
      <c r="AC1541" s="132">
        <f t="shared" si="615"/>
        <v>0</v>
      </c>
      <c r="AD1541" s="133">
        <f t="shared" si="616"/>
        <v>0</v>
      </c>
      <c r="AE1541" s="131">
        <f t="shared" si="617"/>
        <v>0</v>
      </c>
      <c r="AF1541" s="133">
        <f t="shared" si="618"/>
        <v>0</v>
      </c>
      <c r="AG1541" s="1"/>
    </row>
    <row r="1542" ht="21.0" customHeight="1">
      <c r="A1542" s="1"/>
      <c r="B1542" s="48" t="s">
        <v>43</v>
      </c>
      <c r="C1542" s="49"/>
      <c r="D1542" s="86" t="b">
        <v>0</v>
      </c>
      <c r="E1542" s="66"/>
      <c r="F1542" s="52" t="s">
        <v>37</v>
      </c>
      <c r="G1542" s="67"/>
      <c r="H1542" s="80"/>
      <c r="I1542" s="69"/>
      <c r="J1542" s="72"/>
      <c r="K1542" s="73"/>
      <c r="L1542" s="72"/>
      <c r="M1542" s="73"/>
      <c r="N1542" s="72"/>
      <c r="O1542" s="73"/>
      <c r="P1542" s="72"/>
      <c r="Q1542" s="73"/>
      <c r="R1542" s="72"/>
      <c r="S1542" s="73"/>
      <c r="T1542" s="72"/>
      <c r="U1542" s="73"/>
      <c r="V1542" s="72"/>
      <c r="W1542" s="73"/>
      <c r="X1542" s="72"/>
      <c r="Y1542" s="73"/>
      <c r="Z1542" s="74" t="b">
        <v>0</v>
      </c>
      <c r="AA1542" s="130">
        <f t="shared" si="613"/>
        <v>0</v>
      </c>
      <c r="AB1542" s="131">
        <f t="shared" si="614"/>
        <v>0</v>
      </c>
      <c r="AC1542" s="132">
        <f t="shared" si="615"/>
        <v>0</v>
      </c>
      <c r="AD1542" s="133">
        <f t="shared" si="616"/>
        <v>0</v>
      </c>
      <c r="AE1542" s="131">
        <f t="shared" si="617"/>
        <v>0</v>
      </c>
      <c r="AF1542" s="133">
        <f t="shared" si="618"/>
        <v>0</v>
      </c>
      <c r="AG1542" s="1"/>
    </row>
    <row r="1543" ht="21.0" customHeight="1">
      <c r="A1543" s="1"/>
      <c r="B1543" s="87" t="str">
        <f t="array" ref="B1543">"📌최근 인바디 결과 : "&amp;text(xlookup(B1535,'현황'!O:O,'현황'!O:O,,-1,-1),"m/d(ddd)")</f>
        <v>#REF!</v>
      </c>
      <c r="C1543" s="88"/>
      <c r="D1543" s="49"/>
      <c r="E1543" s="41"/>
      <c r="F1543" s="52" t="s">
        <v>40</v>
      </c>
      <c r="G1543" s="79"/>
      <c r="H1543" s="80"/>
      <c r="I1543" s="69"/>
      <c r="J1543" s="72"/>
      <c r="K1543" s="73"/>
      <c r="L1543" s="72"/>
      <c r="M1543" s="73"/>
      <c r="N1543" s="72"/>
      <c r="O1543" s="73"/>
      <c r="P1543" s="72"/>
      <c r="Q1543" s="73"/>
      <c r="R1543" s="72"/>
      <c r="S1543" s="73"/>
      <c r="T1543" s="72"/>
      <c r="U1543" s="73"/>
      <c r="V1543" s="72"/>
      <c r="W1543" s="73"/>
      <c r="X1543" s="72"/>
      <c r="Y1543" s="73"/>
      <c r="Z1543" s="74" t="b">
        <v>0</v>
      </c>
      <c r="AA1543" s="130">
        <f t="shared" si="613"/>
        <v>0</v>
      </c>
      <c r="AB1543" s="131">
        <f t="shared" si="614"/>
        <v>0</v>
      </c>
      <c r="AC1543" s="132">
        <f t="shared" si="615"/>
        <v>0</v>
      </c>
      <c r="AD1543" s="133">
        <f t="shared" si="616"/>
        <v>0</v>
      </c>
      <c r="AE1543" s="131">
        <f t="shared" si="617"/>
        <v>0</v>
      </c>
      <c r="AF1543" s="133">
        <f t="shared" si="618"/>
        <v>0</v>
      </c>
      <c r="AG1543" s="1"/>
    </row>
    <row r="1544" ht="21.0" customHeight="1">
      <c r="A1544" s="1"/>
      <c r="B1544" s="89" t="s">
        <v>44</v>
      </c>
      <c r="C1544" s="49"/>
      <c r="D1544" s="90">
        <f t="array" ref="D1544">iferror(vlookup(xlookup(B1535,'현황'!O:O,'현황'!O:O,,-1,-1),'현황'!O:S,2,false),0)</f>
        <v>0</v>
      </c>
      <c r="E1544" s="51" t="s">
        <v>45</v>
      </c>
      <c r="F1544" s="52" t="s">
        <v>34</v>
      </c>
      <c r="G1544" s="83"/>
      <c r="H1544" s="84"/>
      <c r="I1544" s="85"/>
      <c r="J1544" s="72"/>
      <c r="K1544" s="73"/>
      <c r="L1544" s="72"/>
      <c r="M1544" s="73"/>
      <c r="N1544" s="72"/>
      <c r="O1544" s="73"/>
      <c r="P1544" s="72"/>
      <c r="Q1544" s="73"/>
      <c r="R1544" s="72"/>
      <c r="S1544" s="73"/>
      <c r="T1544" s="72"/>
      <c r="U1544" s="73"/>
      <c r="V1544" s="72"/>
      <c r="W1544" s="73"/>
      <c r="X1544" s="72"/>
      <c r="Y1544" s="73"/>
      <c r="Z1544" s="74" t="b">
        <v>0</v>
      </c>
      <c r="AA1544" s="130">
        <f t="shared" si="613"/>
        <v>0</v>
      </c>
      <c r="AB1544" s="131">
        <f t="shared" si="614"/>
        <v>0</v>
      </c>
      <c r="AC1544" s="132">
        <f t="shared" si="615"/>
        <v>0</v>
      </c>
      <c r="AD1544" s="133">
        <f t="shared" si="616"/>
        <v>0</v>
      </c>
      <c r="AE1544" s="131">
        <f t="shared" si="617"/>
        <v>0</v>
      </c>
      <c r="AF1544" s="133">
        <f t="shared" si="618"/>
        <v>0</v>
      </c>
      <c r="AG1544" s="1"/>
    </row>
    <row r="1545" ht="21.0" customHeight="1">
      <c r="A1545" s="1"/>
      <c r="B1545" s="48" t="s">
        <v>46</v>
      </c>
      <c r="C1545" s="49"/>
      <c r="D1545" s="91">
        <f t="array" ref="D1545">iferror(vlookup(xlookup(B1535,'현황'!O:O,'현황'!O:O,,-1,-1),'현황'!O:S,3,false),0)</f>
        <v>0</v>
      </c>
      <c r="E1545" s="66"/>
      <c r="F1545" s="52" t="s">
        <v>37</v>
      </c>
      <c r="G1545" s="67"/>
      <c r="H1545" s="80"/>
      <c r="I1545" s="69"/>
      <c r="J1545" s="72"/>
      <c r="K1545" s="73"/>
      <c r="L1545" s="72"/>
      <c r="M1545" s="73"/>
      <c r="N1545" s="72"/>
      <c r="O1545" s="73"/>
      <c r="P1545" s="72"/>
      <c r="Q1545" s="73"/>
      <c r="R1545" s="72"/>
      <c r="S1545" s="73"/>
      <c r="T1545" s="72"/>
      <c r="U1545" s="73"/>
      <c r="V1545" s="72"/>
      <c r="W1545" s="73"/>
      <c r="X1545" s="72"/>
      <c r="Y1545" s="73"/>
      <c r="Z1545" s="74" t="b">
        <v>0</v>
      </c>
      <c r="AA1545" s="130">
        <f t="shared" si="613"/>
        <v>0</v>
      </c>
      <c r="AB1545" s="131">
        <f t="shared" si="614"/>
        <v>0</v>
      </c>
      <c r="AC1545" s="132">
        <f t="shared" si="615"/>
        <v>0</v>
      </c>
      <c r="AD1545" s="133">
        <f t="shared" si="616"/>
        <v>0</v>
      </c>
      <c r="AE1545" s="131">
        <f t="shared" si="617"/>
        <v>0</v>
      </c>
      <c r="AF1545" s="133">
        <f t="shared" si="618"/>
        <v>0</v>
      </c>
      <c r="AG1545" s="1"/>
    </row>
    <row r="1546" ht="21.0" customHeight="1">
      <c r="A1546" s="1"/>
      <c r="B1546" s="48" t="s">
        <v>47</v>
      </c>
      <c r="C1546" s="49"/>
      <c r="D1546" s="91">
        <f t="array" ref="D1546">iferror(vlookup(xlookup(B1535,'현황'!O:O,'현황'!O:O,,-1,-1),'현황'!O:S,4,false),0)</f>
        <v>0</v>
      </c>
      <c r="E1546" s="41"/>
      <c r="F1546" s="92" t="s">
        <v>40</v>
      </c>
      <c r="G1546" s="79"/>
      <c r="H1546" s="93"/>
      <c r="I1546" s="94"/>
      <c r="J1546" s="95"/>
      <c r="K1546" s="96"/>
      <c r="L1546" s="95"/>
      <c r="M1546" s="96"/>
      <c r="N1546" s="95"/>
      <c r="O1546" s="96"/>
      <c r="P1546" s="95"/>
      <c r="Q1546" s="96"/>
      <c r="R1546" s="95"/>
      <c r="S1546" s="96"/>
      <c r="T1546" s="95"/>
      <c r="U1546" s="96"/>
      <c r="V1546" s="95"/>
      <c r="W1546" s="96"/>
      <c r="X1546" s="95"/>
      <c r="Y1546" s="96"/>
      <c r="Z1546" s="97" t="b">
        <v>0</v>
      </c>
      <c r="AA1546" s="135">
        <f t="shared" si="613"/>
        <v>0</v>
      </c>
      <c r="AB1546" s="136">
        <f t="shared" si="614"/>
        <v>0</v>
      </c>
      <c r="AC1546" s="137">
        <f t="shared" si="615"/>
        <v>0</v>
      </c>
      <c r="AD1546" s="138">
        <f t="shared" si="616"/>
        <v>0</v>
      </c>
      <c r="AE1546" s="136">
        <f t="shared" si="617"/>
        <v>0</v>
      </c>
      <c r="AF1546" s="138">
        <f t="shared" si="618"/>
        <v>0</v>
      </c>
      <c r="AG1546" s="1"/>
    </row>
    <row r="1547" ht="21.0" customHeight="1">
      <c r="A1547" s="1"/>
      <c r="B1547" s="102" t="s">
        <v>48</v>
      </c>
      <c r="C1547" s="103"/>
      <c r="D1547" s="104">
        <f>iferror(D1546/D1544,0)</f>
        <v>0</v>
      </c>
      <c r="E1547" s="102" t="s">
        <v>49</v>
      </c>
      <c r="F1547" s="103"/>
      <c r="G1547" s="105"/>
      <c r="H1547" s="106" t="s">
        <v>50</v>
      </c>
      <c r="I1547" s="107"/>
      <c r="J1547" s="11"/>
      <c r="K1547" s="11"/>
      <c r="L1547" s="11"/>
      <c r="M1547" s="11"/>
      <c r="N1547" s="11"/>
      <c r="O1547" s="11"/>
      <c r="P1547" s="108" t="s">
        <v>51</v>
      </c>
      <c r="Q1547" s="12"/>
      <c r="R1547" s="109"/>
      <c r="S1547" s="11"/>
      <c r="T1547" s="11"/>
      <c r="U1547" s="11"/>
      <c r="V1547" s="11"/>
      <c r="W1547" s="11"/>
      <c r="X1547" s="11"/>
      <c r="Y1547" s="11"/>
      <c r="Z1547" s="12"/>
      <c r="AA1547" s="139">
        <f>SUM(AA1538:AA1546)</f>
        <v>0</v>
      </c>
      <c r="AB1547" s="140" t="s">
        <v>303</v>
      </c>
      <c r="AG1547" s="1"/>
    </row>
    <row r="1548" ht="21.0" customHeight="1">
      <c r="A1548" s="1"/>
      <c r="B1548" s="1"/>
      <c r="C1548" s="1"/>
      <c r="D1548" s="1"/>
      <c r="E1548" s="1"/>
      <c r="F1548" s="1"/>
      <c r="G1548" s="1"/>
      <c r="H1548" s="1"/>
      <c r="I1548" s="1"/>
      <c r="AA1548" s="1"/>
      <c r="AB1548" s="1"/>
      <c r="AC1548" s="3"/>
      <c r="AD1548" s="1"/>
      <c r="AE1548" s="1"/>
      <c r="AF1548" s="1"/>
      <c r="AG1548" s="1"/>
    </row>
    <row r="1549" ht="21.0" customHeight="1">
      <c r="A1549" s="1"/>
      <c r="B1549" s="4" t="s">
        <v>1</v>
      </c>
      <c r="C1549" s="5"/>
      <c r="D1549" s="6" t="s">
        <v>2</v>
      </c>
      <c r="E1549" s="7"/>
      <c r="F1549" s="7"/>
      <c r="G1549" s="5"/>
      <c r="H1549" s="8" t="s">
        <v>3</v>
      </c>
      <c r="I1549" s="8" t="s">
        <v>4</v>
      </c>
      <c r="J1549" s="9" t="s">
        <v>5</v>
      </c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5"/>
      <c r="AA1549" s="117" t="s">
        <v>6</v>
      </c>
      <c r="AB1549" s="11"/>
      <c r="AC1549" s="11"/>
      <c r="AD1549" s="11"/>
      <c r="AE1549" s="11"/>
      <c r="AF1549" s="12"/>
      <c r="AG1549" s="1"/>
    </row>
    <row r="1550" ht="21.0" customHeight="1">
      <c r="A1550" s="1"/>
      <c r="B1550" s="149" t="s">
        <v>138</v>
      </c>
      <c r="C1550" s="14" t="str">
        <f>if(B1550="0/0","",choose(weekday(B1550),"(일)","(월)","(화)","(수)","(목)","(금)","(토)"))</f>
        <v/>
      </c>
      <c r="D1550" s="15" t="s">
        <v>7</v>
      </c>
      <c r="E1550" s="16" t="s">
        <v>8</v>
      </c>
      <c r="F1550" s="17"/>
      <c r="G1550" s="18" t="s">
        <v>9</v>
      </c>
      <c r="H1550" s="150" t="s">
        <v>139</v>
      </c>
      <c r="I1550" s="151"/>
      <c r="J1550" s="21" t="s">
        <v>12</v>
      </c>
      <c r="K1550" s="22"/>
      <c r="L1550" s="21" t="s">
        <v>13</v>
      </c>
      <c r="M1550" s="22"/>
      <c r="N1550" s="21" t="s">
        <v>14</v>
      </c>
      <c r="O1550" s="22"/>
      <c r="P1550" s="21" t="s">
        <v>15</v>
      </c>
      <c r="Q1550" s="22"/>
      <c r="R1550" s="23" t="s">
        <v>16</v>
      </c>
      <c r="S1550" s="22"/>
      <c r="T1550" s="23" t="s">
        <v>17</v>
      </c>
      <c r="U1550" s="22"/>
      <c r="V1550" s="23" t="s">
        <v>18</v>
      </c>
      <c r="W1550" s="22"/>
      <c r="X1550" s="23" t="s">
        <v>19</v>
      </c>
      <c r="Y1550" s="22"/>
      <c r="Z1550" s="24" t="s">
        <v>304</v>
      </c>
      <c r="AA1550" s="118" t="s">
        <v>21</v>
      </c>
      <c r="AB1550" s="119" t="s">
        <v>22</v>
      </c>
      <c r="AC1550" s="7"/>
      <c r="AD1550" s="22"/>
      <c r="AE1550" s="120" t="s">
        <v>23</v>
      </c>
      <c r="AF1550" s="22"/>
      <c r="AG1550" s="1"/>
    </row>
    <row r="1551" ht="21.0" customHeight="1">
      <c r="A1551" s="1"/>
      <c r="B1551" s="27">
        <f>iferror(B1550-'현황'!$C$4+1,0)</f>
        <v>0</v>
      </c>
      <c r="C1551" s="28"/>
      <c r="D1551" s="29">
        <v>0.0</v>
      </c>
      <c r="E1551" s="30">
        <v>0.0</v>
      </c>
      <c r="F1551" s="31"/>
      <c r="G1551" s="32">
        <v>0.0</v>
      </c>
      <c r="H1551" s="33">
        <v>0.0</v>
      </c>
      <c r="I1551" s="34"/>
      <c r="J1551" s="35"/>
      <c r="K1551" s="36"/>
      <c r="L1551" s="35"/>
      <c r="M1551" s="36"/>
      <c r="N1551" s="35"/>
      <c r="O1551" s="36"/>
      <c r="P1551" s="35"/>
      <c r="Q1551" s="36"/>
      <c r="R1551" s="35"/>
      <c r="S1551" s="36"/>
      <c r="T1551" s="35"/>
      <c r="U1551" s="36"/>
      <c r="V1551" s="35"/>
      <c r="W1551" s="36"/>
      <c r="X1551" s="35"/>
      <c r="Y1551" s="36"/>
      <c r="Z1551" s="37"/>
      <c r="AA1551" s="37"/>
      <c r="AB1551" s="35"/>
      <c r="AC1551" s="38"/>
      <c r="AD1551" s="36"/>
      <c r="AE1551" s="35"/>
      <c r="AF1551" s="36"/>
      <c r="AG1551" s="1"/>
    </row>
    <row r="1552" ht="21.0" customHeight="1">
      <c r="A1552" s="1"/>
      <c r="B1552" s="39" t="s">
        <v>24</v>
      </c>
      <c r="C1552" s="40"/>
      <c r="D1552" s="41"/>
      <c r="E1552" s="42" t="s">
        <v>25</v>
      </c>
      <c r="F1552" s="40"/>
      <c r="G1552" s="41"/>
      <c r="H1552" s="43" t="s">
        <v>26</v>
      </c>
      <c r="J1552" s="44" t="s">
        <v>27</v>
      </c>
      <c r="K1552" s="45" t="s">
        <v>28</v>
      </c>
      <c r="L1552" s="44" t="s">
        <v>27</v>
      </c>
      <c r="M1552" s="45" t="s">
        <v>28</v>
      </c>
      <c r="N1552" s="44" t="s">
        <v>27</v>
      </c>
      <c r="O1552" s="45" t="s">
        <v>28</v>
      </c>
      <c r="P1552" s="44" t="s">
        <v>27</v>
      </c>
      <c r="Q1552" s="45" t="s">
        <v>28</v>
      </c>
      <c r="R1552" s="44" t="s">
        <v>27</v>
      </c>
      <c r="S1552" s="45" t="s">
        <v>28</v>
      </c>
      <c r="T1552" s="44" t="s">
        <v>27</v>
      </c>
      <c r="U1552" s="45" t="s">
        <v>28</v>
      </c>
      <c r="V1552" s="44" t="s">
        <v>27</v>
      </c>
      <c r="W1552" s="45" t="s">
        <v>28</v>
      </c>
      <c r="X1552" s="44" t="s">
        <v>27</v>
      </c>
      <c r="Y1552" s="45" t="s">
        <v>28</v>
      </c>
      <c r="Z1552" s="46"/>
      <c r="AA1552" s="46"/>
      <c r="AB1552" s="121" t="s">
        <v>29</v>
      </c>
      <c r="AC1552" s="122" t="s">
        <v>30</v>
      </c>
      <c r="AD1552" s="123" t="s">
        <v>31</v>
      </c>
      <c r="AE1552" s="121" t="s">
        <v>27</v>
      </c>
      <c r="AF1552" s="123" t="s">
        <v>28</v>
      </c>
      <c r="AG1552" s="1"/>
    </row>
    <row r="1553" ht="21.0" customHeight="1">
      <c r="A1553" s="1"/>
      <c r="B1553" s="48" t="s">
        <v>32</v>
      </c>
      <c r="C1553" s="49"/>
      <c r="D1553" s="50"/>
      <c r="E1553" s="51" t="s">
        <v>33</v>
      </c>
      <c r="F1553" s="52" t="s">
        <v>34</v>
      </c>
      <c r="G1553" s="53"/>
      <c r="H1553" s="148"/>
      <c r="I1553" s="55"/>
      <c r="J1553" s="58"/>
      <c r="K1553" s="59"/>
      <c r="L1553" s="58"/>
      <c r="M1553" s="59"/>
      <c r="N1553" s="58"/>
      <c r="O1553" s="59"/>
      <c r="P1553" s="58"/>
      <c r="Q1553" s="59"/>
      <c r="R1553" s="58"/>
      <c r="S1553" s="59"/>
      <c r="T1553" s="58"/>
      <c r="U1553" s="59"/>
      <c r="V1553" s="58"/>
      <c r="W1553" s="59"/>
      <c r="X1553" s="58"/>
      <c r="Y1553" s="59"/>
      <c r="Z1553" s="60" t="b">
        <v>0</v>
      </c>
      <c r="AA1553" s="125">
        <f t="shared" ref="AA1553:AA1561" si="619">(J1553*K1553+L1553*M1553+N1553*O1553+P1553*Q1553+R1553*S1553+T1553*U1553+V1553*W1553+X1553*Y1553)*if(Z1553=true,0.453592,1)</f>
        <v>0</v>
      </c>
      <c r="AB1553" s="126">
        <f t="shared" ref="AB1553:AB1561" si="620">SUM(AE1553*AF1553*0.025,AE1553)</f>
        <v>0</v>
      </c>
      <c r="AC1553" s="127">
        <f t="shared" ref="AC1553:AC1561" si="621">AB1553*87%</f>
        <v>0</v>
      </c>
      <c r="AD1553" s="128">
        <f t="shared" ref="AD1553:AD1561" si="622">AB1553*67%</f>
        <v>0</v>
      </c>
      <c r="AE1553" s="126">
        <f t="shared" ref="AE1553:AE1561" si="623">MAX(J1553,L1553,N1553,P1553,R1553,T1553,V1553,X1553)*if(Z1553=true,0.453592,1)</f>
        <v>0</v>
      </c>
      <c r="AF1553" s="128">
        <f t="shared" ref="AF1553:AF1561" si="624">MAX(IF(J1553*if(Z1553=true,0.453592,1)=$AE1553,K1553,0),IF(L1553*if(Z1553=true,0.453592,1)=$AE1553,M1553,0),IF(N1553*if(Z1553=true,0.453592,1)=$AE1553,O1553,0),IF(P1553*if(Z1553=true,0.453592,1)=$AE1553,Q1553,0),IF(R1553*if(Z1553=true,0.453592,1)=$AE1553,S1553,0),IF(T1553*if(Z1553=true,0.453592,1)=$AE1553,U1553,0),IF(V1553*if(Z1553=true,0.453592,1)=$AE1553,W1553,0),IF(X1553*if(Z1553=true,0.453592,1)=$AE1553,Y1553,0))</f>
        <v>0</v>
      </c>
      <c r="AG1553" s="1"/>
    </row>
    <row r="1554" ht="21.0" customHeight="1">
      <c r="A1554" s="1"/>
      <c r="B1554" s="48" t="s">
        <v>36</v>
      </c>
      <c r="C1554" s="49"/>
      <c r="D1554" s="65"/>
      <c r="E1554" s="66"/>
      <c r="F1554" s="52" t="s">
        <v>37</v>
      </c>
      <c r="G1554" s="67"/>
      <c r="H1554" s="129"/>
      <c r="I1554" s="69"/>
      <c r="J1554" s="72"/>
      <c r="K1554" s="73"/>
      <c r="L1554" s="72"/>
      <c r="M1554" s="73"/>
      <c r="N1554" s="72"/>
      <c r="O1554" s="73"/>
      <c r="P1554" s="72"/>
      <c r="Q1554" s="73"/>
      <c r="R1554" s="72"/>
      <c r="S1554" s="73"/>
      <c r="T1554" s="72"/>
      <c r="U1554" s="73"/>
      <c r="V1554" s="72"/>
      <c r="W1554" s="73"/>
      <c r="X1554" s="72"/>
      <c r="Y1554" s="73"/>
      <c r="Z1554" s="74" t="b">
        <v>0</v>
      </c>
      <c r="AA1554" s="130">
        <f t="shared" si="619"/>
        <v>0</v>
      </c>
      <c r="AB1554" s="131">
        <f t="shared" si="620"/>
        <v>0</v>
      </c>
      <c r="AC1554" s="132">
        <f t="shared" si="621"/>
        <v>0</v>
      </c>
      <c r="AD1554" s="133">
        <f t="shared" si="622"/>
        <v>0</v>
      </c>
      <c r="AE1554" s="131">
        <f t="shared" si="623"/>
        <v>0</v>
      </c>
      <c r="AF1554" s="133">
        <f t="shared" si="624"/>
        <v>0</v>
      </c>
      <c r="AG1554" s="1"/>
    </row>
    <row r="1555" ht="21.0" customHeight="1">
      <c r="A1555" s="1"/>
      <c r="B1555" s="48" t="s">
        <v>39</v>
      </c>
      <c r="C1555" s="49"/>
      <c r="D1555" s="65"/>
      <c r="E1555" s="41"/>
      <c r="F1555" s="52" t="s">
        <v>40</v>
      </c>
      <c r="G1555" s="79"/>
      <c r="H1555" s="80"/>
      <c r="I1555" s="69"/>
      <c r="J1555" s="72"/>
      <c r="K1555" s="73"/>
      <c r="L1555" s="72"/>
      <c r="M1555" s="73"/>
      <c r="N1555" s="72"/>
      <c r="O1555" s="73"/>
      <c r="P1555" s="72"/>
      <c r="Q1555" s="73"/>
      <c r="R1555" s="72"/>
      <c r="S1555" s="73"/>
      <c r="T1555" s="72"/>
      <c r="U1555" s="73"/>
      <c r="V1555" s="72"/>
      <c r="W1555" s="73"/>
      <c r="X1555" s="72"/>
      <c r="Y1555" s="73"/>
      <c r="Z1555" s="74" t="b">
        <v>0</v>
      </c>
      <c r="AA1555" s="130">
        <f t="shared" si="619"/>
        <v>0</v>
      </c>
      <c r="AB1555" s="131">
        <f t="shared" si="620"/>
        <v>0</v>
      </c>
      <c r="AC1555" s="132">
        <f t="shared" si="621"/>
        <v>0</v>
      </c>
      <c r="AD1555" s="133">
        <f t="shared" si="622"/>
        <v>0</v>
      </c>
      <c r="AE1555" s="131">
        <f t="shared" si="623"/>
        <v>0</v>
      </c>
      <c r="AF1555" s="133">
        <f t="shared" si="624"/>
        <v>0</v>
      </c>
      <c r="AG1555" s="1"/>
    </row>
    <row r="1556" ht="21.0" customHeight="1">
      <c r="A1556" s="1"/>
      <c r="B1556" s="48" t="s">
        <v>41</v>
      </c>
      <c r="C1556" s="81"/>
      <c r="D1556" s="82" t="b">
        <v>0</v>
      </c>
      <c r="E1556" s="51" t="s">
        <v>42</v>
      </c>
      <c r="F1556" s="52" t="s">
        <v>34</v>
      </c>
      <c r="G1556" s="83"/>
      <c r="H1556" s="84"/>
      <c r="I1556" s="85"/>
      <c r="J1556" s="72"/>
      <c r="K1556" s="73"/>
      <c r="L1556" s="72"/>
      <c r="M1556" s="73"/>
      <c r="N1556" s="72"/>
      <c r="O1556" s="73"/>
      <c r="P1556" s="72"/>
      <c r="Q1556" s="73"/>
      <c r="R1556" s="72"/>
      <c r="S1556" s="73"/>
      <c r="T1556" s="72"/>
      <c r="U1556" s="73"/>
      <c r="V1556" s="72"/>
      <c r="W1556" s="73"/>
      <c r="X1556" s="72"/>
      <c r="Y1556" s="73"/>
      <c r="Z1556" s="74" t="b">
        <v>0</v>
      </c>
      <c r="AA1556" s="130">
        <f t="shared" si="619"/>
        <v>0</v>
      </c>
      <c r="AB1556" s="131">
        <f t="shared" si="620"/>
        <v>0</v>
      </c>
      <c r="AC1556" s="132">
        <f t="shared" si="621"/>
        <v>0</v>
      </c>
      <c r="AD1556" s="133">
        <f t="shared" si="622"/>
        <v>0</v>
      </c>
      <c r="AE1556" s="131">
        <f t="shared" si="623"/>
        <v>0</v>
      </c>
      <c r="AF1556" s="133">
        <f t="shared" si="624"/>
        <v>0</v>
      </c>
      <c r="AG1556" s="1"/>
    </row>
    <row r="1557" ht="21.0" customHeight="1">
      <c r="A1557" s="1"/>
      <c r="B1557" s="48" t="s">
        <v>43</v>
      </c>
      <c r="C1557" s="49"/>
      <c r="D1557" s="86" t="b">
        <v>0</v>
      </c>
      <c r="E1557" s="66"/>
      <c r="F1557" s="52" t="s">
        <v>37</v>
      </c>
      <c r="G1557" s="67"/>
      <c r="H1557" s="80"/>
      <c r="I1557" s="69"/>
      <c r="J1557" s="72"/>
      <c r="K1557" s="73"/>
      <c r="L1557" s="72"/>
      <c r="M1557" s="73"/>
      <c r="N1557" s="72"/>
      <c r="O1557" s="73"/>
      <c r="P1557" s="72"/>
      <c r="Q1557" s="73"/>
      <c r="R1557" s="72"/>
      <c r="S1557" s="73"/>
      <c r="T1557" s="72"/>
      <c r="U1557" s="73"/>
      <c r="V1557" s="72"/>
      <c r="W1557" s="73"/>
      <c r="X1557" s="72"/>
      <c r="Y1557" s="73"/>
      <c r="Z1557" s="74" t="b">
        <v>0</v>
      </c>
      <c r="AA1557" s="130">
        <f t="shared" si="619"/>
        <v>0</v>
      </c>
      <c r="AB1557" s="131">
        <f t="shared" si="620"/>
        <v>0</v>
      </c>
      <c r="AC1557" s="132">
        <f t="shared" si="621"/>
        <v>0</v>
      </c>
      <c r="AD1557" s="133">
        <f t="shared" si="622"/>
        <v>0</v>
      </c>
      <c r="AE1557" s="131">
        <f t="shared" si="623"/>
        <v>0</v>
      </c>
      <c r="AF1557" s="133">
        <f t="shared" si="624"/>
        <v>0</v>
      </c>
      <c r="AG1557" s="1"/>
    </row>
    <row r="1558" ht="21.0" customHeight="1">
      <c r="A1558" s="1"/>
      <c r="B1558" s="87" t="str">
        <f t="array" ref="B1558">"📌최근 인바디 결과 : "&amp;text(xlookup(B1550,'현황'!O:O,'현황'!O:O,,-1,-1),"m/d(ddd)")</f>
        <v>#REF!</v>
      </c>
      <c r="C1558" s="88"/>
      <c r="D1558" s="49"/>
      <c r="E1558" s="41"/>
      <c r="F1558" s="52" t="s">
        <v>40</v>
      </c>
      <c r="G1558" s="79"/>
      <c r="H1558" s="80"/>
      <c r="I1558" s="69"/>
      <c r="J1558" s="72"/>
      <c r="K1558" s="73"/>
      <c r="L1558" s="72"/>
      <c r="M1558" s="73"/>
      <c r="N1558" s="72"/>
      <c r="O1558" s="73"/>
      <c r="P1558" s="72"/>
      <c r="Q1558" s="73"/>
      <c r="R1558" s="72"/>
      <c r="S1558" s="73"/>
      <c r="T1558" s="72"/>
      <c r="U1558" s="73"/>
      <c r="V1558" s="72"/>
      <c r="W1558" s="73"/>
      <c r="X1558" s="72"/>
      <c r="Y1558" s="73"/>
      <c r="Z1558" s="74" t="b">
        <v>0</v>
      </c>
      <c r="AA1558" s="130">
        <f t="shared" si="619"/>
        <v>0</v>
      </c>
      <c r="AB1558" s="131">
        <f t="shared" si="620"/>
        <v>0</v>
      </c>
      <c r="AC1558" s="132">
        <f t="shared" si="621"/>
        <v>0</v>
      </c>
      <c r="AD1558" s="133">
        <f t="shared" si="622"/>
        <v>0</v>
      </c>
      <c r="AE1558" s="131">
        <f t="shared" si="623"/>
        <v>0</v>
      </c>
      <c r="AF1558" s="133">
        <f t="shared" si="624"/>
        <v>0</v>
      </c>
      <c r="AG1558" s="1"/>
    </row>
    <row r="1559" ht="21.0" customHeight="1">
      <c r="A1559" s="1"/>
      <c r="B1559" s="89" t="s">
        <v>44</v>
      </c>
      <c r="C1559" s="49"/>
      <c r="D1559" s="90">
        <f t="array" ref="D1559">iferror(vlookup(xlookup(B1550,'현황'!O:O,'현황'!O:O,,-1,-1),'현황'!O:S,2,false),0)</f>
        <v>0</v>
      </c>
      <c r="E1559" s="51" t="s">
        <v>45</v>
      </c>
      <c r="F1559" s="52" t="s">
        <v>34</v>
      </c>
      <c r="G1559" s="83"/>
      <c r="H1559" s="84"/>
      <c r="I1559" s="85"/>
      <c r="J1559" s="72"/>
      <c r="K1559" s="73"/>
      <c r="L1559" s="72"/>
      <c r="M1559" s="73"/>
      <c r="N1559" s="72"/>
      <c r="O1559" s="73"/>
      <c r="P1559" s="72"/>
      <c r="Q1559" s="73"/>
      <c r="R1559" s="72"/>
      <c r="S1559" s="73"/>
      <c r="T1559" s="72"/>
      <c r="U1559" s="73"/>
      <c r="V1559" s="72"/>
      <c r="W1559" s="73"/>
      <c r="X1559" s="72"/>
      <c r="Y1559" s="73"/>
      <c r="Z1559" s="74" t="b">
        <v>0</v>
      </c>
      <c r="AA1559" s="130">
        <f t="shared" si="619"/>
        <v>0</v>
      </c>
      <c r="AB1559" s="131">
        <f t="shared" si="620"/>
        <v>0</v>
      </c>
      <c r="AC1559" s="132">
        <f t="shared" si="621"/>
        <v>0</v>
      </c>
      <c r="AD1559" s="133">
        <f t="shared" si="622"/>
        <v>0</v>
      </c>
      <c r="AE1559" s="131">
        <f t="shared" si="623"/>
        <v>0</v>
      </c>
      <c r="AF1559" s="133">
        <f t="shared" si="624"/>
        <v>0</v>
      </c>
      <c r="AG1559" s="1"/>
    </row>
    <row r="1560" ht="21.0" customHeight="1">
      <c r="A1560" s="1"/>
      <c r="B1560" s="48" t="s">
        <v>46</v>
      </c>
      <c r="C1560" s="49"/>
      <c r="D1560" s="91">
        <f t="array" ref="D1560">iferror(vlookup(xlookup(B1550,'현황'!O:O,'현황'!O:O,,-1,-1),'현황'!O:S,3,false),0)</f>
        <v>0</v>
      </c>
      <c r="E1560" s="66"/>
      <c r="F1560" s="52" t="s">
        <v>37</v>
      </c>
      <c r="G1560" s="67"/>
      <c r="H1560" s="80"/>
      <c r="I1560" s="69"/>
      <c r="J1560" s="72"/>
      <c r="K1560" s="73"/>
      <c r="L1560" s="72"/>
      <c r="M1560" s="73"/>
      <c r="N1560" s="72"/>
      <c r="O1560" s="73"/>
      <c r="P1560" s="72"/>
      <c r="Q1560" s="73"/>
      <c r="R1560" s="72"/>
      <c r="S1560" s="73"/>
      <c r="T1560" s="72"/>
      <c r="U1560" s="73"/>
      <c r="V1560" s="72"/>
      <c r="W1560" s="73"/>
      <c r="X1560" s="72"/>
      <c r="Y1560" s="73"/>
      <c r="Z1560" s="74" t="b">
        <v>0</v>
      </c>
      <c r="AA1560" s="130">
        <f t="shared" si="619"/>
        <v>0</v>
      </c>
      <c r="AB1560" s="131">
        <f t="shared" si="620"/>
        <v>0</v>
      </c>
      <c r="AC1560" s="132">
        <f t="shared" si="621"/>
        <v>0</v>
      </c>
      <c r="AD1560" s="133">
        <f t="shared" si="622"/>
        <v>0</v>
      </c>
      <c r="AE1560" s="131">
        <f t="shared" si="623"/>
        <v>0</v>
      </c>
      <c r="AF1560" s="133">
        <f t="shared" si="624"/>
        <v>0</v>
      </c>
      <c r="AG1560" s="1"/>
    </row>
    <row r="1561" ht="21.0" customHeight="1">
      <c r="A1561" s="1"/>
      <c r="B1561" s="48" t="s">
        <v>47</v>
      </c>
      <c r="C1561" s="49"/>
      <c r="D1561" s="91">
        <f t="array" ref="D1561">iferror(vlookup(xlookup(B1550,'현황'!O:O,'현황'!O:O,,-1,-1),'현황'!O:S,4,false),0)</f>
        <v>0</v>
      </c>
      <c r="E1561" s="41"/>
      <c r="F1561" s="92" t="s">
        <v>40</v>
      </c>
      <c r="G1561" s="79"/>
      <c r="H1561" s="93"/>
      <c r="I1561" s="94"/>
      <c r="J1561" s="95"/>
      <c r="K1561" s="96"/>
      <c r="L1561" s="95"/>
      <c r="M1561" s="96"/>
      <c r="N1561" s="95"/>
      <c r="O1561" s="96"/>
      <c r="P1561" s="95"/>
      <c r="Q1561" s="96"/>
      <c r="R1561" s="95"/>
      <c r="S1561" s="96"/>
      <c r="T1561" s="95"/>
      <c r="U1561" s="96"/>
      <c r="V1561" s="95"/>
      <c r="W1561" s="96"/>
      <c r="X1561" s="95"/>
      <c r="Y1561" s="96"/>
      <c r="Z1561" s="97" t="b">
        <v>0</v>
      </c>
      <c r="AA1561" s="135">
        <f t="shared" si="619"/>
        <v>0</v>
      </c>
      <c r="AB1561" s="136">
        <f t="shared" si="620"/>
        <v>0</v>
      </c>
      <c r="AC1561" s="137">
        <f t="shared" si="621"/>
        <v>0</v>
      </c>
      <c r="AD1561" s="138">
        <f t="shared" si="622"/>
        <v>0</v>
      </c>
      <c r="AE1561" s="136">
        <f t="shared" si="623"/>
        <v>0</v>
      </c>
      <c r="AF1561" s="138">
        <f t="shared" si="624"/>
        <v>0</v>
      </c>
      <c r="AG1561" s="1"/>
    </row>
    <row r="1562" ht="21.0" customHeight="1">
      <c r="A1562" s="1"/>
      <c r="B1562" s="102" t="s">
        <v>48</v>
      </c>
      <c r="C1562" s="103"/>
      <c r="D1562" s="104">
        <f>iferror(D1561/D1559,0)</f>
        <v>0</v>
      </c>
      <c r="E1562" s="102" t="s">
        <v>49</v>
      </c>
      <c r="F1562" s="103"/>
      <c r="G1562" s="105"/>
      <c r="H1562" s="143" t="s">
        <v>50</v>
      </c>
      <c r="I1562" s="144"/>
      <c r="J1562" s="11"/>
      <c r="K1562" s="11"/>
      <c r="L1562" s="11"/>
      <c r="M1562" s="11"/>
      <c r="N1562" s="11"/>
      <c r="O1562" s="11"/>
      <c r="P1562" s="145" t="s">
        <v>51</v>
      </c>
      <c r="Q1562" s="12"/>
      <c r="R1562" s="146"/>
      <c r="S1562" s="11"/>
      <c r="T1562" s="11"/>
      <c r="U1562" s="11"/>
      <c r="V1562" s="11"/>
      <c r="W1562" s="11"/>
      <c r="X1562" s="11"/>
      <c r="Y1562" s="11"/>
      <c r="Z1562" s="12"/>
      <c r="AA1562" s="139">
        <f>SUM(AA1553:AA1561)</f>
        <v>0</v>
      </c>
      <c r="AB1562" s="140" t="s">
        <v>305</v>
      </c>
      <c r="AG1562" s="1"/>
    </row>
    <row r="1563" ht="21.0" customHeight="1">
      <c r="A1563" s="1"/>
      <c r="B1563" s="1"/>
      <c r="C1563" s="1"/>
      <c r="D1563" s="1"/>
      <c r="E1563" s="1"/>
      <c r="F1563" s="1"/>
      <c r="G1563" s="1"/>
      <c r="H1563" s="1"/>
      <c r="I1563" s="1"/>
      <c r="AA1563" s="1"/>
      <c r="AB1563" s="1"/>
      <c r="AC1563" s="3"/>
      <c r="AD1563" s="1"/>
      <c r="AE1563" s="1"/>
      <c r="AF1563" s="1"/>
      <c r="AG1563" s="1"/>
    </row>
    <row r="1564" ht="21.0" customHeight="1">
      <c r="A1564" s="1"/>
      <c r="B1564" s="4" t="s">
        <v>1</v>
      </c>
      <c r="C1564" s="5"/>
      <c r="D1564" s="6" t="s">
        <v>2</v>
      </c>
      <c r="E1564" s="7"/>
      <c r="F1564" s="7"/>
      <c r="G1564" s="5"/>
      <c r="H1564" s="8" t="s">
        <v>3</v>
      </c>
      <c r="I1564" s="8" t="s">
        <v>4</v>
      </c>
      <c r="J1564" s="9" t="s">
        <v>5</v>
      </c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5"/>
      <c r="AA1564" s="117" t="s">
        <v>6</v>
      </c>
      <c r="AB1564" s="11"/>
      <c r="AC1564" s="11"/>
      <c r="AD1564" s="11"/>
      <c r="AE1564" s="11"/>
      <c r="AF1564" s="12"/>
      <c r="AG1564" s="1"/>
    </row>
    <row r="1565" ht="21.0" customHeight="1">
      <c r="A1565" s="1"/>
      <c r="B1565" s="149" t="s">
        <v>138</v>
      </c>
      <c r="C1565" s="14" t="str">
        <f>if(B1565="0/0","",choose(weekday(B1565),"(일)","(월)","(화)","(수)","(목)","(금)","(토)"))</f>
        <v/>
      </c>
      <c r="D1565" s="15" t="s">
        <v>7</v>
      </c>
      <c r="E1565" s="16" t="s">
        <v>8</v>
      </c>
      <c r="F1565" s="17"/>
      <c r="G1565" s="18" t="s">
        <v>9</v>
      </c>
      <c r="H1565" s="150" t="s">
        <v>139</v>
      </c>
      <c r="I1565" s="151"/>
      <c r="J1565" s="21" t="s">
        <v>12</v>
      </c>
      <c r="K1565" s="22"/>
      <c r="L1565" s="21" t="s">
        <v>13</v>
      </c>
      <c r="M1565" s="22"/>
      <c r="N1565" s="21" t="s">
        <v>14</v>
      </c>
      <c r="O1565" s="22"/>
      <c r="P1565" s="21" t="s">
        <v>15</v>
      </c>
      <c r="Q1565" s="22"/>
      <c r="R1565" s="23" t="s">
        <v>16</v>
      </c>
      <c r="S1565" s="22"/>
      <c r="T1565" s="23" t="s">
        <v>17</v>
      </c>
      <c r="U1565" s="22"/>
      <c r="V1565" s="23" t="s">
        <v>18</v>
      </c>
      <c r="W1565" s="22"/>
      <c r="X1565" s="23" t="s">
        <v>19</v>
      </c>
      <c r="Y1565" s="22"/>
      <c r="Z1565" s="24" t="s">
        <v>306</v>
      </c>
      <c r="AA1565" s="118" t="s">
        <v>21</v>
      </c>
      <c r="AB1565" s="119" t="s">
        <v>22</v>
      </c>
      <c r="AC1565" s="7"/>
      <c r="AD1565" s="22"/>
      <c r="AE1565" s="120" t="s">
        <v>23</v>
      </c>
      <c r="AF1565" s="22"/>
      <c r="AG1565" s="1"/>
    </row>
    <row r="1566" ht="21.0" customHeight="1">
      <c r="A1566" s="1"/>
      <c r="B1566" s="27">
        <f>iferror(B1565-'현황'!$C$4+1,0)</f>
        <v>0</v>
      </c>
      <c r="C1566" s="28"/>
      <c r="D1566" s="29">
        <v>0.0</v>
      </c>
      <c r="E1566" s="30">
        <v>0.0</v>
      </c>
      <c r="F1566" s="31"/>
      <c r="G1566" s="32">
        <v>0.0</v>
      </c>
      <c r="H1566" s="33">
        <v>0.0</v>
      </c>
      <c r="I1566" s="34"/>
      <c r="J1566" s="35"/>
      <c r="K1566" s="36"/>
      <c r="L1566" s="35"/>
      <c r="M1566" s="36"/>
      <c r="N1566" s="35"/>
      <c r="O1566" s="36"/>
      <c r="P1566" s="35"/>
      <c r="Q1566" s="36"/>
      <c r="R1566" s="35"/>
      <c r="S1566" s="36"/>
      <c r="T1566" s="35"/>
      <c r="U1566" s="36"/>
      <c r="V1566" s="35"/>
      <c r="W1566" s="36"/>
      <c r="X1566" s="35"/>
      <c r="Y1566" s="36"/>
      <c r="Z1566" s="37"/>
      <c r="AA1566" s="37"/>
      <c r="AB1566" s="35"/>
      <c r="AC1566" s="38"/>
      <c r="AD1566" s="36"/>
      <c r="AE1566" s="35"/>
      <c r="AF1566" s="36"/>
      <c r="AG1566" s="1"/>
    </row>
    <row r="1567" ht="21.0" customHeight="1">
      <c r="A1567" s="1"/>
      <c r="B1567" s="39" t="s">
        <v>24</v>
      </c>
      <c r="C1567" s="40"/>
      <c r="D1567" s="41"/>
      <c r="E1567" s="42" t="s">
        <v>25</v>
      </c>
      <c r="F1567" s="40"/>
      <c r="G1567" s="41"/>
      <c r="H1567" s="43" t="s">
        <v>26</v>
      </c>
      <c r="J1567" s="44" t="s">
        <v>27</v>
      </c>
      <c r="K1567" s="45" t="s">
        <v>28</v>
      </c>
      <c r="L1567" s="44" t="s">
        <v>27</v>
      </c>
      <c r="M1567" s="45" t="s">
        <v>28</v>
      </c>
      <c r="N1567" s="44" t="s">
        <v>27</v>
      </c>
      <c r="O1567" s="45" t="s">
        <v>28</v>
      </c>
      <c r="P1567" s="44" t="s">
        <v>27</v>
      </c>
      <c r="Q1567" s="45" t="s">
        <v>28</v>
      </c>
      <c r="R1567" s="44" t="s">
        <v>27</v>
      </c>
      <c r="S1567" s="45" t="s">
        <v>28</v>
      </c>
      <c r="T1567" s="44" t="s">
        <v>27</v>
      </c>
      <c r="U1567" s="45" t="s">
        <v>28</v>
      </c>
      <c r="V1567" s="44" t="s">
        <v>27</v>
      </c>
      <c r="W1567" s="45" t="s">
        <v>28</v>
      </c>
      <c r="X1567" s="44" t="s">
        <v>27</v>
      </c>
      <c r="Y1567" s="45" t="s">
        <v>28</v>
      </c>
      <c r="Z1567" s="46"/>
      <c r="AA1567" s="46"/>
      <c r="AB1567" s="121" t="s">
        <v>29</v>
      </c>
      <c r="AC1567" s="122" t="s">
        <v>30</v>
      </c>
      <c r="AD1567" s="123" t="s">
        <v>31</v>
      </c>
      <c r="AE1567" s="121" t="s">
        <v>27</v>
      </c>
      <c r="AF1567" s="123" t="s">
        <v>28</v>
      </c>
      <c r="AG1567" s="1"/>
    </row>
    <row r="1568" ht="21.0" customHeight="1">
      <c r="A1568" s="1"/>
      <c r="B1568" s="48" t="s">
        <v>32</v>
      </c>
      <c r="C1568" s="49"/>
      <c r="D1568" s="50"/>
      <c r="E1568" s="51" t="s">
        <v>33</v>
      </c>
      <c r="F1568" s="52" t="s">
        <v>34</v>
      </c>
      <c r="G1568" s="53"/>
      <c r="H1568" s="148"/>
      <c r="I1568" s="55"/>
      <c r="J1568" s="58"/>
      <c r="K1568" s="59"/>
      <c r="L1568" s="58"/>
      <c r="M1568" s="59"/>
      <c r="N1568" s="58"/>
      <c r="O1568" s="59"/>
      <c r="P1568" s="58"/>
      <c r="Q1568" s="59"/>
      <c r="R1568" s="58"/>
      <c r="S1568" s="59"/>
      <c r="T1568" s="58"/>
      <c r="U1568" s="59"/>
      <c r="V1568" s="58"/>
      <c r="W1568" s="59"/>
      <c r="X1568" s="58"/>
      <c r="Y1568" s="59"/>
      <c r="Z1568" s="60" t="b">
        <v>0</v>
      </c>
      <c r="AA1568" s="125">
        <f t="shared" ref="AA1568:AA1576" si="625">(J1568*K1568+L1568*M1568+N1568*O1568+P1568*Q1568+R1568*S1568+T1568*U1568+V1568*W1568+X1568*Y1568)*if(Z1568=true,0.453592,1)</f>
        <v>0</v>
      </c>
      <c r="AB1568" s="126">
        <f t="shared" ref="AB1568:AB1576" si="626">SUM(AE1568*AF1568*0.025,AE1568)</f>
        <v>0</v>
      </c>
      <c r="AC1568" s="127">
        <f t="shared" ref="AC1568:AC1576" si="627">AB1568*87%</f>
        <v>0</v>
      </c>
      <c r="AD1568" s="128">
        <f t="shared" ref="AD1568:AD1576" si="628">AB1568*67%</f>
        <v>0</v>
      </c>
      <c r="AE1568" s="126">
        <f t="shared" ref="AE1568:AE1576" si="629">MAX(J1568,L1568,N1568,P1568,R1568,T1568,V1568,X1568)*if(Z1568=true,0.453592,1)</f>
        <v>0</v>
      </c>
      <c r="AF1568" s="128">
        <f t="shared" ref="AF1568:AF1576" si="630">MAX(IF(J1568*if(Z1568=true,0.453592,1)=$AE1568,K1568,0),IF(L1568*if(Z1568=true,0.453592,1)=$AE1568,M1568,0),IF(N1568*if(Z1568=true,0.453592,1)=$AE1568,O1568,0),IF(P1568*if(Z1568=true,0.453592,1)=$AE1568,Q1568,0),IF(R1568*if(Z1568=true,0.453592,1)=$AE1568,S1568,0),IF(T1568*if(Z1568=true,0.453592,1)=$AE1568,U1568,0),IF(V1568*if(Z1568=true,0.453592,1)=$AE1568,W1568,0),IF(X1568*if(Z1568=true,0.453592,1)=$AE1568,Y1568,0))</f>
        <v>0</v>
      </c>
      <c r="AG1568" s="1"/>
    </row>
    <row r="1569" ht="21.0" customHeight="1">
      <c r="A1569" s="1"/>
      <c r="B1569" s="48" t="s">
        <v>36</v>
      </c>
      <c r="C1569" s="49"/>
      <c r="D1569" s="65"/>
      <c r="E1569" s="66"/>
      <c r="F1569" s="52" t="s">
        <v>37</v>
      </c>
      <c r="G1569" s="67"/>
      <c r="H1569" s="129"/>
      <c r="I1569" s="69"/>
      <c r="J1569" s="72"/>
      <c r="K1569" s="73"/>
      <c r="L1569" s="72"/>
      <c r="M1569" s="73"/>
      <c r="N1569" s="72"/>
      <c r="O1569" s="73"/>
      <c r="P1569" s="72"/>
      <c r="Q1569" s="73"/>
      <c r="R1569" s="72"/>
      <c r="S1569" s="73"/>
      <c r="T1569" s="72"/>
      <c r="U1569" s="73"/>
      <c r="V1569" s="72"/>
      <c r="W1569" s="73"/>
      <c r="X1569" s="72"/>
      <c r="Y1569" s="73"/>
      <c r="Z1569" s="74" t="b">
        <v>0</v>
      </c>
      <c r="AA1569" s="130">
        <f t="shared" si="625"/>
        <v>0</v>
      </c>
      <c r="AB1569" s="131">
        <f t="shared" si="626"/>
        <v>0</v>
      </c>
      <c r="AC1569" s="132">
        <f t="shared" si="627"/>
        <v>0</v>
      </c>
      <c r="AD1569" s="133">
        <f t="shared" si="628"/>
        <v>0</v>
      </c>
      <c r="AE1569" s="131">
        <f t="shared" si="629"/>
        <v>0</v>
      </c>
      <c r="AF1569" s="133">
        <f t="shared" si="630"/>
        <v>0</v>
      </c>
      <c r="AG1569" s="1"/>
    </row>
    <row r="1570" ht="21.0" customHeight="1">
      <c r="A1570" s="1"/>
      <c r="B1570" s="48" t="s">
        <v>39</v>
      </c>
      <c r="C1570" s="49"/>
      <c r="D1570" s="65"/>
      <c r="E1570" s="41"/>
      <c r="F1570" s="52" t="s">
        <v>40</v>
      </c>
      <c r="G1570" s="79"/>
      <c r="H1570" s="80"/>
      <c r="I1570" s="69"/>
      <c r="J1570" s="72"/>
      <c r="K1570" s="73"/>
      <c r="L1570" s="72"/>
      <c r="M1570" s="73"/>
      <c r="N1570" s="72"/>
      <c r="O1570" s="73"/>
      <c r="P1570" s="72"/>
      <c r="Q1570" s="73"/>
      <c r="R1570" s="72"/>
      <c r="S1570" s="73"/>
      <c r="T1570" s="72"/>
      <c r="U1570" s="73"/>
      <c r="V1570" s="72"/>
      <c r="W1570" s="73"/>
      <c r="X1570" s="72"/>
      <c r="Y1570" s="73"/>
      <c r="Z1570" s="74" t="b">
        <v>0</v>
      </c>
      <c r="AA1570" s="130">
        <f t="shared" si="625"/>
        <v>0</v>
      </c>
      <c r="AB1570" s="131">
        <f t="shared" si="626"/>
        <v>0</v>
      </c>
      <c r="AC1570" s="132">
        <f t="shared" si="627"/>
        <v>0</v>
      </c>
      <c r="AD1570" s="133">
        <f t="shared" si="628"/>
        <v>0</v>
      </c>
      <c r="AE1570" s="131">
        <f t="shared" si="629"/>
        <v>0</v>
      </c>
      <c r="AF1570" s="133">
        <f t="shared" si="630"/>
        <v>0</v>
      </c>
      <c r="AG1570" s="1"/>
    </row>
    <row r="1571" ht="21.0" customHeight="1">
      <c r="A1571" s="1"/>
      <c r="B1571" s="48" t="s">
        <v>41</v>
      </c>
      <c r="C1571" s="81"/>
      <c r="D1571" s="82" t="b">
        <v>0</v>
      </c>
      <c r="E1571" s="51" t="s">
        <v>42</v>
      </c>
      <c r="F1571" s="52" t="s">
        <v>34</v>
      </c>
      <c r="G1571" s="83"/>
      <c r="H1571" s="84"/>
      <c r="I1571" s="85"/>
      <c r="J1571" s="72"/>
      <c r="K1571" s="73"/>
      <c r="L1571" s="72"/>
      <c r="M1571" s="73"/>
      <c r="N1571" s="72"/>
      <c r="O1571" s="73"/>
      <c r="P1571" s="72"/>
      <c r="Q1571" s="73"/>
      <c r="R1571" s="72"/>
      <c r="S1571" s="73"/>
      <c r="T1571" s="72"/>
      <c r="U1571" s="73"/>
      <c r="V1571" s="72"/>
      <c r="W1571" s="73"/>
      <c r="X1571" s="72"/>
      <c r="Y1571" s="73"/>
      <c r="Z1571" s="74" t="b">
        <v>0</v>
      </c>
      <c r="AA1571" s="130">
        <f t="shared" si="625"/>
        <v>0</v>
      </c>
      <c r="AB1571" s="131">
        <f t="shared" si="626"/>
        <v>0</v>
      </c>
      <c r="AC1571" s="132">
        <f t="shared" si="627"/>
        <v>0</v>
      </c>
      <c r="AD1571" s="133">
        <f t="shared" si="628"/>
        <v>0</v>
      </c>
      <c r="AE1571" s="131">
        <f t="shared" si="629"/>
        <v>0</v>
      </c>
      <c r="AF1571" s="133">
        <f t="shared" si="630"/>
        <v>0</v>
      </c>
      <c r="AG1571" s="1"/>
    </row>
    <row r="1572" ht="21.0" customHeight="1">
      <c r="A1572" s="1"/>
      <c r="B1572" s="48" t="s">
        <v>43</v>
      </c>
      <c r="C1572" s="49"/>
      <c r="D1572" s="86" t="b">
        <v>0</v>
      </c>
      <c r="E1572" s="66"/>
      <c r="F1572" s="52" t="s">
        <v>37</v>
      </c>
      <c r="G1572" s="67"/>
      <c r="H1572" s="80"/>
      <c r="I1572" s="69"/>
      <c r="J1572" s="72"/>
      <c r="K1572" s="73"/>
      <c r="L1572" s="72"/>
      <c r="M1572" s="73"/>
      <c r="N1572" s="72"/>
      <c r="O1572" s="73"/>
      <c r="P1572" s="72"/>
      <c r="Q1572" s="73"/>
      <c r="R1572" s="72"/>
      <c r="S1572" s="73"/>
      <c r="T1572" s="72"/>
      <c r="U1572" s="73"/>
      <c r="V1572" s="72"/>
      <c r="W1572" s="73"/>
      <c r="X1572" s="72"/>
      <c r="Y1572" s="73"/>
      <c r="Z1572" s="74" t="b">
        <v>0</v>
      </c>
      <c r="AA1572" s="130">
        <f t="shared" si="625"/>
        <v>0</v>
      </c>
      <c r="AB1572" s="131">
        <f t="shared" si="626"/>
        <v>0</v>
      </c>
      <c r="AC1572" s="132">
        <f t="shared" si="627"/>
        <v>0</v>
      </c>
      <c r="AD1572" s="133">
        <f t="shared" si="628"/>
        <v>0</v>
      </c>
      <c r="AE1572" s="131">
        <f t="shared" si="629"/>
        <v>0</v>
      </c>
      <c r="AF1572" s="133">
        <f t="shared" si="630"/>
        <v>0</v>
      </c>
      <c r="AG1572" s="1"/>
    </row>
    <row r="1573" ht="21.0" customHeight="1">
      <c r="A1573" s="1"/>
      <c r="B1573" s="87" t="str">
        <f t="array" ref="B1573">"📌최근 인바디 결과 : "&amp;text(xlookup(B1565,'현황'!O:O,'현황'!O:O,,-1,-1),"m/d(ddd)")</f>
        <v>#REF!</v>
      </c>
      <c r="C1573" s="88"/>
      <c r="D1573" s="49"/>
      <c r="E1573" s="41"/>
      <c r="F1573" s="52" t="s">
        <v>40</v>
      </c>
      <c r="G1573" s="79"/>
      <c r="H1573" s="80"/>
      <c r="I1573" s="69"/>
      <c r="J1573" s="72"/>
      <c r="K1573" s="73"/>
      <c r="L1573" s="72"/>
      <c r="M1573" s="73"/>
      <c r="N1573" s="72"/>
      <c r="O1573" s="73"/>
      <c r="P1573" s="72"/>
      <c r="Q1573" s="73"/>
      <c r="R1573" s="72"/>
      <c r="S1573" s="73"/>
      <c r="T1573" s="72"/>
      <c r="U1573" s="73"/>
      <c r="V1573" s="72"/>
      <c r="W1573" s="73"/>
      <c r="X1573" s="72"/>
      <c r="Y1573" s="73"/>
      <c r="Z1573" s="74" t="b">
        <v>0</v>
      </c>
      <c r="AA1573" s="130">
        <f t="shared" si="625"/>
        <v>0</v>
      </c>
      <c r="AB1573" s="131">
        <f t="shared" si="626"/>
        <v>0</v>
      </c>
      <c r="AC1573" s="132">
        <f t="shared" si="627"/>
        <v>0</v>
      </c>
      <c r="AD1573" s="133">
        <f t="shared" si="628"/>
        <v>0</v>
      </c>
      <c r="AE1573" s="131">
        <f t="shared" si="629"/>
        <v>0</v>
      </c>
      <c r="AF1573" s="133">
        <f t="shared" si="630"/>
        <v>0</v>
      </c>
      <c r="AG1573" s="1"/>
    </row>
    <row r="1574" ht="21.0" customHeight="1">
      <c r="A1574" s="1"/>
      <c r="B1574" s="89" t="s">
        <v>44</v>
      </c>
      <c r="C1574" s="49"/>
      <c r="D1574" s="90">
        <f t="array" ref="D1574">iferror(vlookup(xlookup(B1565,'현황'!O:O,'현황'!O:O,,-1,-1),'현황'!O:S,2,false),0)</f>
        <v>0</v>
      </c>
      <c r="E1574" s="51" t="s">
        <v>45</v>
      </c>
      <c r="F1574" s="52" t="s">
        <v>34</v>
      </c>
      <c r="G1574" s="83"/>
      <c r="H1574" s="84"/>
      <c r="I1574" s="85"/>
      <c r="J1574" s="72"/>
      <c r="K1574" s="73"/>
      <c r="L1574" s="72"/>
      <c r="M1574" s="73"/>
      <c r="N1574" s="72"/>
      <c r="O1574" s="73"/>
      <c r="P1574" s="72"/>
      <c r="Q1574" s="73"/>
      <c r="R1574" s="72"/>
      <c r="S1574" s="73"/>
      <c r="T1574" s="72"/>
      <c r="U1574" s="73"/>
      <c r="V1574" s="72"/>
      <c r="W1574" s="73"/>
      <c r="X1574" s="72"/>
      <c r="Y1574" s="73"/>
      <c r="Z1574" s="74" t="b">
        <v>0</v>
      </c>
      <c r="AA1574" s="130">
        <f t="shared" si="625"/>
        <v>0</v>
      </c>
      <c r="AB1574" s="131">
        <f t="shared" si="626"/>
        <v>0</v>
      </c>
      <c r="AC1574" s="132">
        <f t="shared" si="627"/>
        <v>0</v>
      </c>
      <c r="AD1574" s="133">
        <f t="shared" si="628"/>
        <v>0</v>
      </c>
      <c r="AE1574" s="131">
        <f t="shared" si="629"/>
        <v>0</v>
      </c>
      <c r="AF1574" s="133">
        <f t="shared" si="630"/>
        <v>0</v>
      </c>
      <c r="AG1574" s="1"/>
    </row>
    <row r="1575" ht="21.0" customHeight="1">
      <c r="A1575" s="1"/>
      <c r="B1575" s="48" t="s">
        <v>46</v>
      </c>
      <c r="C1575" s="49"/>
      <c r="D1575" s="91">
        <f t="array" ref="D1575">iferror(vlookup(xlookup(B1565,'현황'!O:O,'현황'!O:O,,-1,-1),'현황'!O:S,3,false),0)</f>
        <v>0</v>
      </c>
      <c r="E1575" s="66"/>
      <c r="F1575" s="52" t="s">
        <v>37</v>
      </c>
      <c r="G1575" s="67"/>
      <c r="H1575" s="80"/>
      <c r="I1575" s="69"/>
      <c r="J1575" s="72"/>
      <c r="K1575" s="73"/>
      <c r="L1575" s="72"/>
      <c r="M1575" s="73"/>
      <c r="N1575" s="72"/>
      <c r="O1575" s="73"/>
      <c r="P1575" s="72"/>
      <c r="Q1575" s="73"/>
      <c r="R1575" s="72"/>
      <c r="S1575" s="73"/>
      <c r="T1575" s="72"/>
      <c r="U1575" s="73"/>
      <c r="V1575" s="72"/>
      <c r="W1575" s="73"/>
      <c r="X1575" s="72"/>
      <c r="Y1575" s="73"/>
      <c r="Z1575" s="74" t="b">
        <v>0</v>
      </c>
      <c r="AA1575" s="130">
        <f t="shared" si="625"/>
        <v>0</v>
      </c>
      <c r="AB1575" s="131">
        <f t="shared" si="626"/>
        <v>0</v>
      </c>
      <c r="AC1575" s="132">
        <f t="shared" si="627"/>
        <v>0</v>
      </c>
      <c r="AD1575" s="133">
        <f t="shared" si="628"/>
        <v>0</v>
      </c>
      <c r="AE1575" s="131">
        <f t="shared" si="629"/>
        <v>0</v>
      </c>
      <c r="AF1575" s="133">
        <f t="shared" si="630"/>
        <v>0</v>
      </c>
      <c r="AG1575" s="1"/>
    </row>
    <row r="1576" ht="21.0" customHeight="1">
      <c r="A1576" s="1"/>
      <c r="B1576" s="48" t="s">
        <v>47</v>
      </c>
      <c r="C1576" s="49"/>
      <c r="D1576" s="91">
        <f t="array" ref="D1576">iferror(vlookup(xlookup(B1565,'현황'!O:O,'현황'!O:O,,-1,-1),'현황'!O:S,4,false),0)</f>
        <v>0</v>
      </c>
      <c r="E1576" s="41"/>
      <c r="F1576" s="92" t="s">
        <v>40</v>
      </c>
      <c r="G1576" s="79"/>
      <c r="H1576" s="93"/>
      <c r="I1576" s="94"/>
      <c r="J1576" s="95"/>
      <c r="K1576" s="96"/>
      <c r="L1576" s="95"/>
      <c r="M1576" s="96"/>
      <c r="N1576" s="95"/>
      <c r="O1576" s="96"/>
      <c r="P1576" s="95"/>
      <c r="Q1576" s="96"/>
      <c r="R1576" s="95"/>
      <c r="S1576" s="96"/>
      <c r="T1576" s="95"/>
      <c r="U1576" s="96"/>
      <c r="V1576" s="95"/>
      <c r="W1576" s="96"/>
      <c r="X1576" s="95"/>
      <c r="Y1576" s="96"/>
      <c r="Z1576" s="97" t="b">
        <v>0</v>
      </c>
      <c r="AA1576" s="135">
        <f t="shared" si="625"/>
        <v>0</v>
      </c>
      <c r="AB1576" s="136">
        <f t="shared" si="626"/>
        <v>0</v>
      </c>
      <c r="AC1576" s="137">
        <f t="shared" si="627"/>
        <v>0</v>
      </c>
      <c r="AD1576" s="138">
        <f t="shared" si="628"/>
        <v>0</v>
      </c>
      <c r="AE1576" s="136">
        <f t="shared" si="629"/>
        <v>0</v>
      </c>
      <c r="AF1576" s="138">
        <f t="shared" si="630"/>
        <v>0</v>
      </c>
      <c r="AG1576" s="1"/>
    </row>
    <row r="1577" ht="21.0" customHeight="1">
      <c r="A1577" s="1"/>
      <c r="B1577" s="102" t="s">
        <v>48</v>
      </c>
      <c r="C1577" s="103"/>
      <c r="D1577" s="104">
        <f>iferror(D1576/D1574,0)</f>
        <v>0</v>
      </c>
      <c r="E1577" s="102" t="s">
        <v>49</v>
      </c>
      <c r="F1577" s="103"/>
      <c r="G1577" s="105"/>
      <c r="H1577" s="106" t="s">
        <v>50</v>
      </c>
      <c r="I1577" s="107"/>
      <c r="J1577" s="11"/>
      <c r="K1577" s="11"/>
      <c r="L1577" s="11"/>
      <c r="M1577" s="11"/>
      <c r="N1577" s="11"/>
      <c r="O1577" s="11"/>
      <c r="P1577" s="108" t="s">
        <v>51</v>
      </c>
      <c r="Q1577" s="12"/>
      <c r="R1577" s="109"/>
      <c r="S1577" s="11"/>
      <c r="T1577" s="11"/>
      <c r="U1577" s="11"/>
      <c r="V1577" s="11"/>
      <c r="W1577" s="11"/>
      <c r="X1577" s="11"/>
      <c r="Y1577" s="11"/>
      <c r="Z1577" s="12"/>
      <c r="AA1577" s="139">
        <f>SUM(AA1568:AA1576)</f>
        <v>0</v>
      </c>
      <c r="AB1577" s="140" t="s">
        <v>307</v>
      </c>
      <c r="AG1577" s="1"/>
    </row>
    <row r="1578" ht="21.0" customHeight="1">
      <c r="A1578" s="1"/>
      <c r="B1578" s="1"/>
      <c r="C1578" s="1"/>
      <c r="D1578" s="1"/>
      <c r="E1578" s="1"/>
      <c r="F1578" s="1"/>
      <c r="G1578" s="1"/>
      <c r="H1578" s="1"/>
      <c r="I1578" s="1"/>
      <c r="AA1578" s="1"/>
      <c r="AB1578" s="1"/>
      <c r="AC1578" s="3"/>
      <c r="AD1578" s="1"/>
      <c r="AE1578" s="1"/>
      <c r="AF1578" s="1"/>
      <c r="AG1578" s="1"/>
    </row>
    <row r="1579" ht="21.0" customHeight="1">
      <c r="A1579" s="1"/>
      <c r="B1579" s="4" t="s">
        <v>1</v>
      </c>
      <c r="C1579" s="5"/>
      <c r="D1579" s="6" t="s">
        <v>2</v>
      </c>
      <c r="E1579" s="7"/>
      <c r="F1579" s="7"/>
      <c r="G1579" s="5"/>
      <c r="H1579" s="8" t="s">
        <v>3</v>
      </c>
      <c r="I1579" s="8" t="s">
        <v>4</v>
      </c>
      <c r="J1579" s="9" t="s">
        <v>5</v>
      </c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5"/>
      <c r="AA1579" s="117" t="s">
        <v>6</v>
      </c>
      <c r="AB1579" s="11"/>
      <c r="AC1579" s="11"/>
      <c r="AD1579" s="11"/>
      <c r="AE1579" s="11"/>
      <c r="AF1579" s="12"/>
      <c r="AG1579" s="1"/>
    </row>
    <row r="1580" ht="21.0" customHeight="1">
      <c r="A1580" s="1"/>
      <c r="B1580" s="149" t="s">
        <v>138</v>
      </c>
      <c r="C1580" s="14" t="str">
        <f>if(B1580="0/0","",choose(weekday(B1580),"(일)","(월)","(화)","(수)","(목)","(금)","(토)"))</f>
        <v/>
      </c>
      <c r="D1580" s="15" t="s">
        <v>7</v>
      </c>
      <c r="E1580" s="16" t="s">
        <v>8</v>
      </c>
      <c r="F1580" s="17"/>
      <c r="G1580" s="18" t="s">
        <v>9</v>
      </c>
      <c r="H1580" s="150" t="s">
        <v>139</v>
      </c>
      <c r="I1580" s="151"/>
      <c r="J1580" s="21" t="s">
        <v>12</v>
      </c>
      <c r="K1580" s="22"/>
      <c r="L1580" s="21" t="s">
        <v>13</v>
      </c>
      <c r="M1580" s="22"/>
      <c r="N1580" s="21" t="s">
        <v>14</v>
      </c>
      <c r="O1580" s="22"/>
      <c r="P1580" s="21" t="s">
        <v>15</v>
      </c>
      <c r="Q1580" s="22"/>
      <c r="R1580" s="23" t="s">
        <v>16</v>
      </c>
      <c r="S1580" s="22"/>
      <c r="T1580" s="23" t="s">
        <v>17</v>
      </c>
      <c r="U1580" s="22"/>
      <c r="V1580" s="23" t="s">
        <v>18</v>
      </c>
      <c r="W1580" s="22"/>
      <c r="X1580" s="23" t="s">
        <v>19</v>
      </c>
      <c r="Y1580" s="22"/>
      <c r="Z1580" s="24" t="s">
        <v>308</v>
      </c>
      <c r="AA1580" s="118" t="s">
        <v>21</v>
      </c>
      <c r="AB1580" s="119" t="s">
        <v>22</v>
      </c>
      <c r="AC1580" s="7"/>
      <c r="AD1580" s="22"/>
      <c r="AE1580" s="120" t="s">
        <v>23</v>
      </c>
      <c r="AF1580" s="22"/>
      <c r="AG1580" s="1"/>
    </row>
    <row r="1581" ht="21.0" customHeight="1">
      <c r="A1581" s="1"/>
      <c r="B1581" s="27">
        <f>iferror(B1580-'현황'!$C$4+1,0)</f>
        <v>0</v>
      </c>
      <c r="C1581" s="28"/>
      <c r="D1581" s="29">
        <v>0.0</v>
      </c>
      <c r="E1581" s="30">
        <v>0.0</v>
      </c>
      <c r="F1581" s="31"/>
      <c r="G1581" s="32">
        <v>0.0</v>
      </c>
      <c r="H1581" s="33">
        <v>0.0</v>
      </c>
      <c r="I1581" s="34"/>
      <c r="J1581" s="35"/>
      <c r="K1581" s="36"/>
      <c r="L1581" s="35"/>
      <c r="M1581" s="36"/>
      <c r="N1581" s="35"/>
      <c r="O1581" s="36"/>
      <c r="P1581" s="35"/>
      <c r="Q1581" s="36"/>
      <c r="R1581" s="35"/>
      <c r="S1581" s="36"/>
      <c r="T1581" s="35"/>
      <c r="U1581" s="36"/>
      <c r="V1581" s="35"/>
      <c r="W1581" s="36"/>
      <c r="X1581" s="35"/>
      <c r="Y1581" s="36"/>
      <c r="Z1581" s="37"/>
      <c r="AA1581" s="37"/>
      <c r="AB1581" s="35"/>
      <c r="AC1581" s="38"/>
      <c r="AD1581" s="36"/>
      <c r="AE1581" s="35"/>
      <c r="AF1581" s="36"/>
      <c r="AG1581" s="1"/>
    </row>
    <row r="1582" ht="21.0" customHeight="1">
      <c r="A1582" s="1"/>
      <c r="B1582" s="39" t="s">
        <v>24</v>
      </c>
      <c r="C1582" s="40"/>
      <c r="D1582" s="41"/>
      <c r="E1582" s="42" t="s">
        <v>25</v>
      </c>
      <c r="F1582" s="40"/>
      <c r="G1582" s="41"/>
      <c r="H1582" s="43" t="s">
        <v>26</v>
      </c>
      <c r="J1582" s="44" t="s">
        <v>27</v>
      </c>
      <c r="K1582" s="45" t="s">
        <v>28</v>
      </c>
      <c r="L1582" s="44" t="s">
        <v>27</v>
      </c>
      <c r="M1582" s="45" t="s">
        <v>28</v>
      </c>
      <c r="N1582" s="44" t="s">
        <v>27</v>
      </c>
      <c r="O1582" s="45" t="s">
        <v>28</v>
      </c>
      <c r="P1582" s="44" t="s">
        <v>27</v>
      </c>
      <c r="Q1582" s="45" t="s">
        <v>28</v>
      </c>
      <c r="R1582" s="44" t="s">
        <v>27</v>
      </c>
      <c r="S1582" s="45" t="s">
        <v>28</v>
      </c>
      <c r="T1582" s="44" t="s">
        <v>27</v>
      </c>
      <c r="U1582" s="45" t="s">
        <v>28</v>
      </c>
      <c r="V1582" s="44" t="s">
        <v>27</v>
      </c>
      <c r="W1582" s="45" t="s">
        <v>28</v>
      </c>
      <c r="X1582" s="44" t="s">
        <v>27</v>
      </c>
      <c r="Y1582" s="45" t="s">
        <v>28</v>
      </c>
      <c r="Z1582" s="46"/>
      <c r="AA1582" s="46"/>
      <c r="AB1582" s="121" t="s">
        <v>29</v>
      </c>
      <c r="AC1582" s="122" t="s">
        <v>30</v>
      </c>
      <c r="AD1582" s="123" t="s">
        <v>31</v>
      </c>
      <c r="AE1582" s="121" t="s">
        <v>27</v>
      </c>
      <c r="AF1582" s="123" t="s">
        <v>28</v>
      </c>
      <c r="AG1582" s="1"/>
    </row>
    <row r="1583" ht="21.0" customHeight="1">
      <c r="A1583" s="1"/>
      <c r="B1583" s="48" t="s">
        <v>32</v>
      </c>
      <c r="C1583" s="49"/>
      <c r="D1583" s="50"/>
      <c r="E1583" s="51" t="s">
        <v>33</v>
      </c>
      <c r="F1583" s="52" t="s">
        <v>34</v>
      </c>
      <c r="G1583" s="53"/>
      <c r="H1583" s="148"/>
      <c r="I1583" s="55"/>
      <c r="J1583" s="58"/>
      <c r="K1583" s="59"/>
      <c r="L1583" s="58"/>
      <c r="M1583" s="59"/>
      <c r="N1583" s="58"/>
      <c r="O1583" s="59"/>
      <c r="P1583" s="58"/>
      <c r="Q1583" s="59"/>
      <c r="R1583" s="58"/>
      <c r="S1583" s="59"/>
      <c r="T1583" s="58"/>
      <c r="U1583" s="59"/>
      <c r="V1583" s="58"/>
      <c r="W1583" s="59"/>
      <c r="X1583" s="58"/>
      <c r="Y1583" s="59"/>
      <c r="Z1583" s="60" t="b">
        <v>0</v>
      </c>
      <c r="AA1583" s="125">
        <f t="shared" ref="AA1583:AA1591" si="631">(J1583*K1583+L1583*M1583+N1583*O1583+P1583*Q1583+R1583*S1583+T1583*U1583+V1583*W1583+X1583*Y1583)*if(Z1583=true,0.453592,1)</f>
        <v>0</v>
      </c>
      <c r="AB1583" s="126">
        <f t="shared" ref="AB1583:AB1591" si="632">SUM(AE1583*AF1583*0.025,AE1583)</f>
        <v>0</v>
      </c>
      <c r="AC1583" s="127">
        <f t="shared" ref="AC1583:AC1591" si="633">AB1583*87%</f>
        <v>0</v>
      </c>
      <c r="AD1583" s="128">
        <f t="shared" ref="AD1583:AD1591" si="634">AB1583*67%</f>
        <v>0</v>
      </c>
      <c r="AE1583" s="126">
        <f t="shared" ref="AE1583:AE1591" si="635">MAX(J1583,L1583,N1583,P1583,R1583,T1583,V1583,X1583)*if(Z1583=true,0.453592,1)</f>
        <v>0</v>
      </c>
      <c r="AF1583" s="128">
        <f t="shared" ref="AF1583:AF1591" si="636">MAX(IF(J1583*if(Z1583=true,0.453592,1)=$AE1583,K1583,0),IF(L1583*if(Z1583=true,0.453592,1)=$AE1583,M1583,0),IF(N1583*if(Z1583=true,0.453592,1)=$AE1583,O1583,0),IF(P1583*if(Z1583=true,0.453592,1)=$AE1583,Q1583,0),IF(R1583*if(Z1583=true,0.453592,1)=$AE1583,S1583,0),IF(T1583*if(Z1583=true,0.453592,1)=$AE1583,U1583,0),IF(V1583*if(Z1583=true,0.453592,1)=$AE1583,W1583,0),IF(X1583*if(Z1583=true,0.453592,1)=$AE1583,Y1583,0))</f>
        <v>0</v>
      </c>
      <c r="AG1583" s="1"/>
    </row>
    <row r="1584" ht="21.0" customHeight="1">
      <c r="A1584" s="1"/>
      <c r="B1584" s="48" t="s">
        <v>36</v>
      </c>
      <c r="C1584" s="49"/>
      <c r="D1584" s="65"/>
      <c r="E1584" s="66"/>
      <c r="F1584" s="52" t="s">
        <v>37</v>
      </c>
      <c r="G1584" s="67"/>
      <c r="H1584" s="129"/>
      <c r="I1584" s="69"/>
      <c r="J1584" s="72"/>
      <c r="K1584" s="73"/>
      <c r="L1584" s="72"/>
      <c r="M1584" s="73"/>
      <c r="N1584" s="72"/>
      <c r="O1584" s="73"/>
      <c r="P1584" s="72"/>
      <c r="Q1584" s="73"/>
      <c r="R1584" s="72"/>
      <c r="S1584" s="73"/>
      <c r="T1584" s="72"/>
      <c r="U1584" s="73"/>
      <c r="V1584" s="72"/>
      <c r="W1584" s="73"/>
      <c r="X1584" s="72"/>
      <c r="Y1584" s="73"/>
      <c r="Z1584" s="74" t="b">
        <v>0</v>
      </c>
      <c r="AA1584" s="130">
        <f t="shared" si="631"/>
        <v>0</v>
      </c>
      <c r="AB1584" s="131">
        <f t="shared" si="632"/>
        <v>0</v>
      </c>
      <c r="AC1584" s="132">
        <f t="shared" si="633"/>
        <v>0</v>
      </c>
      <c r="AD1584" s="133">
        <f t="shared" si="634"/>
        <v>0</v>
      </c>
      <c r="AE1584" s="131">
        <f t="shared" si="635"/>
        <v>0</v>
      </c>
      <c r="AF1584" s="133">
        <f t="shared" si="636"/>
        <v>0</v>
      </c>
      <c r="AG1584" s="1"/>
    </row>
    <row r="1585" ht="21.0" customHeight="1">
      <c r="A1585" s="1"/>
      <c r="B1585" s="48" t="s">
        <v>39</v>
      </c>
      <c r="C1585" s="49"/>
      <c r="D1585" s="65"/>
      <c r="E1585" s="41"/>
      <c r="F1585" s="52" t="s">
        <v>40</v>
      </c>
      <c r="G1585" s="79"/>
      <c r="H1585" s="80"/>
      <c r="I1585" s="69"/>
      <c r="J1585" s="72"/>
      <c r="K1585" s="73"/>
      <c r="L1585" s="72"/>
      <c r="M1585" s="73"/>
      <c r="N1585" s="72"/>
      <c r="O1585" s="73"/>
      <c r="P1585" s="72"/>
      <c r="Q1585" s="73"/>
      <c r="R1585" s="72"/>
      <c r="S1585" s="73"/>
      <c r="T1585" s="72"/>
      <c r="U1585" s="73"/>
      <c r="V1585" s="72"/>
      <c r="W1585" s="73"/>
      <c r="X1585" s="72"/>
      <c r="Y1585" s="73"/>
      <c r="Z1585" s="74" t="b">
        <v>0</v>
      </c>
      <c r="AA1585" s="130">
        <f t="shared" si="631"/>
        <v>0</v>
      </c>
      <c r="AB1585" s="131">
        <f t="shared" si="632"/>
        <v>0</v>
      </c>
      <c r="AC1585" s="132">
        <f t="shared" si="633"/>
        <v>0</v>
      </c>
      <c r="AD1585" s="133">
        <f t="shared" si="634"/>
        <v>0</v>
      </c>
      <c r="AE1585" s="131">
        <f t="shared" si="635"/>
        <v>0</v>
      </c>
      <c r="AF1585" s="133">
        <f t="shared" si="636"/>
        <v>0</v>
      </c>
      <c r="AG1585" s="1"/>
    </row>
    <row r="1586" ht="21.0" customHeight="1">
      <c r="A1586" s="1"/>
      <c r="B1586" s="48" t="s">
        <v>41</v>
      </c>
      <c r="C1586" s="81"/>
      <c r="D1586" s="82" t="b">
        <v>0</v>
      </c>
      <c r="E1586" s="51" t="s">
        <v>42</v>
      </c>
      <c r="F1586" s="52" t="s">
        <v>34</v>
      </c>
      <c r="G1586" s="83"/>
      <c r="H1586" s="84"/>
      <c r="I1586" s="85"/>
      <c r="J1586" s="72"/>
      <c r="K1586" s="73"/>
      <c r="L1586" s="72"/>
      <c r="M1586" s="73"/>
      <c r="N1586" s="72"/>
      <c r="O1586" s="73"/>
      <c r="P1586" s="72"/>
      <c r="Q1586" s="73"/>
      <c r="R1586" s="72"/>
      <c r="S1586" s="73"/>
      <c r="T1586" s="72"/>
      <c r="U1586" s="73"/>
      <c r="V1586" s="72"/>
      <c r="W1586" s="73"/>
      <c r="X1586" s="72"/>
      <c r="Y1586" s="73"/>
      <c r="Z1586" s="74" t="b">
        <v>0</v>
      </c>
      <c r="AA1586" s="130">
        <f t="shared" si="631"/>
        <v>0</v>
      </c>
      <c r="AB1586" s="131">
        <f t="shared" si="632"/>
        <v>0</v>
      </c>
      <c r="AC1586" s="132">
        <f t="shared" si="633"/>
        <v>0</v>
      </c>
      <c r="AD1586" s="133">
        <f t="shared" si="634"/>
        <v>0</v>
      </c>
      <c r="AE1586" s="131">
        <f t="shared" si="635"/>
        <v>0</v>
      </c>
      <c r="AF1586" s="133">
        <f t="shared" si="636"/>
        <v>0</v>
      </c>
      <c r="AG1586" s="1"/>
    </row>
    <row r="1587" ht="21.0" customHeight="1">
      <c r="A1587" s="1"/>
      <c r="B1587" s="48" t="s">
        <v>43</v>
      </c>
      <c r="C1587" s="49"/>
      <c r="D1587" s="86" t="b">
        <v>0</v>
      </c>
      <c r="E1587" s="66"/>
      <c r="F1587" s="52" t="s">
        <v>37</v>
      </c>
      <c r="G1587" s="67"/>
      <c r="H1587" s="80"/>
      <c r="I1587" s="69"/>
      <c r="J1587" s="72"/>
      <c r="K1587" s="73"/>
      <c r="L1587" s="72"/>
      <c r="M1587" s="73"/>
      <c r="N1587" s="72"/>
      <c r="O1587" s="73"/>
      <c r="P1587" s="72"/>
      <c r="Q1587" s="73"/>
      <c r="R1587" s="72"/>
      <c r="S1587" s="73"/>
      <c r="T1587" s="72"/>
      <c r="U1587" s="73"/>
      <c r="V1587" s="72"/>
      <c r="W1587" s="73"/>
      <c r="X1587" s="72"/>
      <c r="Y1587" s="73"/>
      <c r="Z1587" s="74" t="b">
        <v>0</v>
      </c>
      <c r="AA1587" s="130">
        <f t="shared" si="631"/>
        <v>0</v>
      </c>
      <c r="AB1587" s="131">
        <f t="shared" si="632"/>
        <v>0</v>
      </c>
      <c r="AC1587" s="132">
        <f t="shared" si="633"/>
        <v>0</v>
      </c>
      <c r="AD1587" s="133">
        <f t="shared" si="634"/>
        <v>0</v>
      </c>
      <c r="AE1587" s="131">
        <f t="shared" si="635"/>
        <v>0</v>
      </c>
      <c r="AF1587" s="133">
        <f t="shared" si="636"/>
        <v>0</v>
      </c>
      <c r="AG1587" s="1"/>
    </row>
    <row r="1588" ht="21.0" customHeight="1">
      <c r="A1588" s="1"/>
      <c r="B1588" s="87" t="str">
        <f t="array" ref="B1588">"📌최근 인바디 결과 : "&amp;text(xlookup(B1580,'현황'!O:O,'현황'!O:O,,-1,-1),"m/d(ddd)")</f>
        <v>#REF!</v>
      </c>
      <c r="C1588" s="88"/>
      <c r="D1588" s="49"/>
      <c r="E1588" s="41"/>
      <c r="F1588" s="52" t="s">
        <v>40</v>
      </c>
      <c r="G1588" s="79"/>
      <c r="H1588" s="80"/>
      <c r="I1588" s="69"/>
      <c r="J1588" s="72"/>
      <c r="K1588" s="73"/>
      <c r="L1588" s="72"/>
      <c r="M1588" s="73"/>
      <c r="N1588" s="72"/>
      <c r="O1588" s="73"/>
      <c r="P1588" s="72"/>
      <c r="Q1588" s="73"/>
      <c r="R1588" s="72"/>
      <c r="S1588" s="73"/>
      <c r="T1588" s="72"/>
      <c r="U1588" s="73"/>
      <c r="V1588" s="72"/>
      <c r="W1588" s="73"/>
      <c r="X1588" s="72"/>
      <c r="Y1588" s="73"/>
      <c r="Z1588" s="74" t="b">
        <v>0</v>
      </c>
      <c r="AA1588" s="130">
        <f t="shared" si="631"/>
        <v>0</v>
      </c>
      <c r="AB1588" s="131">
        <f t="shared" si="632"/>
        <v>0</v>
      </c>
      <c r="AC1588" s="132">
        <f t="shared" si="633"/>
        <v>0</v>
      </c>
      <c r="AD1588" s="133">
        <f t="shared" si="634"/>
        <v>0</v>
      </c>
      <c r="AE1588" s="131">
        <f t="shared" si="635"/>
        <v>0</v>
      </c>
      <c r="AF1588" s="133">
        <f t="shared" si="636"/>
        <v>0</v>
      </c>
      <c r="AG1588" s="1"/>
    </row>
    <row r="1589" ht="21.0" customHeight="1">
      <c r="A1589" s="1"/>
      <c r="B1589" s="89" t="s">
        <v>44</v>
      </c>
      <c r="C1589" s="49"/>
      <c r="D1589" s="90">
        <f t="array" ref="D1589">iferror(vlookup(xlookup(B1580,'현황'!O:O,'현황'!O:O,,-1,-1),'현황'!O:S,2,false),0)</f>
        <v>0</v>
      </c>
      <c r="E1589" s="51" t="s">
        <v>45</v>
      </c>
      <c r="F1589" s="52" t="s">
        <v>34</v>
      </c>
      <c r="G1589" s="83"/>
      <c r="H1589" s="84"/>
      <c r="I1589" s="85"/>
      <c r="J1589" s="72"/>
      <c r="K1589" s="73"/>
      <c r="L1589" s="72"/>
      <c r="M1589" s="73"/>
      <c r="N1589" s="72"/>
      <c r="O1589" s="73"/>
      <c r="P1589" s="72"/>
      <c r="Q1589" s="73"/>
      <c r="R1589" s="72"/>
      <c r="S1589" s="73"/>
      <c r="T1589" s="72"/>
      <c r="U1589" s="73"/>
      <c r="V1589" s="72"/>
      <c r="W1589" s="73"/>
      <c r="X1589" s="72"/>
      <c r="Y1589" s="73"/>
      <c r="Z1589" s="74" t="b">
        <v>0</v>
      </c>
      <c r="AA1589" s="130">
        <f t="shared" si="631"/>
        <v>0</v>
      </c>
      <c r="AB1589" s="131">
        <f t="shared" si="632"/>
        <v>0</v>
      </c>
      <c r="AC1589" s="132">
        <f t="shared" si="633"/>
        <v>0</v>
      </c>
      <c r="AD1589" s="133">
        <f t="shared" si="634"/>
        <v>0</v>
      </c>
      <c r="AE1589" s="131">
        <f t="shared" si="635"/>
        <v>0</v>
      </c>
      <c r="AF1589" s="133">
        <f t="shared" si="636"/>
        <v>0</v>
      </c>
      <c r="AG1589" s="1"/>
    </row>
    <row r="1590" ht="21.0" customHeight="1">
      <c r="A1590" s="1"/>
      <c r="B1590" s="48" t="s">
        <v>46</v>
      </c>
      <c r="C1590" s="49"/>
      <c r="D1590" s="91">
        <f t="array" ref="D1590">iferror(vlookup(xlookup(B1580,'현황'!O:O,'현황'!O:O,,-1,-1),'현황'!O:S,3,false),0)</f>
        <v>0</v>
      </c>
      <c r="E1590" s="66"/>
      <c r="F1590" s="52" t="s">
        <v>37</v>
      </c>
      <c r="G1590" s="67"/>
      <c r="H1590" s="80"/>
      <c r="I1590" s="69"/>
      <c r="J1590" s="72"/>
      <c r="K1590" s="73"/>
      <c r="L1590" s="72"/>
      <c r="M1590" s="73"/>
      <c r="N1590" s="72"/>
      <c r="O1590" s="73"/>
      <c r="P1590" s="72"/>
      <c r="Q1590" s="73"/>
      <c r="R1590" s="72"/>
      <c r="S1590" s="73"/>
      <c r="T1590" s="72"/>
      <c r="U1590" s="73"/>
      <c r="V1590" s="72"/>
      <c r="W1590" s="73"/>
      <c r="X1590" s="72"/>
      <c r="Y1590" s="73"/>
      <c r="Z1590" s="74" t="b">
        <v>0</v>
      </c>
      <c r="AA1590" s="130">
        <f t="shared" si="631"/>
        <v>0</v>
      </c>
      <c r="AB1590" s="131">
        <f t="shared" si="632"/>
        <v>0</v>
      </c>
      <c r="AC1590" s="132">
        <f t="shared" si="633"/>
        <v>0</v>
      </c>
      <c r="AD1590" s="133">
        <f t="shared" si="634"/>
        <v>0</v>
      </c>
      <c r="AE1590" s="131">
        <f t="shared" si="635"/>
        <v>0</v>
      </c>
      <c r="AF1590" s="133">
        <f t="shared" si="636"/>
        <v>0</v>
      </c>
      <c r="AG1590" s="1"/>
    </row>
    <row r="1591" ht="21.0" customHeight="1">
      <c r="A1591" s="1"/>
      <c r="B1591" s="48" t="s">
        <v>47</v>
      </c>
      <c r="C1591" s="49"/>
      <c r="D1591" s="91">
        <f t="array" ref="D1591">iferror(vlookup(xlookup(B1580,'현황'!O:O,'현황'!O:O,,-1,-1),'현황'!O:S,4,false),0)</f>
        <v>0</v>
      </c>
      <c r="E1591" s="41"/>
      <c r="F1591" s="92" t="s">
        <v>40</v>
      </c>
      <c r="G1591" s="79"/>
      <c r="H1591" s="93"/>
      <c r="I1591" s="94"/>
      <c r="J1591" s="95"/>
      <c r="K1591" s="96"/>
      <c r="L1591" s="95"/>
      <c r="M1591" s="96"/>
      <c r="N1591" s="95"/>
      <c r="O1591" s="96"/>
      <c r="P1591" s="95"/>
      <c r="Q1591" s="96"/>
      <c r="R1591" s="95"/>
      <c r="S1591" s="96"/>
      <c r="T1591" s="95"/>
      <c r="U1591" s="96"/>
      <c r="V1591" s="95"/>
      <c r="W1591" s="96"/>
      <c r="X1591" s="95"/>
      <c r="Y1591" s="96"/>
      <c r="Z1591" s="97" t="b">
        <v>0</v>
      </c>
      <c r="AA1591" s="135">
        <f t="shared" si="631"/>
        <v>0</v>
      </c>
      <c r="AB1591" s="136">
        <f t="shared" si="632"/>
        <v>0</v>
      </c>
      <c r="AC1591" s="137">
        <f t="shared" si="633"/>
        <v>0</v>
      </c>
      <c r="AD1591" s="138">
        <f t="shared" si="634"/>
        <v>0</v>
      </c>
      <c r="AE1591" s="136">
        <f t="shared" si="635"/>
        <v>0</v>
      </c>
      <c r="AF1591" s="138">
        <f t="shared" si="636"/>
        <v>0</v>
      </c>
      <c r="AG1591" s="1"/>
    </row>
    <row r="1592" ht="21.0" customHeight="1">
      <c r="A1592" s="1"/>
      <c r="B1592" s="102" t="s">
        <v>48</v>
      </c>
      <c r="C1592" s="103"/>
      <c r="D1592" s="104">
        <f>iferror(D1591/D1589,0)</f>
        <v>0</v>
      </c>
      <c r="E1592" s="102" t="s">
        <v>49</v>
      </c>
      <c r="F1592" s="103"/>
      <c r="G1592" s="105"/>
      <c r="H1592" s="106" t="s">
        <v>50</v>
      </c>
      <c r="I1592" s="107"/>
      <c r="J1592" s="11"/>
      <c r="K1592" s="11"/>
      <c r="L1592" s="11"/>
      <c r="M1592" s="11"/>
      <c r="N1592" s="11"/>
      <c r="O1592" s="11"/>
      <c r="P1592" s="108" t="s">
        <v>51</v>
      </c>
      <c r="Q1592" s="12"/>
      <c r="R1592" s="109"/>
      <c r="S1592" s="11"/>
      <c r="T1592" s="11"/>
      <c r="U1592" s="11"/>
      <c r="V1592" s="11"/>
      <c r="W1592" s="11"/>
      <c r="X1592" s="11"/>
      <c r="Y1592" s="11"/>
      <c r="Z1592" s="12"/>
      <c r="AA1592" s="139">
        <f>SUM(AA1583:AA1591)</f>
        <v>0</v>
      </c>
      <c r="AB1592" s="140" t="s">
        <v>309</v>
      </c>
      <c r="AG1592" s="1"/>
    </row>
    <row r="1593" ht="21.0" customHeight="1">
      <c r="A1593" s="1"/>
      <c r="B1593" s="1"/>
      <c r="C1593" s="1"/>
      <c r="D1593" s="1"/>
      <c r="E1593" s="1"/>
      <c r="F1593" s="1"/>
      <c r="G1593" s="1"/>
      <c r="H1593" s="1"/>
      <c r="I1593" s="1"/>
      <c r="AA1593" s="1"/>
      <c r="AB1593" s="1"/>
      <c r="AC1593" s="3"/>
      <c r="AD1593" s="1"/>
      <c r="AE1593" s="1"/>
      <c r="AF1593" s="1"/>
      <c r="AG1593" s="1"/>
    </row>
    <row r="1594" ht="21.0" customHeight="1">
      <c r="A1594" s="1"/>
      <c r="B1594" s="4" t="s">
        <v>1</v>
      </c>
      <c r="C1594" s="5"/>
      <c r="D1594" s="6" t="s">
        <v>2</v>
      </c>
      <c r="E1594" s="7"/>
      <c r="F1594" s="7"/>
      <c r="G1594" s="5"/>
      <c r="H1594" s="8" t="s">
        <v>3</v>
      </c>
      <c r="I1594" s="8" t="s">
        <v>4</v>
      </c>
      <c r="J1594" s="9" t="s">
        <v>5</v>
      </c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5"/>
      <c r="AA1594" s="117" t="s">
        <v>6</v>
      </c>
      <c r="AB1594" s="11"/>
      <c r="AC1594" s="11"/>
      <c r="AD1594" s="11"/>
      <c r="AE1594" s="11"/>
      <c r="AF1594" s="12"/>
      <c r="AG1594" s="1"/>
    </row>
    <row r="1595" ht="21.0" customHeight="1">
      <c r="A1595" s="1"/>
      <c r="B1595" s="149" t="s">
        <v>138</v>
      </c>
      <c r="C1595" s="14" t="str">
        <f>if(B1595="0/0","",choose(weekday(B1595),"(일)","(월)","(화)","(수)","(목)","(금)","(토)"))</f>
        <v/>
      </c>
      <c r="D1595" s="15" t="s">
        <v>7</v>
      </c>
      <c r="E1595" s="16" t="s">
        <v>8</v>
      </c>
      <c r="F1595" s="17"/>
      <c r="G1595" s="18" t="s">
        <v>9</v>
      </c>
      <c r="H1595" s="150" t="s">
        <v>139</v>
      </c>
      <c r="I1595" s="151"/>
      <c r="J1595" s="21" t="s">
        <v>12</v>
      </c>
      <c r="K1595" s="22"/>
      <c r="L1595" s="21" t="s">
        <v>13</v>
      </c>
      <c r="M1595" s="22"/>
      <c r="N1595" s="21" t="s">
        <v>14</v>
      </c>
      <c r="O1595" s="22"/>
      <c r="P1595" s="21" t="s">
        <v>15</v>
      </c>
      <c r="Q1595" s="22"/>
      <c r="R1595" s="23" t="s">
        <v>16</v>
      </c>
      <c r="S1595" s="22"/>
      <c r="T1595" s="23" t="s">
        <v>17</v>
      </c>
      <c r="U1595" s="22"/>
      <c r="V1595" s="23" t="s">
        <v>18</v>
      </c>
      <c r="W1595" s="22"/>
      <c r="X1595" s="23" t="s">
        <v>19</v>
      </c>
      <c r="Y1595" s="22"/>
      <c r="Z1595" s="24" t="s">
        <v>310</v>
      </c>
      <c r="AA1595" s="118" t="s">
        <v>21</v>
      </c>
      <c r="AB1595" s="119" t="s">
        <v>22</v>
      </c>
      <c r="AC1595" s="7"/>
      <c r="AD1595" s="22"/>
      <c r="AE1595" s="120" t="s">
        <v>23</v>
      </c>
      <c r="AF1595" s="22"/>
      <c r="AG1595" s="1"/>
    </row>
    <row r="1596" ht="21.0" customHeight="1">
      <c r="A1596" s="1"/>
      <c r="B1596" s="27">
        <f>iferror(B1595-'현황'!$C$4+1,0)</f>
        <v>0</v>
      </c>
      <c r="C1596" s="28"/>
      <c r="D1596" s="29">
        <v>0.0</v>
      </c>
      <c r="E1596" s="30">
        <v>0.0</v>
      </c>
      <c r="F1596" s="31"/>
      <c r="G1596" s="32">
        <v>0.0</v>
      </c>
      <c r="H1596" s="33">
        <v>0.0</v>
      </c>
      <c r="I1596" s="34"/>
      <c r="J1596" s="35"/>
      <c r="K1596" s="36"/>
      <c r="L1596" s="35"/>
      <c r="M1596" s="36"/>
      <c r="N1596" s="35"/>
      <c r="O1596" s="36"/>
      <c r="P1596" s="35"/>
      <c r="Q1596" s="36"/>
      <c r="R1596" s="35"/>
      <c r="S1596" s="36"/>
      <c r="T1596" s="35"/>
      <c r="U1596" s="36"/>
      <c r="V1596" s="35"/>
      <c r="W1596" s="36"/>
      <c r="X1596" s="35"/>
      <c r="Y1596" s="36"/>
      <c r="Z1596" s="37"/>
      <c r="AA1596" s="37"/>
      <c r="AB1596" s="35"/>
      <c r="AC1596" s="38"/>
      <c r="AD1596" s="36"/>
      <c r="AE1596" s="35"/>
      <c r="AF1596" s="36"/>
      <c r="AG1596" s="1"/>
    </row>
    <row r="1597" ht="21.0" customHeight="1">
      <c r="A1597" s="1"/>
      <c r="B1597" s="39" t="s">
        <v>24</v>
      </c>
      <c r="C1597" s="40"/>
      <c r="D1597" s="41"/>
      <c r="E1597" s="42" t="s">
        <v>25</v>
      </c>
      <c r="F1597" s="40"/>
      <c r="G1597" s="41"/>
      <c r="H1597" s="43" t="s">
        <v>26</v>
      </c>
      <c r="J1597" s="44" t="s">
        <v>27</v>
      </c>
      <c r="K1597" s="45" t="s">
        <v>28</v>
      </c>
      <c r="L1597" s="44" t="s">
        <v>27</v>
      </c>
      <c r="M1597" s="45" t="s">
        <v>28</v>
      </c>
      <c r="N1597" s="44" t="s">
        <v>27</v>
      </c>
      <c r="O1597" s="45" t="s">
        <v>28</v>
      </c>
      <c r="P1597" s="44" t="s">
        <v>27</v>
      </c>
      <c r="Q1597" s="45" t="s">
        <v>28</v>
      </c>
      <c r="R1597" s="44" t="s">
        <v>27</v>
      </c>
      <c r="S1597" s="45" t="s">
        <v>28</v>
      </c>
      <c r="T1597" s="44" t="s">
        <v>27</v>
      </c>
      <c r="U1597" s="45" t="s">
        <v>28</v>
      </c>
      <c r="V1597" s="44" t="s">
        <v>27</v>
      </c>
      <c r="W1597" s="45" t="s">
        <v>28</v>
      </c>
      <c r="X1597" s="44" t="s">
        <v>27</v>
      </c>
      <c r="Y1597" s="45" t="s">
        <v>28</v>
      </c>
      <c r="Z1597" s="46"/>
      <c r="AA1597" s="46"/>
      <c r="AB1597" s="121" t="s">
        <v>29</v>
      </c>
      <c r="AC1597" s="122" t="s">
        <v>30</v>
      </c>
      <c r="AD1597" s="123" t="s">
        <v>31</v>
      </c>
      <c r="AE1597" s="121" t="s">
        <v>27</v>
      </c>
      <c r="AF1597" s="123" t="s">
        <v>28</v>
      </c>
      <c r="AG1597" s="1"/>
    </row>
    <row r="1598" ht="21.0" customHeight="1">
      <c r="A1598" s="1"/>
      <c r="B1598" s="48" t="s">
        <v>32</v>
      </c>
      <c r="C1598" s="49"/>
      <c r="D1598" s="50"/>
      <c r="E1598" s="51" t="s">
        <v>33</v>
      </c>
      <c r="F1598" s="52" t="s">
        <v>34</v>
      </c>
      <c r="G1598" s="53"/>
      <c r="H1598" s="148"/>
      <c r="I1598" s="55"/>
      <c r="J1598" s="58"/>
      <c r="K1598" s="59"/>
      <c r="L1598" s="58"/>
      <c r="M1598" s="59"/>
      <c r="N1598" s="58"/>
      <c r="O1598" s="59"/>
      <c r="P1598" s="58"/>
      <c r="Q1598" s="59"/>
      <c r="R1598" s="58"/>
      <c r="S1598" s="59"/>
      <c r="T1598" s="58"/>
      <c r="U1598" s="59"/>
      <c r="V1598" s="58"/>
      <c r="W1598" s="59"/>
      <c r="X1598" s="58"/>
      <c r="Y1598" s="59"/>
      <c r="Z1598" s="60" t="b">
        <v>0</v>
      </c>
      <c r="AA1598" s="125">
        <f t="shared" ref="AA1598:AA1606" si="637">(J1598*K1598+L1598*M1598+N1598*O1598+P1598*Q1598+R1598*S1598+T1598*U1598+V1598*W1598+X1598*Y1598)*if(Z1598=true,0.453592,1)</f>
        <v>0</v>
      </c>
      <c r="AB1598" s="126">
        <f t="shared" ref="AB1598:AB1606" si="638">SUM(AE1598*AF1598*0.025,AE1598)</f>
        <v>0</v>
      </c>
      <c r="AC1598" s="127">
        <f t="shared" ref="AC1598:AC1606" si="639">AB1598*87%</f>
        <v>0</v>
      </c>
      <c r="AD1598" s="128">
        <f t="shared" ref="AD1598:AD1606" si="640">AB1598*67%</f>
        <v>0</v>
      </c>
      <c r="AE1598" s="126">
        <f t="shared" ref="AE1598:AE1606" si="641">MAX(J1598,L1598,N1598,P1598,R1598,T1598,V1598,X1598)*if(Z1598=true,0.453592,1)</f>
        <v>0</v>
      </c>
      <c r="AF1598" s="128">
        <f t="shared" ref="AF1598:AF1606" si="642">MAX(IF(J1598*if(Z1598=true,0.453592,1)=$AE1598,K1598,0),IF(L1598*if(Z1598=true,0.453592,1)=$AE1598,M1598,0),IF(N1598*if(Z1598=true,0.453592,1)=$AE1598,O1598,0),IF(P1598*if(Z1598=true,0.453592,1)=$AE1598,Q1598,0),IF(R1598*if(Z1598=true,0.453592,1)=$AE1598,S1598,0),IF(T1598*if(Z1598=true,0.453592,1)=$AE1598,U1598,0),IF(V1598*if(Z1598=true,0.453592,1)=$AE1598,W1598,0),IF(X1598*if(Z1598=true,0.453592,1)=$AE1598,Y1598,0))</f>
        <v>0</v>
      </c>
      <c r="AG1598" s="1"/>
    </row>
    <row r="1599" ht="21.0" customHeight="1">
      <c r="A1599" s="1"/>
      <c r="B1599" s="48" t="s">
        <v>36</v>
      </c>
      <c r="C1599" s="49"/>
      <c r="D1599" s="65"/>
      <c r="E1599" s="66"/>
      <c r="F1599" s="52" t="s">
        <v>37</v>
      </c>
      <c r="G1599" s="67"/>
      <c r="H1599" s="129"/>
      <c r="I1599" s="69"/>
      <c r="J1599" s="72"/>
      <c r="K1599" s="73"/>
      <c r="L1599" s="72"/>
      <c r="M1599" s="73"/>
      <c r="N1599" s="72"/>
      <c r="O1599" s="73"/>
      <c r="P1599" s="72"/>
      <c r="Q1599" s="73"/>
      <c r="R1599" s="72"/>
      <c r="S1599" s="73"/>
      <c r="T1599" s="72"/>
      <c r="U1599" s="73"/>
      <c r="V1599" s="72"/>
      <c r="W1599" s="73"/>
      <c r="X1599" s="72"/>
      <c r="Y1599" s="73"/>
      <c r="Z1599" s="74" t="b">
        <v>0</v>
      </c>
      <c r="AA1599" s="130">
        <f t="shared" si="637"/>
        <v>0</v>
      </c>
      <c r="AB1599" s="131">
        <f t="shared" si="638"/>
        <v>0</v>
      </c>
      <c r="AC1599" s="132">
        <f t="shared" si="639"/>
        <v>0</v>
      </c>
      <c r="AD1599" s="133">
        <f t="shared" si="640"/>
        <v>0</v>
      </c>
      <c r="AE1599" s="131">
        <f t="shared" si="641"/>
        <v>0</v>
      </c>
      <c r="AF1599" s="133">
        <f t="shared" si="642"/>
        <v>0</v>
      </c>
      <c r="AG1599" s="1"/>
    </row>
    <row r="1600" ht="21.0" customHeight="1">
      <c r="A1600" s="1"/>
      <c r="B1600" s="48" t="s">
        <v>39</v>
      </c>
      <c r="C1600" s="49"/>
      <c r="D1600" s="65"/>
      <c r="E1600" s="41"/>
      <c r="F1600" s="52" t="s">
        <v>40</v>
      </c>
      <c r="G1600" s="79"/>
      <c r="H1600" s="80"/>
      <c r="I1600" s="69"/>
      <c r="J1600" s="72"/>
      <c r="K1600" s="73"/>
      <c r="L1600" s="72"/>
      <c r="M1600" s="73"/>
      <c r="N1600" s="72"/>
      <c r="O1600" s="73"/>
      <c r="P1600" s="72"/>
      <c r="Q1600" s="73"/>
      <c r="R1600" s="72"/>
      <c r="S1600" s="73"/>
      <c r="T1600" s="72"/>
      <c r="U1600" s="73"/>
      <c r="V1600" s="72"/>
      <c r="W1600" s="73"/>
      <c r="X1600" s="72"/>
      <c r="Y1600" s="73"/>
      <c r="Z1600" s="74" t="b">
        <v>0</v>
      </c>
      <c r="AA1600" s="130">
        <f t="shared" si="637"/>
        <v>0</v>
      </c>
      <c r="AB1600" s="131">
        <f t="shared" si="638"/>
        <v>0</v>
      </c>
      <c r="AC1600" s="132">
        <f t="shared" si="639"/>
        <v>0</v>
      </c>
      <c r="AD1600" s="133">
        <f t="shared" si="640"/>
        <v>0</v>
      </c>
      <c r="AE1600" s="131">
        <f t="shared" si="641"/>
        <v>0</v>
      </c>
      <c r="AF1600" s="133">
        <f t="shared" si="642"/>
        <v>0</v>
      </c>
      <c r="AG1600" s="1"/>
    </row>
    <row r="1601" ht="21.0" customHeight="1">
      <c r="A1601" s="1"/>
      <c r="B1601" s="48" t="s">
        <v>41</v>
      </c>
      <c r="C1601" s="81"/>
      <c r="D1601" s="82" t="b">
        <v>0</v>
      </c>
      <c r="E1601" s="51" t="s">
        <v>42</v>
      </c>
      <c r="F1601" s="52" t="s">
        <v>34</v>
      </c>
      <c r="G1601" s="83"/>
      <c r="H1601" s="84"/>
      <c r="I1601" s="85"/>
      <c r="J1601" s="72"/>
      <c r="K1601" s="73"/>
      <c r="L1601" s="72"/>
      <c r="M1601" s="73"/>
      <c r="N1601" s="72"/>
      <c r="O1601" s="73"/>
      <c r="P1601" s="72"/>
      <c r="Q1601" s="73"/>
      <c r="R1601" s="72"/>
      <c r="S1601" s="73"/>
      <c r="T1601" s="72"/>
      <c r="U1601" s="73"/>
      <c r="V1601" s="72"/>
      <c r="W1601" s="73"/>
      <c r="X1601" s="72"/>
      <c r="Y1601" s="73"/>
      <c r="Z1601" s="74" t="b">
        <v>0</v>
      </c>
      <c r="AA1601" s="130">
        <f t="shared" si="637"/>
        <v>0</v>
      </c>
      <c r="AB1601" s="131">
        <f t="shared" si="638"/>
        <v>0</v>
      </c>
      <c r="AC1601" s="132">
        <f t="shared" si="639"/>
        <v>0</v>
      </c>
      <c r="AD1601" s="133">
        <f t="shared" si="640"/>
        <v>0</v>
      </c>
      <c r="AE1601" s="131">
        <f t="shared" si="641"/>
        <v>0</v>
      </c>
      <c r="AF1601" s="133">
        <f t="shared" si="642"/>
        <v>0</v>
      </c>
      <c r="AG1601" s="1"/>
    </row>
    <row r="1602" ht="21.0" customHeight="1">
      <c r="A1602" s="1"/>
      <c r="B1602" s="48" t="s">
        <v>43</v>
      </c>
      <c r="C1602" s="49"/>
      <c r="D1602" s="86" t="b">
        <v>0</v>
      </c>
      <c r="E1602" s="66"/>
      <c r="F1602" s="52" t="s">
        <v>37</v>
      </c>
      <c r="G1602" s="67"/>
      <c r="H1602" s="80"/>
      <c r="I1602" s="69"/>
      <c r="J1602" s="72"/>
      <c r="K1602" s="73"/>
      <c r="L1602" s="72"/>
      <c r="M1602" s="73"/>
      <c r="N1602" s="72"/>
      <c r="O1602" s="73"/>
      <c r="P1602" s="72"/>
      <c r="Q1602" s="73"/>
      <c r="R1602" s="72"/>
      <c r="S1602" s="73"/>
      <c r="T1602" s="72"/>
      <c r="U1602" s="73"/>
      <c r="V1602" s="72"/>
      <c r="W1602" s="73"/>
      <c r="X1602" s="72"/>
      <c r="Y1602" s="73"/>
      <c r="Z1602" s="74" t="b">
        <v>0</v>
      </c>
      <c r="AA1602" s="130">
        <f t="shared" si="637"/>
        <v>0</v>
      </c>
      <c r="AB1602" s="131">
        <f t="shared" si="638"/>
        <v>0</v>
      </c>
      <c r="AC1602" s="132">
        <f t="shared" si="639"/>
        <v>0</v>
      </c>
      <c r="AD1602" s="133">
        <f t="shared" si="640"/>
        <v>0</v>
      </c>
      <c r="AE1602" s="131">
        <f t="shared" si="641"/>
        <v>0</v>
      </c>
      <c r="AF1602" s="133">
        <f t="shared" si="642"/>
        <v>0</v>
      </c>
      <c r="AG1602" s="1"/>
    </row>
    <row r="1603" ht="21.0" customHeight="1">
      <c r="A1603" s="1"/>
      <c r="B1603" s="87" t="str">
        <f t="array" ref="B1603">"📌최근 인바디 결과 : "&amp;text(xlookup(B1595,'현황'!O:O,'현황'!O:O,,-1,-1),"m/d(ddd)")</f>
        <v>#REF!</v>
      </c>
      <c r="C1603" s="88"/>
      <c r="D1603" s="49"/>
      <c r="E1603" s="41"/>
      <c r="F1603" s="52" t="s">
        <v>40</v>
      </c>
      <c r="G1603" s="79"/>
      <c r="H1603" s="80"/>
      <c r="I1603" s="69"/>
      <c r="J1603" s="72"/>
      <c r="K1603" s="73"/>
      <c r="L1603" s="72"/>
      <c r="M1603" s="73"/>
      <c r="N1603" s="72"/>
      <c r="O1603" s="73"/>
      <c r="P1603" s="72"/>
      <c r="Q1603" s="73"/>
      <c r="R1603" s="72"/>
      <c r="S1603" s="73"/>
      <c r="T1603" s="72"/>
      <c r="U1603" s="73"/>
      <c r="V1603" s="72"/>
      <c r="W1603" s="73"/>
      <c r="X1603" s="72"/>
      <c r="Y1603" s="73"/>
      <c r="Z1603" s="74" t="b">
        <v>0</v>
      </c>
      <c r="AA1603" s="130">
        <f t="shared" si="637"/>
        <v>0</v>
      </c>
      <c r="AB1603" s="131">
        <f t="shared" si="638"/>
        <v>0</v>
      </c>
      <c r="AC1603" s="132">
        <f t="shared" si="639"/>
        <v>0</v>
      </c>
      <c r="AD1603" s="133">
        <f t="shared" si="640"/>
        <v>0</v>
      </c>
      <c r="AE1603" s="131">
        <f t="shared" si="641"/>
        <v>0</v>
      </c>
      <c r="AF1603" s="133">
        <f t="shared" si="642"/>
        <v>0</v>
      </c>
      <c r="AG1603" s="1"/>
    </row>
    <row r="1604" ht="21.0" customHeight="1">
      <c r="A1604" s="1"/>
      <c r="B1604" s="89" t="s">
        <v>44</v>
      </c>
      <c r="C1604" s="49"/>
      <c r="D1604" s="90">
        <f t="array" ref="D1604">iferror(vlookup(xlookup(B1595,'현황'!O:O,'현황'!O:O,,-1,-1),'현황'!O:S,2,false),0)</f>
        <v>0</v>
      </c>
      <c r="E1604" s="51" t="s">
        <v>45</v>
      </c>
      <c r="F1604" s="52" t="s">
        <v>34</v>
      </c>
      <c r="G1604" s="83"/>
      <c r="H1604" s="84"/>
      <c r="I1604" s="85"/>
      <c r="J1604" s="72"/>
      <c r="K1604" s="73"/>
      <c r="L1604" s="72"/>
      <c r="M1604" s="73"/>
      <c r="N1604" s="72"/>
      <c r="O1604" s="73"/>
      <c r="P1604" s="72"/>
      <c r="Q1604" s="73"/>
      <c r="R1604" s="72"/>
      <c r="S1604" s="73"/>
      <c r="T1604" s="72"/>
      <c r="U1604" s="73"/>
      <c r="V1604" s="72"/>
      <c r="W1604" s="73"/>
      <c r="X1604" s="72"/>
      <c r="Y1604" s="73"/>
      <c r="Z1604" s="74" t="b">
        <v>0</v>
      </c>
      <c r="AA1604" s="130">
        <f t="shared" si="637"/>
        <v>0</v>
      </c>
      <c r="AB1604" s="131">
        <f t="shared" si="638"/>
        <v>0</v>
      </c>
      <c r="AC1604" s="132">
        <f t="shared" si="639"/>
        <v>0</v>
      </c>
      <c r="AD1604" s="133">
        <f t="shared" si="640"/>
        <v>0</v>
      </c>
      <c r="AE1604" s="131">
        <f t="shared" si="641"/>
        <v>0</v>
      </c>
      <c r="AF1604" s="133">
        <f t="shared" si="642"/>
        <v>0</v>
      </c>
      <c r="AG1604" s="1"/>
    </row>
    <row r="1605" ht="21.0" customHeight="1">
      <c r="A1605" s="1"/>
      <c r="B1605" s="48" t="s">
        <v>46</v>
      </c>
      <c r="C1605" s="49"/>
      <c r="D1605" s="91">
        <f t="array" ref="D1605">iferror(vlookup(xlookup(B1595,'현황'!O:O,'현황'!O:O,,-1,-1),'현황'!O:S,3,false),0)</f>
        <v>0</v>
      </c>
      <c r="E1605" s="66"/>
      <c r="F1605" s="52" t="s">
        <v>37</v>
      </c>
      <c r="G1605" s="67"/>
      <c r="H1605" s="80"/>
      <c r="I1605" s="69"/>
      <c r="J1605" s="72"/>
      <c r="K1605" s="73"/>
      <c r="L1605" s="72"/>
      <c r="M1605" s="73"/>
      <c r="N1605" s="72"/>
      <c r="O1605" s="73"/>
      <c r="P1605" s="72"/>
      <c r="Q1605" s="73"/>
      <c r="R1605" s="72"/>
      <c r="S1605" s="73"/>
      <c r="T1605" s="72"/>
      <c r="U1605" s="73"/>
      <c r="V1605" s="72"/>
      <c r="W1605" s="73"/>
      <c r="X1605" s="72"/>
      <c r="Y1605" s="73"/>
      <c r="Z1605" s="74" t="b">
        <v>0</v>
      </c>
      <c r="AA1605" s="130">
        <f t="shared" si="637"/>
        <v>0</v>
      </c>
      <c r="AB1605" s="131">
        <f t="shared" si="638"/>
        <v>0</v>
      </c>
      <c r="AC1605" s="132">
        <f t="shared" si="639"/>
        <v>0</v>
      </c>
      <c r="AD1605" s="133">
        <f t="shared" si="640"/>
        <v>0</v>
      </c>
      <c r="AE1605" s="131">
        <f t="shared" si="641"/>
        <v>0</v>
      </c>
      <c r="AF1605" s="133">
        <f t="shared" si="642"/>
        <v>0</v>
      </c>
      <c r="AG1605" s="1"/>
    </row>
    <row r="1606" ht="21.0" customHeight="1">
      <c r="A1606" s="1"/>
      <c r="B1606" s="48" t="s">
        <v>47</v>
      </c>
      <c r="C1606" s="49"/>
      <c r="D1606" s="91">
        <f t="array" ref="D1606">iferror(vlookup(xlookup(B1595,'현황'!O:O,'현황'!O:O,,-1,-1),'현황'!O:S,4,false),0)</f>
        <v>0</v>
      </c>
      <c r="E1606" s="41"/>
      <c r="F1606" s="92" t="s">
        <v>40</v>
      </c>
      <c r="G1606" s="79"/>
      <c r="H1606" s="93"/>
      <c r="I1606" s="94"/>
      <c r="J1606" s="95"/>
      <c r="K1606" s="96"/>
      <c r="L1606" s="95"/>
      <c r="M1606" s="96"/>
      <c r="N1606" s="95"/>
      <c r="O1606" s="96"/>
      <c r="P1606" s="95"/>
      <c r="Q1606" s="96"/>
      <c r="R1606" s="95"/>
      <c r="S1606" s="96"/>
      <c r="T1606" s="95"/>
      <c r="U1606" s="96"/>
      <c r="V1606" s="95"/>
      <c r="W1606" s="96"/>
      <c r="X1606" s="95"/>
      <c r="Y1606" s="96"/>
      <c r="Z1606" s="97" t="b">
        <v>0</v>
      </c>
      <c r="AA1606" s="135">
        <f t="shared" si="637"/>
        <v>0</v>
      </c>
      <c r="AB1606" s="136">
        <f t="shared" si="638"/>
        <v>0</v>
      </c>
      <c r="AC1606" s="137">
        <f t="shared" si="639"/>
        <v>0</v>
      </c>
      <c r="AD1606" s="138">
        <f t="shared" si="640"/>
        <v>0</v>
      </c>
      <c r="AE1606" s="136">
        <f t="shared" si="641"/>
        <v>0</v>
      </c>
      <c r="AF1606" s="138">
        <f t="shared" si="642"/>
        <v>0</v>
      </c>
      <c r="AG1606" s="1"/>
    </row>
    <row r="1607" ht="21.0" customHeight="1">
      <c r="A1607" s="1"/>
      <c r="B1607" s="102" t="s">
        <v>48</v>
      </c>
      <c r="C1607" s="103"/>
      <c r="D1607" s="104">
        <f>iferror(D1606/D1604,0)</f>
        <v>0</v>
      </c>
      <c r="E1607" s="102" t="s">
        <v>49</v>
      </c>
      <c r="F1607" s="103"/>
      <c r="G1607" s="105"/>
      <c r="H1607" s="106" t="s">
        <v>50</v>
      </c>
      <c r="I1607" s="107"/>
      <c r="J1607" s="11"/>
      <c r="K1607" s="11"/>
      <c r="L1607" s="11"/>
      <c r="M1607" s="11"/>
      <c r="N1607" s="11"/>
      <c r="O1607" s="11"/>
      <c r="P1607" s="108" t="s">
        <v>51</v>
      </c>
      <c r="Q1607" s="12"/>
      <c r="R1607" s="109"/>
      <c r="S1607" s="11"/>
      <c r="T1607" s="11"/>
      <c r="U1607" s="11"/>
      <c r="V1607" s="11"/>
      <c r="W1607" s="11"/>
      <c r="X1607" s="11"/>
      <c r="Y1607" s="11"/>
      <c r="Z1607" s="12"/>
      <c r="AA1607" s="139">
        <f>SUM(AA1598:AA1606)</f>
        <v>0</v>
      </c>
      <c r="AB1607" s="140" t="s">
        <v>311</v>
      </c>
      <c r="AG1607" s="1"/>
    </row>
    <row r="1608" ht="21.0" customHeight="1">
      <c r="A1608" s="1"/>
      <c r="B1608" s="1"/>
      <c r="C1608" s="1"/>
      <c r="D1608" s="1"/>
      <c r="E1608" s="1"/>
      <c r="F1608" s="1"/>
      <c r="G1608" s="1"/>
      <c r="H1608" s="1"/>
      <c r="I1608" s="1"/>
      <c r="AA1608" s="1"/>
      <c r="AB1608" s="1"/>
      <c r="AC1608" s="3"/>
      <c r="AD1608" s="1"/>
      <c r="AE1608" s="1"/>
      <c r="AF1608" s="1"/>
      <c r="AG1608" s="1"/>
    </row>
    <row r="1609" ht="21.0" customHeight="1">
      <c r="A1609" s="1"/>
      <c r="B1609" s="4" t="s">
        <v>1</v>
      </c>
      <c r="C1609" s="5"/>
      <c r="D1609" s="6" t="s">
        <v>2</v>
      </c>
      <c r="E1609" s="7"/>
      <c r="F1609" s="7"/>
      <c r="G1609" s="5"/>
      <c r="H1609" s="8" t="s">
        <v>3</v>
      </c>
      <c r="I1609" s="8" t="s">
        <v>4</v>
      </c>
      <c r="J1609" s="9" t="s">
        <v>5</v>
      </c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5"/>
      <c r="AA1609" s="117" t="s">
        <v>6</v>
      </c>
      <c r="AB1609" s="11"/>
      <c r="AC1609" s="11"/>
      <c r="AD1609" s="11"/>
      <c r="AE1609" s="11"/>
      <c r="AF1609" s="12"/>
      <c r="AG1609" s="1"/>
    </row>
    <row r="1610" ht="21.0" customHeight="1">
      <c r="A1610" s="1"/>
      <c r="B1610" s="149" t="s">
        <v>138</v>
      </c>
      <c r="C1610" s="14" t="str">
        <f>if(B1610="0/0","",choose(weekday(B1610),"(일)","(월)","(화)","(수)","(목)","(금)","(토)"))</f>
        <v/>
      </c>
      <c r="D1610" s="15" t="s">
        <v>7</v>
      </c>
      <c r="E1610" s="16" t="s">
        <v>8</v>
      </c>
      <c r="F1610" s="17"/>
      <c r="G1610" s="18" t="s">
        <v>9</v>
      </c>
      <c r="H1610" s="150" t="s">
        <v>139</v>
      </c>
      <c r="I1610" s="151"/>
      <c r="J1610" s="21" t="s">
        <v>12</v>
      </c>
      <c r="K1610" s="22"/>
      <c r="L1610" s="21" t="s">
        <v>13</v>
      </c>
      <c r="M1610" s="22"/>
      <c r="N1610" s="21" t="s">
        <v>14</v>
      </c>
      <c r="O1610" s="22"/>
      <c r="P1610" s="21" t="s">
        <v>15</v>
      </c>
      <c r="Q1610" s="22"/>
      <c r="R1610" s="23" t="s">
        <v>16</v>
      </c>
      <c r="S1610" s="22"/>
      <c r="T1610" s="23" t="s">
        <v>17</v>
      </c>
      <c r="U1610" s="22"/>
      <c r="V1610" s="23" t="s">
        <v>18</v>
      </c>
      <c r="W1610" s="22"/>
      <c r="X1610" s="23" t="s">
        <v>19</v>
      </c>
      <c r="Y1610" s="22"/>
      <c r="Z1610" s="24" t="s">
        <v>312</v>
      </c>
      <c r="AA1610" s="118" t="s">
        <v>21</v>
      </c>
      <c r="AB1610" s="119" t="s">
        <v>22</v>
      </c>
      <c r="AC1610" s="7"/>
      <c r="AD1610" s="22"/>
      <c r="AE1610" s="120" t="s">
        <v>23</v>
      </c>
      <c r="AF1610" s="22"/>
      <c r="AG1610" s="1"/>
    </row>
    <row r="1611" ht="21.0" customHeight="1">
      <c r="A1611" s="1"/>
      <c r="B1611" s="27">
        <f>iferror(B1610-'현황'!$C$4+1,0)</f>
        <v>0</v>
      </c>
      <c r="C1611" s="28"/>
      <c r="D1611" s="29">
        <v>0.0</v>
      </c>
      <c r="E1611" s="30">
        <v>0.0</v>
      </c>
      <c r="F1611" s="31"/>
      <c r="G1611" s="32">
        <v>0.0</v>
      </c>
      <c r="H1611" s="33">
        <v>0.0</v>
      </c>
      <c r="I1611" s="34"/>
      <c r="J1611" s="35"/>
      <c r="K1611" s="36"/>
      <c r="L1611" s="35"/>
      <c r="M1611" s="36"/>
      <c r="N1611" s="35"/>
      <c r="O1611" s="36"/>
      <c r="P1611" s="35"/>
      <c r="Q1611" s="36"/>
      <c r="R1611" s="35"/>
      <c r="S1611" s="36"/>
      <c r="T1611" s="35"/>
      <c r="U1611" s="36"/>
      <c r="V1611" s="35"/>
      <c r="W1611" s="36"/>
      <c r="X1611" s="35"/>
      <c r="Y1611" s="36"/>
      <c r="Z1611" s="37"/>
      <c r="AA1611" s="37"/>
      <c r="AB1611" s="35"/>
      <c r="AC1611" s="38"/>
      <c r="AD1611" s="36"/>
      <c r="AE1611" s="35"/>
      <c r="AF1611" s="36"/>
      <c r="AG1611" s="1"/>
    </row>
    <row r="1612" ht="21.0" customHeight="1">
      <c r="A1612" s="1"/>
      <c r="B1612" s="39" t="s">
        <v>24</v>
      </c>
      <c r="C1612" s="40"/>
      <c r="D1612" s="41"/>
      <c r="E1612" s="42" t="s">
        <v>25</v>
      </c>
      <c r="F1612" s="40"/>
      <c r="G1612" s="41"/>
      <c r="H1612" s="43" t="s">
        <v>26</v>
      </c>
      <c r="J1612" s="44" t="s">
        <v>27</v>
      </c>
      <c r="K1612" s="45" t="s">
        <v>28</v>
      </c>
      <c r="L1612" s="44" t="s">
        <v>27</v>
      </c>
      <c r="M1612" s="45" t="s">
        <v>28</v>
      </c>
      <c r="N1612" s="44" t="s">
        <v>27</v>
      </c>
      <c r="O1612" s="45" t="s">
        <v>28</v>
      </c>
      <c r="P1612" s="44" t="s">
        <v>27</v>
      </c>
      <c r="Q1612" s="45" t="s">
        <v>28</v>
      </c>
      <c r="R1612" s="44" t="s">
        <v>27</v>
      </c>
      <c r="S1612" s="45" t="s">
        <v>28</v>
      </c>
      <c r="T1612" s="44" t="s">
        <v>27</v>
      </c>
      <c r="U1612" s="45" t="s">
        <v>28</v>
      </c>
      <c r="V1612" s="44" t="s">
        <v>27</v>
      </c>
      <c r="W1612" s="45" t="s">
        <v>28</v>
      </c>
      <c r="X1612" s="44" t="s">
        <v>27</v>
      </c>
      <c r="Y1612" s="45" t="s">
        <v>28</v>
      </c>
      <c r="Z1612" s="46"/>
      <c r="AA1612" s="46"/>
      <c r="AB1612" s="121" t="s">
        <v>29</v>
      </c>
      <c r="AC1612" s="122" t="s">
        <v>30</v>
      </c>
      <c r="AD1612" s="123" t="s">
        <v>31</v>
      </c>
      <c r="AE1612" s="121" t="s">
        <v>27</v>
      </c>
      <c r="AF1612" s="123" t="s">
        <v>28</v>
      </c>
      <c r="AG1612" s="1"/>
    </row>
    <row r="1613" ht="21.0" customHeight="1">
      <c r="A1613" s="1"/>
      <c r="B1613" s="48" t="s">
        <v>32</v>
      </c>
      <c r="C1613" s="49"/>
      <c r="D1613" s="50"/>
      <c r="E1613" s="51" t="s">
        <v>33</v>
      </c>
      <c r="F1613" s="52" t="s">
        <v>34</v>
      </c>
      <c r="G1613" s="53"/>
      <c r="H1613" s="148"/>
      <c r="I1613" s="55"/>
      <c r="J1613" s="58"/>
      <c r="K1613" s="59"/>
      <c r="L1613" s="58"/>
      <c r="M1613" s="59"/>
      <c r="N1613" s="58"/>
      <c r="O1613" s="59"/>
      <c r="P1613" s="58"/>
      <c r="Q1613" s="59"/>
      <c r="R1613" s="58"/>
      <c r="S1613" s="59"/>
      <c r="T1613" s="58"/>
      <c r="U1613" s="59"/>
      <c r="V1613" s="58"/>
      <c r="W1613" s="59"/>
      <c r="X1613" s="58"/>
      <c r="Y1613" s="59"/>
      <c r="Z1613" s="60" t="b">
        <v>0</v>
      </c>
      <c r="AA1613" s="125">
        <f t="shared" ref="AA1613:AA1621" si="643">(J1613*K1613+L1613*M1613+N1613*O1613+P1613*Q1613+R1613*S1613+T1613*U1613+V1613*W1613+X1613*Y1613)*if(Z1613=true,0.453592,1)</f>
        <v>0</v>
      </c>
      <c r="AB1613" s="126">
        <f t="shared" ref="AB1613:AB1621" si="644">SUM(AE1613*AF1613*0.025,AE1613)</f>
        <v>0</v>
      </c>
      <c r="AC1613" s="127">
        <f t="shared" ref="AC1613:AC1621" si="645">AB1613*87%</f>
        <v>0</v>
      </c>
      <c r="AD1613" s="128">
        <f t="shared" ref="AD1613:AD1621" si="646">AB1613*67%</f>
        <v>0</v>
      </c>
      <c r="AE1613" s="126">
        <f t="shared" ref="AE1613:AE1621" si="647">MAX(J1613,L1613,N1613,P1613,R1613,T1613,V1613,X1613)*if(Z1613=true,0.453592,1)</f>
        <v>0</v>
      </c>
      <c r="AF1613" s="128">
        <f t="shared" ref="AF1613:AF1621" si="648">MAX(IF(J1613*if(Z1613=true,0.453592,1)=$AE1613,K1613,0),IF(L1613*if(Z1613=true,0.453592,1)=$AE1613,M1613,0),IF(N1613*if(Z1613=true,0.453592,1)=$AE1613,O1613,0),IF(P1613*if(Z1613=true,0.453592,1)=$AE1613,Q1613,0),IF(R1613*if(Z1613=true,0.453592,1)=$AE1613,S1613,0),IF(T1613*if(Z1613=true,0.453592,1)=$AE1613,U1613,0),IF(V1613*if(Z1613=true,0.453592,1)=$AE1613,W1613,0),IF(X1613*if(Z1613=true,0.453592,1)=$AE1613,Y1613,0))</f>
        <v>0</v>
      </c>
      <c r="AG1613" s="1"/>
    </row>
    <row r="1614" ht="21.0" customHeight="1">
      <c r="A1614" s="1"/>
      <c r="B1614" s="48" t="s">
        <v>36</v>
      </c>
      <c r="C1614" s="49"/>
      <c r="D1614" s="65"/>
      <c r="E1614" s="66"/>
      <c r="F1614" s="52" t="s">
        <v>37</v>
      </c>
      <c r="G1614" s="67"/>
      <c r="H1614" s="129"/>
      <c r="I1614" s="69"/>
      <c r="J1614" s="72"/>
      <c r="K1614" s="73"/>
      <c r="L1614" s="72"/>
      <c r="M1614" s="73"/>
      <c r="N1614" s="72"/>
      <c r="O1614" s="73"/>
      <c r="P1614" s="72"/>
      <c r="Q1614" s="73"/>
      <c r="R1614" s="72"/>
      <c r="S1614" s="73"/>
      <c r="T1614" s="72"/>
      <c r="U1614" s="73"/>
      <c r="V1614" s="72"/>
      <c r="W1614" s="73"/>
      <c r="X1614" s="72"/>
      <c r="Y1614" s="73"/>
      <c r="Z1614" s="74" t="b">
        <v>0</v>
      </c>
      <c r="AA1614" s="130">
        <f t="shared" si="643"/>
        <v>0</v>
      </c>
      <c r="AB1614" s="131">
        <f t="shared" si="644"/>
        <v>0</v>
      </c>
      <c r="AC1614" s="132">
        <f t="shared" si="645"/>
        <v>0</v>
      </c>
      <c r="AD1614" s="133">
        <f t="shared" si="646"/>
        <v>0</v>
      </c>
      <c r="AE1614" s="131">
        <f t="shared" si="647"/>
        <v>0</v>
      </c>
      <c r="AF1614" s="133">
        <f t="shared" si="648"/>
        <v>0</v>
      </c>
      <c r="AG1614" s="1"/>
    </row>
    <row r="1615" ht="21.0" customHeight="1">
      <c r="A1615" s="1"/>
      <c r="B1615" s="48" t="s">
        <v>39</v>
      </c>
      <c r="C1615" s="49"/>
      <c r="D1615" s="65"/>
      <c r="E1615" s="41"/>
      <c r="F1615" s="52" t="s">
        <v>40</v>
      </c>
      <c r="G1615" s="79"/>
      <c r="H1615" s="80"/>
      <c r="I1615" s="69"/>
      <c r="J1615" s="72"/>
      <c r="K1615" s="73"/>
      <c r="L1615" s="72"/>
      <c r="M1615" s="73"/>
      <c r="N1615" s="72"/>
      <c r="O1615" s="73"/>
      <c r="P1615" s="72"/>
      <c r="Q1615" s="73"/>
      <c r="R1615" s="72"/>
      <c r="S1615" s="73"/>
      <c r="T1615" s="72"/>
      <c r="U1615" s="73"/>
      <c r="V1615" s="72"/>
      <c r="W1615" s="73"/>
      <c r="X1615" s="72"/>
      <c r="Y1615" s="73"/>
      <c r="Z1615" s="74" t="b">
        <v>0</v>
      </c>
      <c r="AA1615" s="130">
        <f t="shared" si="643"/>
        <v>0</v>
      </c>
      <c r="AB1615" s="131">
        <f t="shared" si="644"/>
        <v>0</v>
      </c>
      <c r="AC1615" s="132">
        <f t="shared" si="645"/>
        <v>0</v>
      </c>
      <c r="AD1615" s="133">
        <f t="shared" si="646"/>
        <v>0</v>
      </c>
      <c r="AE1615" s="131">
        <f t="shared" si="647"/>
        <v>0</v>
      </c>
      <c r="AF1615" s="133">
        <f t="shared" si="648"/>
        <v>0</v>
      </c>
      <c r="AG1615" s="1"/>
    </row>
    <row r="1616" ht="21.0" customHeight="1">
      <c r="A1616" s="1"/>
      <c r="B1616" s="48" t="s">
        <v>41</v>
      </c>
      <c r="C1616" s="81"/>
      <c r="D1616" s="82" t="b">
        <v>0</v>
      </c>
      <c r="E1616" s="51" t="s">
        <v>42</v>
      </c>
      <c r="F1616" s="52" t="s">
        <v>34</v>
      </c>
      <c r="G1616" s="83"/>
      <c r="H1616" s="84"/>
      <c r="I1616" s="85"/>
      <c r="J1616" s="72"/>
      <c r="K1616" s="73"/>
      <c r="L1616" s="72"/>
      <c r="M1616" s="73"/>
      <c r="N1616" s="72"/>
      <c r="O1616" s="73"/>
      <c r="P1616" s="72"/>
      <c r="Q1616" s="73"/>
      <c r="R1616" s="72"/>
      <c r="S1616" s="73"/>
      <c r="T1616" s="72"/>
      <c r="U1616" s="73"/>
      <c r="V1616" s="72"/>
      <c r="W1616" s="73"/>
      <c r="X1616" s="72"/>
      <c r="Y1616" s="73"/>
      <c r="Z1616" s="74" t="b">
        <v>0</v>
      </c>
      <c r="AA1616" s="130">
        <f t="shared" si="643"/>
        <v>0</v>
      </c>
      <c r="AB1616" s="131">
        <f t="shared" si="644"/>
        <v>0</v>
      </c>
      <c r="AC1616" s="132">
        <f t="shared" si="645"/>
        <v>0</v>
      </c>
      <c r="AD1616" s="133">
        <f t="shared" si="646"/>
        <v>0</v>
      </c>
      <c r="AE1616" s="131">
        <f t="shared" si="647"/>
        <v>0</v>
      </c>
      <c r="AF1616" s="133">
        <f t="shared" si="648"/>
        <v>0</v>
      </c>
      <c r="AG1616" s="1"/>
    </row>
    <row r="1617" ht="21.0" customHeight="1">
      <c r="A1617" s="1"/>
      <c r="B1617" s="48" t="s">
        <v>43</v>
      </c>
      <c r="C1617" s="49"/>
      <c r="D1617" s="86" t="b">
        <v>0</v>
      </c>
      <c r="E1617" s="66"/>
      <c r="F1617" s="52" t="s">
        <v>37</v>
      </c>
      <c r="G1617" s="67"/>
      <c r="H1617" s="80"/>
      <c r="I1617" s="69"/>
      <c r="J1617" s="72"/>
      <c r="K1617" s="73"/>
      <c r="L1617" s="72"/>
      <c r="M1617" s="73"/>
      <c r="N1617" s="72"/>
      <c r="O1617" s="73"/>
      <c r="P1617" s="72"/>
      <c r="Q1617" s="73"/>
      <c r="R1617" s="72"/>
      <c r="S1617" s="73"/>
      <c r="T1617" s="72"/>
      <c r="U1617" s="73"/>
      <c r="V1617" s="72"/>
      <c r="W1617" s="73"/>
      <c r="X1617" s="72"/>
      <c r="Y1617" s="73"/>
      <c r="Z1617" s="74" t="b">
        <v>0</v>
      </c>
      <c r="AA1617" s="130">
        <f t="shared" si="643"/>
        <v>0</v>
      </c>
      <c r="AB1617" s="131">
        <f t="shared" si="644"/>
        <v>0</v>
      </c>
      <c r="AC1617" s="132">
        <f t="shared" si="645"/>
        <v>0</v>
      </c>
      <c r="AD1617" s="133">
        <f t="shared" si="646"/>
        <v>0</v>
      </c>
      <c r="AE1617" s="131">
        <f t="shared" si="647"/>
        <v>0</v>
      </c>
      <c r="AF1617" s="133">
        <f t="shared" si="648"/>
        <v>0</v>
      </c>
      <c r="AG1617" s="1"/>
    </row>
    <row r="1618" ht="21.0" customHeight="1">
      <c r="A1618" s="1"/>
      <c r="B1618" s="87" t="str">
        <f t="array" ref="B1618">"📌최근 인바디 결과 : "&amp;text(xlookup(B1610,'현황'!O:O,'현황'!O:O,,-1,-1),"m/d(ddd)")</f>
        <v>#REF!</v>
      </c>
      <c r="C1618" s="88"/>
      <c r="D1618" s="49"/>
      <c r="E1618" s="41"/>
      <c r="F1618" s="52" t="s">
        <v>40</v>
      </c>
      <c r="G1618" s="79"/>
      <c r="H1618" s="80"/>
      <c r="I1618" s="69"/>
      <c r="J1618" s="72"/>
      <c r="K1618" s="73"/>
      <c r="L1618" s="72"/>
      <c r="M1618" s="73"/>
      <c r="N1618" s="72"/>
      <c r="O1618" s="73"/>
      <c r="P1618" s="72"/>
      <c r="Q1618" s="73"/>
      <c r="R1618" s="72"/>
      <c r="S1618" s="73"/>
      <c r="T1618" s="72"/>
      <c r="U1618" s="73"/>
      <c r="V1618" s="72"/>
      <c r="W1618" s="73"/>
      <c r="X1618" s="72"/>
      <c r="Y1618" s="73"/>
      <c r="Z1618" s="74" t="b">
        <v>0</v>
      </c>
      <c r="AA1618" s="130">
        <f t="shared" si="643"/>
        <v>0</v>
      </c>
      <c r="AB1618" s="131">
        <f t="shared" si="644"/>
        <v>0</v>
      </c>
      <c r="AC1618" s="132">
        <f t="shared" si="645"/>
        <v>0</v>
      </c>
      <c r="AD1618" s="133">
        <f t="shared" si="646"/>
        <v>0</v>
      </c>
      <c r="AE1618" s="131">
        <f t="shared" si="647"/>
        <v>0</v>
      </c>
      <c r="AF1618" s="133">
        <f t="shared" si="648"/>
        <v>0</v>
      </c>
      <c r="AG1618" s="1"/>
    </row>
    <row r="1619" ht="21.0" customHeight="1">
      <c r="A1619" s="1"/>
      <c r="B1619" s="89" t="s">
        <v>44</v>
      </c>
      <c r="C1619" s="49"/>
      <c r="D1619" s="90">
        <f t="array" ref="D1619">iferror(vlookup(xlookup(B1610,'현황'!O:O,'현황'!O:O,,-1,-1),'현황'!O:S,2,false),0)</f>
        <v>0</v>
      </c>
      <c r="E1619" s="51" t="s">
        <v>45</v>
      </c>
      <c r="F1619" s="52" t="s">
        <v>34</v>
      </c>
      <c r="G1619" s="83"/>
      <c r="H1619" s="84"/>
      <c r="I1619" s="85"/>
      <c r="J1619" s="72"/>
      <c r="K1619" s="73"/>
      <c r="L1619" s="72"/>
      <c r="M1619" s="73"/>
      <c r="N1619" s="72"/>
      <c r="O1619" s="73"/>
      <c r="P1619" s="72"/>
      <c r="Q1619" s="73"/>
      <c r="R1619" s="72"/>
      <c r="S1619" s="73"/>
      <c r="T1619" s="72"/>
      <c r="U1619" s="73"/>
      <c r="V1619" s="72"/>
      <c r="W1619" s="73"/>
      <c r="X1619" s="72"/>
      <c r="Y1619" s="73"/>
      <c r="Z1619" s="74" t="b">
        <v>0</v>
      </c>
      <c r="AA1619" s="130">
        <f t="shared" si="643"/>
        <v>0</v>
      </c>
      <c r="AB1619" s="131">
        <f t="shared" si="644"/>
        <v>0</v>
      </c>
      <c r="AC1619" s="132">
        <f t="shared" si="645"/>
        <v>0</v>
      </c>
      <c r="AD1619" s="133">
        <f t="shared" si="646"/>
        <v>0</v>
      </c>
      <c r="AE1619" s="131">
        <f t="shared" si="647"/>
        <v>0</v>
      </c>
      <c r="AF1619" s="133">
        <f t="shared" si="648"/>
        <v>0</v>
      </c>
      <c r="AG1619" s="1"/>
    </row>
    <row r="1620" ht="21.0" customHeight="1">
      <c r="A1620" s="1"/>
      <c r="B1620" s="48" t="s">
        <v>46</v>
      </c>
      <c r="C1620" s="49"/>
      <c r="D1620" s="91">
        <f t="array" ref="D1620">iferror(vlookup(xlookup(B1610,'현황'!O:O,'현황'!O:O,,-1,-1),'현황'!O:S,3,false),0)</f>
        <v>0</v>
      </c>
      <c r="E1620" s="66"/>
      <c r="F1620" s="52" t="s">
        <v>37</v>
      </c>
      <c r="G1620" s="67"/>
      <c r="H1620" s="80"/>
      <c r="I1620" s="69"/>
      <c r="J1620" s="72"/>
      <c r="K1620" s="73"/>
      <c r="L1620" s="72"/>
      <c r="M1620" s="73"/>
      <c r="N1620" s="72"/>
      <c r="O1620" s="73"/>
      <c r="P1620" s="72"/>
      <c r="Q1620" s="73"/>
      <c r="R1620" s="72"/>
      <c r="S1620" s="73"/>
      <c r="T1620" s="72"/>
      <c r="U1620" s="73"/>
      <c r="V1620" s="72"/>
      <c r="W1620" s="73"/>
      <c r="X1620" s="72"/>
      <c r="Y1620" s="73"/>
      <c r="Z1620" s="74" t="b">
        <v>0</v>
      </c>
      <c r="AA1620" s="130">
        <f t="shared" si="643"/>
        <v>0</v>
      </c>
      <c r="AB1620" s="131">
        <f t="shared" si="644"/>
        <v>0</v>
      </c>
      <c r="AC1620" s="132">
        <f t="shared" si="645"/>
        <v>0</v>
      </c>
      <c r="AD1620" s="133">
        <f t="shared" si="646"/>
        <v>0</v>
      </c>
      <c r="AE1620" s="131">
        <f t="shared" si="647"/>
        <v>0</v>
      </c>
      <c r="AF1620" s="133">
        <f t="shared" si="648"/>
        <v>0</v>
      </c>
      <c r="AG1620" s="1"/>
    </row>
    <row r="1621" ht="21.0" customHeight="1">
      <c r="A1621" s="1"/>
      <c r="B1621" s="48" t="s">
        <v>47</v>
      </c>
      <c r="C1621" s="49"/>
      <c r="D1621" s="91">
        <f t="array" ref="D1621">iferror(vlookup(xlookup(B1610,'현황'!O:O,'현황'!O:O,,-1,-1),'현황'!O:S,4,false),0)</f>
        <v>0</v>
      </c>
      <c r="E1621" s="41"/>
      <c r="F1621" s="92" t="s">
        <v>40</v>
      </c>
      <c r="G1621" s="79"/>
      <c r="H1621" s="93"/>
      <c r="I1621" s="94"/>
      <c r="J1621" s="95"/>
      <c r="K1621" s="96"/>
      <c r="L1621" s="95"/>
      <c r="M1621" s="96"/>
      <c r="N1621" s="95"/>
      <c r="O1621" s="96"/>
      <c r="P1621" s="95"/>
      <c r="Q1621" s="96"/>
      <c r="R1621" s="95"/>
      <c r="S1621" s="96"/>
      <c r="T1621" s="95"/>
      <c r="U1621" s="96"/>
      <c r="V1621" s="95"/>
      <c r="W1621" s="96"/>
      <c r="X1621" s="95"/>
      <c r="Y1621" s="96"/>
      <c r="Z1621" s="97" t="b">
        <v>0</v>
      </c>
      <c r="AA1621" s="135">
        <f t="shared" si="643"/>
        <v>0</v>
      </c>
      <c r="AB1621" s="136">
        <f t="shared" si="644"/>
        <v>0</v>
      </c>
      <c r="AC1621" s="137">
        <f t="shared" si="645"/>
        <v>0</v>
      </c>
      <c r="AD1621" s="138">
        <f t="shared" si="646"/>
        <v>0</v>
      </c>
      <c r="AE1621" s="136">
        <f t="shared" si="647"/>
        <v>0</v>
      </c>
      <c r="AF1621" s="138">
        <f t="shared" si="648"/>
        <v>0</v>
      </c>
      <c r="AG1621" s="1"/>
    </row>
    <row r="1622" ht="21.0" customHeight="1">
      <c r="A1622" s="1"/>
      <c r="B1622" s="102" t="s">
        <v>48</v>
      </c>
      <c r="C1622" s="103"/>
      <c r="D1622" s="104">
        <f>iferror(D1621/D1619,0)</f>
        <v>0</v>
      </c>
      <c r="E1622" s="102" t="s">
        <v>49</v>
      </c>
      <c r="F1622" s="103"/>
      <c r="G1622" s="105"/>
      <c r="H1622" s="143" t="s">
        <v>50</v>
      </c>
      <c r="I1622" s="144"/>
      <c r="J1622" s="11"/>
      <c r="K1622" s="11"/>
      <c r="L1622" s="11"/>
      <c r="M1622" s="11"/>
      <c r="N1622" s="11"/>
      <c r="O1622" s="11"/>
      <c r="P1622" s="145" t="s">
        <v>51</v>
      </c>
      <c r="Q1622" s="12"/>
      <c r="R1622" s="146"/>
      <c r="S1622" s="11"/>
      <c r="T1622" s="11"/>
      <c r="U1622" s="11"/>
      <c r="V1622" s="11"/>
      <c r="W1622" s="11"/>
      <c r="X1622" s="11"/>
      <c r="Y1622" s="11"/>
      <c r="Z1622" s="12"/>
      <c r="AA1622" s="139">
        <f>SUM(AA1613:AA1621)</f>
        <v>0</v>
      </c>
      <c r="AB1622" s="140" t="s">
        <v>313</v>
      </c>
      <c r="AG1622" s="1"/>
    </row>
    <row r="1623" ht="21.0" customHeight="1">
      <c r="A1623" s="1"/>
      <c r="B1623" s="1"/>
      <c r="C1623" s="1"/>
      <c r="D1623" s="1"/>
      <c r="E1623" s="1"/>
      <c r="F1623" s="1"/>
      <c r="G1623" s="1"/>
      <c r="H1623" s="1"/>
      <c r="I1623" s="1"/>
      <c r="AA1623" s="1"/>
      <c r="AB1623" s="1"/>
      <c r="AC1623" s="3"/>
      <c r="AD1623" s="1"/>
      <c r="AE1623" s="1"/>
      <c r="AF1623" s="1"/>
      <c r="AG1623" s="1"/>
    </row>
    <row r="1624" ht="21.0" customHeight="1">
      <c r="A1624" s="1"/>
      <c r="B1624" s="4" t="s">
        <v>1</v>
      </c>
      <c r="C1624" s="5"/>
      <c r="D1624" s="6" t="s">
        <v>2</v>
      </c>
      <c r="E1624" s="7"/>
      <c r="F1624" s="7"/>
      <c r="G1624" s="5"/>
      <c r="H1624" s="8" t="s">
        <v>3</v>
      </c>
      <c r="I1624" s="8" t="s">
        <v>4</v>
      </c>
      <c r="J1624" s="9" t="s">
        <v>5</v>
      </c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5"/>
      <c r="AA1624" s="117" t="s">
        <v>6</v>
      </c>
      <c r="AB1624" s="11"/>
      <c r="AC1624" s="11"/>
      <c r="AD1624" s="11"/>
      <c r="AE1624" s="11"/>
      <c r="AF1624" s="12"/>
      <c r="AG1624" s="1"/>
    </row>
    <row r="1625" ht="21.0" customHeight="1">
      <c r="A1625" s="1"/>
      <c r="B1625" s="149" t="s">
        <v>138</v>
      </c>
      <c r="C1625" s="14" t="str">
        <f>if(B1625="0/0","",choose(weekday(B1625),"(일)","(월)","(화)","(수)","(목)","(금)","(토)"))</f>
        <v/>
      </c>
      <c r="D1625" s="15" t="s">
        <v>7</v>
      </c>
      <c r="E1625" s="16" t="s">
        <v>8</v>
      </c>
      <c r="F1625" s="17"/>
      <c r="G1625" s="18" t="s">
        <v>9</v>
      </c>
      <c r="H1625" s="150" t="s">
        <v>139</v>
      </c>
      <c r="I1625" s="151"/>
      <c r="J1625" s="21" t="s">
        <v>12</v>
      </c>
      <c r="K1625" s="22"/>
      <c r="L1625" s="21" t="s">
        <v>13</v>
      </c>
      <c r="M1625" s="22"/>
      <c r="N1625" s="21" t="s">
        <v>14</v>
      </c>
      <c r="O1625" s="22"/>
      <c r="P1625" s="21" t="s">
        <v>15</v>
      </c>
      <c r="Q1625" s="22"/>
      <c r="R1625" s="23" t="s">
        <v>16</v>
      </c>
      <c r="S1625" s="22"/>
      <c r="T1625" s="23" t="s">
        <v>17</v>
      </c>
      <c r="U1625" s="22"/>
      <c r="V1625" s="23" t="s">
        <v>18</v>
      </c>
      <c r="W1625" s="22"/>
      <c r="X1625" s="23" t="s">
        <v>19</v>
      </c>
      <c r="Y1625" s="22"/>
      <c r="Z1625" s="24" t="s">
        <v>314</v>
      </c>
      <c r="AA1625" s="118" t="s">
        <v>21</v>
      </c>
      <c r="AB1625" s="119" t="s">
        <v>22</v>
      </c>
      <c r="AC1625" s="7"/>
      <c r="AD1625" s="22"/>
      <c r="AE1625" s="120" t="s">
        <v>23</v>
      </c>
      <c r="AF1625" s="22"/>
      <c r="AG1625" s="1"/>
    </row>
    <row r="1626" ht="21.0" customHeight="1">
      <c r="A1626" s="1"/>
      <c r="B1626" s="27">
        <f>iferror(B1625-'현황'!$C$4+1,0)</f>
        <v>0</v>
      </c>
      <c r="C1626" s="28"/>
      <c r="D1626" s="29">
        <v>0.0</v>
      </c>
      <c r="E1626" s="30">
        <v>0.0</v>
      </c>
      <c r="F1626" s="31"/>
      <c r="G1626" s="32">
        <v>0.0</v>
      </c>
      <c r="H1626" s="33">
        <v>0.0</v>
      </c>
      <c r="I1626" s="34"/>
      <c r="J1626" s="35"/>
      <c r="K1626" s="36"/>
      <c r="L1626" s="35"/>
      <c r="M1626" s="36"/>
      <c r="N1626" s="35"/>
      <c r="O1626" s="36"/>
      <c r="P1626" s="35"/>
      <c r="Q1626" s="36"/>
      <c r="R1626" s="35"/>
      <c r="S1626" s="36"/>
      <c r="T1626" s="35"/>
      <c r="U1626" s="36"/>
      <c r="V1626" s="35"/>
      <c r="W1626" s="36"/>
      <c r="X1626" s="35"/>
      <c r="Y1626" s="36"/>
      <c r="Z1626" s="37"/>
      <c r="AA1626" s="37"/>
      <c r="AB1626" s="35"/>
      <c r="AC1626" s="38"/>
      <c r="AD1626" s="36"/>
      <c r="AE1626" s="35"/>
      <c r="AF1626" s="36"/>
      <c r="AG1626" s="1"/>
    </row>
    <row r="1627" ht="21.0" customHeight="1">
      <c r="A1627" s="1"/>
      <c r="B1627" s="39" t="s">
        <v>24</v>
      </c>
      <c r="C1627" s="40"/>
      <c r="D1627" s="41"/>
      <c r="E1627" s="42" t="s">
        <v>25</v>
      </c>
      <c r="F1627" s="40"/>
      <c r="G1627" s="41"/>
      <c r="H1627" s="43" t="s">
        <v>26</v>
      </c>
      <c r="J1627" s="44" t="s">
        <v>27</v>
      </c>
      <c r="K1627" s="45" t="s">
        <v>28</v>
      </c>
      <c r="L1627" s="44" t="s">
        <v>27</v>
      </c>
      <c r="M1627" s="45" t="s">
        <v>28</v>
      </c>
      <c r="N1627" s="44" t="s">
        <v>27</v>
      </c>
      <c r="O1627" s="45" t="s">
        <v>28</v>
      </c>
      <c r="P1627" s="44" t="s">
        <v>27</v>
      </c>
      <c r="Q1627" s="45" t="s">
        <v>28</v>
      </c>
      <c r="R1627" s="44" t="s">
        <v>27</v>
      </c>
      <c r="S1627" s="45" t="s">
        <v>28</v>
      </c>
      <c r="T1627" s="44" t="s">
        <v>27</v>
      </c>
      <c r="U1627" s="45" t="s">
        <v>28</v>
      </c>
      <c r="V1627" s="44" t="s">
        <v>27</v>
      </c>
      <c r="W1627" s="45" t="s">
        <v>28</v>
      </c>
      <c r="X1627" s="44" t="s">
        <v>27</v>
      </c>
      <c r="Y1627" s="45" t="s">
        <v>28</v>
      </c>
      <c r="Z1627" s="46"/>
      <c r="AA1627" s="46"/>
      <c r="AB1627" s="121" t="s">
        <v>29</v>
      </c>
      <c r="AC1627" s="122" t="s">
        <v>30</v>
      </c>
      <c r="AD1627" s="123" t="s">
        <v>31</v>
      </c>
      <c r="AE1627" s="121" t="s">
        <v>27</v>
      </c>
      <c r="AF1627" s="123" t="s">
        <v>28</v>
      </c>
      <c r="AG1627" s="1"/>
    </row>
    <row r="1628" ht="21.0" customHeight="1">
      <c r="A1628" s="1"/>
      <c r="B1628" s="48" t="s">
        <v>32</v>
      </c>
      <c r="C1628" s="49"/>
      <c r="D1628" s="50"/>
      <c r="E1628" s="51" t="s">
        <v>33</v>
      </c>
      <c r="F1628" s="52" t="s">
        <v>34</v>
      </c>
      <c r="G1628" s="53"/>
      <c r="H1628" s="148"/>
      <c r="I1628" s="55"/>
      <c r="J1628" s="58"/>
      <c r="K1628" s="59"/>
      <c r="L1628" s="58"/>
      <c r="M1628" s="59"/>
      <c r="N1628" s="58"/>
      <c r="O1628" s="59"/>
      <c r="P1628" s="58"/>
      <c r="Q1628" s="59"/>
      <c r="R1628" s="58"/>
      <c r="S1628" s="59"/>
      <c r="T1628" s="58"/>
      <c r="U1628" s="59"/>
      <c r="V1628" s="58"/>
      <c r="W1628" s="59"/>
      <c r="X1628" s="58"/>
      <c r="Y1628" s="59"/>
      <c r="Z1628" s="60" t="b">
        <v>0</v>
      </c>
      <c r="AA1628" s="125">
        <f t="shared" ref="AA1628:AA1636" si="649">(J1628*K1628+L1628*M1628+N1628*O1628+P1628*Q1628+R1628*S1628+T1628*U1628+V1628*W1628+X1628*Y1628)*if(Z1628=true,0.453592,1)</f>
        <v>0</v>
      </c>
      <c r="AB1628" s="126">
        <f t="shared" ref="AB1628:AB1636" si="650">SUM(AE1628*AF1628*0.025,AE1628)</f>
        <v>0</v>
      </c>
      <c r="AC1628" s="127">
        <f t="shared" ref="AC1628:AC1636" si="651">AB1628*87%</f>
        <v>0</v>
      </c>
      <c r="AD1628" s="128">
        <f t="shared" ref="AD1628:AD1636" si="652">AB1628*67%</f>
        <v>0</v>
      </c>
      <c r="AE1628" s="126">
        <f t="shared" ref="AE1628:AE1636" si="653">MAX(J1628,L1628,N1628,P1628,R1628,T1628,V1628,X1628)*if(Z1628=true,0.453592,1)</f>
        <v>0</v>
      </c>
      <c r="AF1628" s="128">
        <f t="shared" ref="AF1628:AF1636" si="654">MAX(IF(J1628*if(Z1628=true,0.453592,1)=$AE1628,K1628,0),IF(L1628*if(Z1628=true,0.453592,1)=$AE1628,M1628,0),IF(N1628*if(Z1628=true,0.453592,1)=$AE1628,O1628,0),IF(P1628*if(Z1628=true,0.453592,1)=$AE1628,Q1628,0),IF(R1628*if(Z1628=true,0.453592,1)=$AE1628,S1628,0),IF(T1628*if(Z1628=true,0.453592,1)=$AE1628,U1628,0),IF(V1628*if(Z1628=true,0.453592,1)=$AE1628,W1628,0),IF(X1628*if(Z1628=true,0.453592,1)=$AE1628,Y1628,0))</f>
        <v>0</v>
      </c>
      <c r="AG1628" s="1"/>
    </row>
    <row r="1629" ht="21.0" customHeight="1">
      <c r="A1629" s="1"/>
      <c r="B1629" s="48" t="s">
        <v>36</v>
      </c>
      <c r="C1629" s="49"/>
      <c r="D1629" s="65"/>
      <c r="E1629" s="66"/>
      <c r="F1629" s="52" t="s">
        <v>37</v>
      </c>
      <c r="G1629" s="67"/>
      <c r="H1629" s="129"/>
      <c r="I1629" s="69"/>
      <c r="J1629" s="72"/>
      <c r="K1629" s="73"/>
      <c r="L1629" s="72"/>
      <c r="M1629" s="73"/>
      <c r="N1629" s="72"/>
      <c r="O1629" s="73"/>
      <c r="P1629" s="72"/>
      <c r="Q1629" s="73"/>
      <c r="R1629" s="72"/>
      <c r="S1629" s="73"/>
      <c r="T1629" s="72"/>
      <c r="U1629" s="73"/>
      <c r="V1629" s="72"/>
      <c r="W1629" s="73"/>
      <c r="X1629" s="72"/>
      <c r="Y1629" s="73"/>
      <c r="Z1629" s="74" t="b">
        <v>0</v>
      </c>
      <c r="AA1629" s="130">
        <f t="shared" si="649"/>
        <v>0</v>
      </c>
      <c r="AB1629" s="131">
        <f t="shared" si="650"/>
        <v>0</v>
      </c>
      <c r="AC1629" s="132">
        <f t="shared" si="651"/>
        <v>0</v>
      </c>
      <c r="AD1629" s="133">
        <f t="shared" si="652"/>
        <v>0</v>
      </c>
      <c r="AE1629" s="131">
        <f t="shared" si="653"/>
        <v>0</v>
      </c>
      <c r="AF1629" s="133">
        <f t="shared" si="654"/>
        <v>0</v>
      </c>
      <c r="AG1629" s="1"/>
    </row>
    <row r="1630" ht="21.0" customHeight="1">
      <c r="A1630" s="1"/>
      <c r="B1630" s="48" t="s">
        <v>39</v>
      </c>
      <c r="C1630" s="49"/>
      <c r="D1630" s="65"/>
      <c r="E1630" s="41"/>
      <c r="F1630" s="52" t="s">
        <v>40</v>
      </c>
      <c r="G1630" s="79"/>
      <c r="H1630" s="80"/>
      <c r="I1630" s="69"/>
      <c r="J1630" s="72"/>
      <c r="K1630" s="73"/>
      <c r="L1630" s="72"/>
      <c r="M1630" s="73"/>
      <c r="N1630" s="72"/>
      <c r="O1630" s="73"/>
      <c r="P1630" s="72"/>
      <c r="Q1630" s="73"/>
      <c r="R1630" s="72"/>
      <c r="S1630" s="73"/>
      <c r="T1630" s="72"/>
      <c r="U1630" s="73"/>
      <c r="V1630" s="72"/>
      <c r="W1630" s="73"/>
      <c r="X1630" s="72"/>
      <c r="Y1630" s="73"/>
      <c r="Z1630" s="74" t="b">
        <v>0</v>
      </c>
      <c r="AA1630" s="130">
        <f t="shared" si="649"/>
        <v>0</v>
      </c>
      <c r="AB1630" s="131">
        <f t="shared" si="650"/>
        <v>0</v>
      </c>
      <c r="AC1630" s="132">
        <f t="shared" si="651"/>
        <v>0</v>
      </c>
      <c r="AD1630" s="133">
        <f t="shared" si="652"/>
        <v>0</v>
      </c>
      <c r="AE1630" s="131">
        <f t="shared" si="653"/>
        <v>0</v>
      </c>
      <c r="AF1630" s="133">
        <f t="shared" si="654"/>
        <v>0</v>
      </c>
      <c r="AG1630" s="1"/>
    </row>
    <row r="1631" ht="21.0" customHeight="1">
      <c r="A1631" s="1"/>
      <c r="B1631" s="48" t="s">
        <v>41</v>
      </c>
      <c r="C1631" s="81"/>
      <c r="D1631" s="82" t="b">
        <v>0</v>
      </c>
      <c r="E1631" s="51" t="s">
        <v>42</v>
      </c>
      <c r="F1631" s="52" t="s">
        <v>34</v>
      </c>
      <c r="G1631" s="83"/>
      <c r="H1631" s="84"/>
      <c r="I1631" s="85"/>
      <c r="J1631" s="72"/>
      <c r="K1631" s="73"/>
      <c r="L1631" s="72"/>
      <c r="M1631" s="73"/>
      <c r="N1631" s="72"/>
      <c r="O1631" s="73"/>
      <c r="P1631" s="72"/>
      <c r="Q1631" s="73"/>
      <c r="R1631" s="72"/>
      <c r="S1631" s="73"/>
      <c r="T1631" s="72"/>
      <c r="U1631" s="73"/>
      <c r="V1631" s="72"/>
      <c r="W1631" s="73"/>
      <c r="X1631" s="72"/>
      <c r="Y1631" s="73"/>
      <c r="Z1631" s="74" t="b">
        <v>0</v>
      </c>
      <c r="AA1631" s="130">
        <f t="shared" si="649"/>
        <v>0</v>
      </c>
      <c r="AB1631" s="131">
        <f t="shared" si="650"/>
        <v>0</v>
      </c>
      <c r="AC1631" s="132">
        <f t="shared" si="651"/>
        <v>0</v>
      </c>
      <c r="AD1631" s="133">
        <f t="shared" si="652"/>
        <v>0</v>
      </c>
      <c r="AE1631" s="131">
        <f t="shared" si="653"/>
        <v>0</v>
      </c>
      <c r="AF1631" s="133">
        <f t="shared" si="654"/>
        <v>0</v>
      </c>
      <c r="AG1631" s="1"/>
    </row>
    <row r="1632" ht="21.0" customHeight="1">
      <c r="A1632" s="1"/>
      <c r="B1632" s="48" t="s">
        <v>43</v>
      </c>
      <c r="C1632" s="49"/>
      <c r="D1632" s="86" t="b">
        <v>0</v>
      </c>
      <c r="E1632" s="66"/>
      <c r="F1632" s="52" t="s">
        <v>37</v>
      </c>
      <c r="G1632" s="67"/>
      <c r="H1632" s="80"/>
      <c r="I1632" s="69"/>
      <c r="J1632" s="72"/>
      <c r="K1632" s="73"/>
      <c r="L1632" s="72"/>
      <c r="M1632" s="73"/>
      <c r="N1632" s="72"/>
      <c r="O1632" s="73"/>
      <c r="P1632" s="72"/>
      <c r="Q1632" s="73"/>
      <c r="R1632" s="72"/>
      <c r="S1632" s="73"/>
      <c r="T1632" s="72"/>
      <c r="U1632" s="73"/>
      <c r="V1632" s="72"/>
      <c r="W1632" s="73"/>
      <c r="X1632" s="72"/>
      <c r="Y1632" s="73"/>
      <c r="Z1632" s="74" t="b">
        <v>0</v>
      </c>
      <c r="AA1632" s="130">
        <f t="shared" si="649"/>
        <v>0</v>
      </c>
      <c r="AB1632" s="131">
        <f t="shared" si="650"/>
        <v>0</v>
      </c>
      <c r="AC1632" s="132">
        <f t="shared" si="651"/>
        <v>0</v>
      </c>
      <c r="AD1632" s="133">
        <f t="shared" si="652"/>
        <v>0</v>
      </c>
      <c r="AE1632" s="131">
        <f t="shared" si="653"/>
        <v>0</v>
      </c>
      <c r="AF1632" s="133">
        <f t="shared" si="654"/>
        <v>0</v>
      </c>
      <c r="AG1632" s="1"/>
    </row>
    <row r="1633" ht="21.0" customHeight="1">
      <c r="A1633" s="1"/>
      <c r="B1633" s="87" t="str">
        <f t="array" ref="B1633">"📌최근 인바디 결과 : "&amp;text(xlookup(B1625,'현황'!O:O,'현황'!O:O,,-1,-1),"m/d(ddd)")</f>
        <v>#REF!</v>
      </c>
      <c r="C1633" s="88"/>
      <c r="D1633" s="49"/>
      <c r="E1633" s="41"/>
      <c r="F1633" s="52" t="s">
        <v>40</v>
      </c>
      <c r="G1633" s="79"/>
      <c r="H1633" s="80"/>
      <c r="I1633" s="69"/>
      <c r="J1633" s="72"/>
      <c r="K1633" s="73"/>
      <c r="L1633" s="72"/>
      <c r="M1633" s="73"/>
      <c r="N1633" s="72"/>
      <c r="O1633" s="73"/>
      <c r="P1633" s="72"/>
      <c r="Q1633" s="73"/>
      <c r="R1633" s="72"/>
      <c r="S1633" s="73"/>
      <c r="T1633" s="72"/>
      <c r="U1633" s="73"/>
      <c r="V1633" s="72"/>
      <c r="W1633" s="73"/>
      <c r="X1633" s="72"/>
      <c r="Y1633" s="73"/>
      <c r="Z1633" s="74" t="b">
        <v>0</v>
      </c>
      <c r="AA1633" s="130">
        <f t="shared" si="649"/>
        <v>0</v>
      </c>
      <c r="AB1633" s="131">
        <f t="shared" si="650"/>
        <v>0</v>
      </c>
      <c r="AC1633" s="132">
        <f t="shared" si="651"/>
        <v>0</v>
      </c>
      <c r="AD1633" s="133">
        <f t="shared" si="652"/>
        <v>0</v>
      </c>
      <c r="AE1633" s="131">
        <f t="shared" si="653"/>
        <v>0</v>
      </c>
      <c r="AF1633" s="133">
        <f t="shared" si="654"/>
        <v>0</v>
      </c>
      <c r="AG1633" s="1"/>
    </row>
    <row r="1634" ht="21.0" customHeight="1">
      <c r="A1634" s="1"/>
      <c r="B1634" s="89" t="s">
        <v>44</v>
      </c>
      <c r="C1634" s="49"/>
      <c r="D1634" s="90">
        <f t="array" ref="D1634">iferror(vlookup(xlookup(B1625,'현황'!O:O,'현황'!O:O,,-1,-1),'현황'!O:S,2,false),0)</f>
        <v>0</v>
      </c>
      <c r="E1634" s="51" t="s">
        <v>45</v>
      </c>
      <c r="F1634" s="52" t="s">
        <v>34</v>
      </c>
      <c r="G1634" s="83"/>
      <c r="H1634" s="84"/>
      <c r="I1634" s="85"/>
      <c r="J1634" s="72"/>
      <c r="K1634" s="73"/>
      <c r="L1634" s="72"/>
      <c r="M1634" s="73"/>
      <c r="N1634" s="72"/>
      <c r="O1634" s="73"/>
      <c r="P1634" s="72"/>
      <c r="Q1634" s="73"/>
      <c r="R1634" s="72"/>
      <c r="S1634" s="73"/>
      <c r="T1634" s="72"/>
      <c r="U1634" s="73"/>
      <c r="V1634" s="72"/>
      <c r="W1634" s="73"/>
      <c r="X1634" s="72"/>
      <c r="Y1634" s="73"/>
      <c r="Z1634" s="74" t="b">
        <v>0</v>
      </c>
      <c r="AA1634" s="130">
        <f t="shared" si="649"/>
        <v>0</v>
      </c>
      <c r="AB1634" s="131">
        <f t="shared" si="650"/>
        <v>0</v>
      </c>
      <c r="AC1634" s="132">
        <f t="shared" si="651"/>
        <v>0</v>
      </c>
      <c r="AD1634" s="133">
        <f t="shared" si="652"/>
        <v>0</v>
      </c>
      <c r="AE1634" s="131">
        <f t="shared" si="653"/>
        <v>0</v>
      </c>
      <c r="AF1634" s="133">
        <f t="shared" si="654"/>
        <v>0</v>
      </c>
      <c r="AG1634" s="1"/>
    </row>
    <row r="1635" ht="21.0" customHeight="1">
      <c r="A1635" s="1"/>
      <c r="B1635" s="48" t="s">
        <v>46</v>
      </c>
      <c r="C1635" s="49"/>
      <c r="D1635" s="91">
        <f t="array" ref="D1635">iferror(vlookup(xlookup(B1625,'현황'!O:O,'현황'!O:O,,-1,-1),'현황'!O:S,3,false),0)</f>
        <v>0</v>
      </c>
      <c r="E1635" s="66"/>
      <c r="F1635" s="52" t="s">
        <v>37</v>
      </c>
      <c r="G1635" s="67"/>
      <c r="H1635" s="80"/>
      <c r="I1635" s="69"/>
      <c r="J1635" s="72"/>
      <c r="K1635" s="73"/>
      <c r="L1635" s="72"/>
      <c r="M1635" s="73"/>
      <c r="N1635" s="72"/>
      <c r="O1635" s="73"/>
      <c r="P1635" s="72"/>
      <c r="Q1635" s="73"/>
      <c r="R1635" s="72"/>
      <c r="S1635" s="73"/>
      <c r="T1635" s="72"/>
      <c r="U1635" s="73"/>
      <c r="V1635" s="72"/>
      <c r="W1635" s="73"/>
      <c r="X1635" s="72"/>
      <c r="Y1635" s="73"/>
      <c r="Z1635" s="74" t="b">
        <v>0</v>
      </c>
      <c r="AA1635" s="130">
        <f t="shared" si="649"/>
        <v>0</v>
      </c>
      <c r="AB1635" s="131">
        <f t="shared" si="650"/>
        <v>0</v>
      </c>
      <c r="AC1635" s="132">
        <f t="shared" si="651"/>
        <v>0</v>
      </c>
      <c r="AD1635" s="133">
        <f t="shared" si="652"/>
        <v>0</v>
      </c>
      <c r="AE1635" s="131">
        <f t="shared" si="653"/>
        <v>0</v>
      </c>
      <c r="AF1635" s="133">
        <f t="shared" si="654"/>
        <v>0</v>
      </c>
      <c r="AG1635" s="1"/>
    </row>
    <row r="1636" ht="21.0" customHeight="1">
      <c r="A1636" s="1"/>
      <c r="B1636" s="48" t="s">
        <v>47</v>
      </c>
      <c r="C1636" s="49"/>
      <c r="D1636" s="91">
        <f t="array" ref="D1636">iferror(vlookup(xlookup(B1625,'현황'!O:O,'현황'!O:O,,-1,-1),'현황'!O:S,4,false),0)</f>
        <v>0</v>
      </c>
      <c r="E1636" s="41"/>
      <c r="F1636" s="92" t="s">
        <v>40</v>
      </c>
      <c r="G1636" s="79"/>
      <c r="H1636" s="93"/>
      <c r="I1636" s="94"/>
      <c r="J1636" s="95"/>
      <c r="K1636" s="96"/>
      <c r="L1636" s="95"/>
      <c r="M1636" s="96"/>
      <c r="N1636" s="95"/>
      <c r="O1636" s="96"/>
      <c r="P1636" s="95"/>
      <c r="Q1636" s="96"/>
      <c r="R1636" s="95"/>
      <c r="S1636" s="96"/>
      <c r="T1636" s="95"/>
      <c r="U1636" s="96"/>
      <c r="V1636" s="95"/>
      <c r="W1636" s="96"/>
      <c r="X1636" s="95"/>
      <c r="Y1636" s="96"/>
      <c r="Z1636" s="97" t="b">
        <v>0</v>
      </c>
      <c r="AA1636" s="135">
        <f t="shared" si="649"/>
        <v>0</v>
      </c>
      <c r="AB1636" s="136">
        <f t="shared" si="650"/>
        <v>0</v>
      </c>
      <c r="AC1636" s="137">
        <f t="shared" si="651"/>
        <v>0</v>
      </c>
      <c r="AD1636" s="138">
        <f t="shared" si="652"/>
        <v>0</v>
      </c>
      <c r="AE1636" s="136">
        <f t="shared" si="653"/>
        <v>0</v>
      </c>
      <c r="AF1636" s="138">
        <f t="shared" si="654"/>
        <v>0</v>
      </c>
      <c r="AG1636" s="1"/>
    </row>
    <row r="1637" ht="21.0" customHeight="1">
      <c r="A1637" s="1"/>
      <c r="B1637" s="102" t="s">
        <v>48</v>
      </c>
      <c r="C1637" s="103"/>
      <c r="D1637" s="104">
        <f>iferror(D1636/D1634,0)</f>
        <v>0</v>
      </c>
      <c r="E1637" s="102" t="s">
        <v>49</v>
      </c>
      <c r="F1637" s="103"/>
      <c r="G1637" s="105"/>
      <c r="H1637" s="106" t="s">
        <v>50</v>
      </c>
      <c r="I1637" s="107"/>
      <c r="J1637" s="11"/>
      <c r="K1637" s="11"/>
      <c r="L1637" s="11"/>
      <c r="M1637" s="11"/>
      <c r="N1637" s="11"/>
      <c r="O1637" s="11"/>
      <c r="P1637" s="108" t="s">
        <v>51</v>
      </c>
      <c r="Q1637" s="12"/>
      <c r="R1637" s="109"/>
      <c r="S1637" s="11"/>
      <c r="T1637" s="11"/>
      <c r="U1637" s="11"/>
      <c r="V1637" s="11"/>
      <c r="W1637" s="11"/>
      <c r="X1637" s="11"/>
      <c r="Y1637" s="11"/>
      <c r="Z1637" s="12"/>
      <c r="AA1637" s="139">
        <f>SUM(AA1628:AA1636)</f>
        <v>0</v>
      </c>
      <c r="AB1637" s="140" t="s">
        <v>315</v>
      </c>
      <c r="AG1637" s="1"/>
    </row>
    <row r="1638" ht="21.0" customHeight="1">
      <c r="A1638" s="1"/>
      <c r="B1638" s="1"/>
      <c r="C1638" s="1"/>
      <c r="D1638" s="1"/>
      <c r="E1638" s="1"/>
      <c r="F1638" s="1"/>
      <c r="G1638" s="1"/>
      <c r="H1638" s="1"/>
      <c r="I1638" s="1"/>
      <c r="AA1638" s="1"/>
      <c r="AB1638" s="1"/>
      <c r="AC1638" s="3"/>
      <c r="AD1638" s="1"/>
      <c r="AE1638" s="1"/>
      <c r="AF1638" s="1"/>
      <c r="AG1638" s="1"/>
    </row>
    <row r="1639" ht="21.0" customHeight="1">
      <c r="A1639" s="1"/>
      <c r="B1639" s="4" t="s">
        <v>1</v>
      </c>
      <c r="C1639" s="5"/>
      <c r="D1639" s="6" t="s">
        <v>2</v>
      </c>
      <c r="E1639" s="7"/>
      <c r="F1639" s="7"/>
      <c r="G1639" s="5"/>
      <c r="H1639" s="8" t="s">
        <v>3</v>
      </c>
      <c r="I1639" s="8" t="s">
        <v>4</v>
      </c>
      <c r="J1639" s="9" t="s">
        <v>5</v>
      </c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5"/>
      <c r="AA1639" s="117" t="s">
        <v>6</v>
      </c>
      <c r="AB1639" s="11"/>
      <c r="AC1639" s="11"/>
      <c r="AD1639" s="11"/>
      <c r="AE1639" s="11"/>
      <c r="AF1639" s="12"/>
      <c r="AG1639" s="1"/>
    </row>
    <row r="1640" ht="21.0" customHeight="1">
      <c r="A1640" s="1"/>
      <c r="B1640" s="149" t="s">
        <v>138</v>
      </c>
      <c r="C1640" s="14" t="str">
        <f>if(B1640="0/0","",choose(weekday(B1640),"(일)","(월)","(화)","(수)","(목)","(금)","(토)"))</f>
        <v/>
      </c>
      <c r="D1640" s="15" t="s">
        <v>7</v>
      </c>
      <c r="E1640" s="16" t="s">
        <v>8</v>
      </c>
      <c r="F1640" s="17"/>
      <c r="G1640" s="18" t="s">
        <v>9</v>
      </c>
      <c r="H1640" s="150" t="s">
        <v>139</v>
      </c>
      <c r="I1640" s="151"/>
      <c r="J1640" s="21" t="s">
        <v>12</v>
      </c>
      <c r="K1640" s="22"/>
      <c r="L1640" s="21" t="s">
        <v>13</v>
      </c>
      <c r="M1640" s="22"/>
      <c r="N1640" s="21" t="s">
        <v>14</v>
      </c>
      <c r="O1640" s="22"/>
      <c r="P1640" s="21" t="s">
        <v>15</v>
      </c>
      <c r="Q1640" s="22"/>
      <c r="R1640" s="23" t="s">
        <v>16</v>
      </c>
      <c r="S1640" s="22"/>
      <c r="T1640" s="23" t="s">
        <v>17</v>
      </c>
      <c r="U1640" s="22"/>
      <c r="V1640" s="23" t="s">
        <v>18</v>
      </c>
      <c r="W1640" s="22"/>
      <c r="X1640" s="23" t="s">
        <v>19</v>
      </c>
      <c r="Y1640" s="22"/>
      <c r="Z1640" s="24" t="s">
        <v>316</v>
      </c>
      <c r="AA1640" s="118" t="s">
        <v>21</v>
      </c>
      <c r="AB1640" s="119" t="s">
        <v>22</v>
      </c>
      <c r="AC1640" s="7"/>
      <c r="AD1640" s="22"/>
      <c r="AE1640" s="120" t="s">
        <v>23</v>
      </c>
      <c r="AF1640" s="22"/>
      <c r="AG1640" s="1"/>
    </row>
    <row r="1641" ht="21.0" customHeight="1">
      <c r="A1641" s="1"/>
      <c r="B1641" s="27">
        <f>iferror(B1640-'현황'!$C$4+1,0)</f>
        <v>0</v>
      </c>
      <c r="C1641" s="28"/>
      <c r="D1641" s="29">
        <v>0.0</v>
      </c>
      <c r="E1641" s="30">
        <v>0.0</v>
      </c>
      <c r="F1641" s="31"/>
      <c r="G1641" s="32">
        <v>0.0</v>
      </c>
      <c r="H1641" s="33">
        <v>0.0</v>
      </c>
      <c r="I1641" s="34"/>
      <c r="J1641" s="35"/>
      <c r="K1641" s="36"/>
      <c r="L1641" s="35"/>
      <c r="M1641" s="36"/>
      <c r="N1641" s="35"/>
      <c r="O1641" s="36"/>
      <c r="P1641" s="35"/>
      <c r="Q1641" s="36"/>
      <c r="R1641" s="35"/>
      <c r="S1641" s="36"/>
      <c r="T1641" s="35"/>
      <c r="U1641" s="36"/>
      <c r="V1641" s="35"/>
      <c r="W1641" s="36"/>
      <c r="X1641" s="35"/>
      <c r="Y1641" s="36"/>
      <c r="Z1641" s="37"/>
      <c r="AA1641" s="37"/>
      <c r="AB1641" s="35"/>
      <c r="AC1641" s="38"/>
      <c r="AD1641" s="36"/>
      <c r="AE1641" s="35"/>
      <c r="AF1641" s="36"/>
      <c r="AG1641" s="1"/>
    </row>
    <row r="1642" ht="21.0" customHeight="1">
      <c r="A1642" s="1"/>
      <c r="B1642" s="39" t="s">
        <v>24</v>
      </c>
      <c r="C1642" s="40"/>
      <c r="D1642" s="41"/>
      <c r="E1642" s="42" t="s">
        <v>25</v>
      </c>
      <c r="F1642" s="40"/>
      <c r="G1642" s="41"/>
      <c r="H1642" s="43" t="s">
        <v>26</v>
      </c>
      <c r="J1642" s="44" t="s">
        <v>27</v>
      </c>
      <c r="K1642" s="45" t="s">
        <v>28</v>
      </c>
      <c r="L1642" s="44" t="s">
        <v>27</v>
      </c>
      <c r="M1642" s="45" t="s">
        <v>28</v>
      </c>
      <c r="N1642" s="44" t="s">
        <v>27</v>
      </c>
      <c r="O1642" s="45" t="s">
        <v>28</v>
      </c>
      <c r="P1642" s="44" t="s">
        <v>27</v>
      </c>
      <c r="Q1642" s="45" t="s">
        <v>28</v>
      </c>
      <c r="R1642" s="44" t="s">
        <v>27</v>
      </c>
      <c r="S1642" s="45" t="s">
        <v>28</v>
      </c>
      <c r="T1642" s="44" t="s">
        <v>27</v>
      </c>
      <c r="U1642" s="45" t="s">
        <v>28</v>
      </c>
      <c r="V1642" s="44" t="s">
        <v>27</v>
      </c>
      <c r="W1642" s="45" t="s">
        <v>28</v>
      </c>
      <c r="X1642" s="44" t="s">
        <v>27</v>
      </c>
      <c r="Y1642" s="45" t="s">
        <v>28</v>
      </c>
      <c r="Z1642" s="46"/>
      <c r="AA1642" s="46"/>
      <c r="AB1642" s="121" t="s">
        <v>29</v>
      </c>
      <c r="AC1642" s="122" t="s">
        <v>30</v>
      </c>
      <c r="AD1642" s="123" t="s">
        <v>31</v>
      </c>
      <c r="AE1642" s="121" t="s">
        <v>27</v>
      </c>
      <c r="AF1642" s="123" t="s">
        <v>28</v>
      </c>
      <c r="AG1642" s="1"/>
    </row>
    <row r="1643" ht="21.0" customHeight="1">
      <c r="A1643" s="1"/>
      <c r="B1643" s="48" t="s">
        <v>32</v>
      </c>
      <c r="C1643" s="49"/>
      <c r="D1643" s="50"/>
      <c r="E1643" s="51" t="s">
        <v>33</v>
      </c>
      <c r="F1643" s="52" t="s">
        <v>34</v>
      </c>
      <c r="G1643" s="53"/>
      <c r="H1643" s="148"/>
      <c r="I1643" s="55"/>
      <c r="J1643" s="58"/>
      <c r="K1643" s="59"/>
      <c r="L1643" s="58"/>
      <c r="M1643" s="59"/>
      <c r="N1643" s="58"/>
      <c r="O1643" s="59"/>
      <c r="P1643" s="58"/>
      <c r="Q1643" s="59"/>
      <c r="R1643" s="58"/>
      <c r="S1643" s="59"/>
      <c r="T1643" s="58"/>
      <c r="U1643" s="59"/>
      <c r="V1643" s="58"/>
      <c r="W1643" s="59"/>
      <c r="X1643" s="58"/>
      <c r="Y1643" s="59"/>
      <c r="Z1643" s="60" t="b">
        <v>0</v>
      </c>
      <c r="AA1643" s="125">
        <f t="shared" ref="AA1643:AA1651" si="655">(J1643*K1643+L1643*M1643+N1643*O1643+P1643*Q1643+R1643*S1643+T1643*U1643+V1643*W1643+X1643*Y1643)*if(Z1643=true,0.453592,1)</f>
        <v>0</v>
      </c>
      <c r="AB1643" s="126">
        <f t="shared" ref="AB1643:AB1651" si="656">SUM(AE1643*AF1643*0.025,AE1643)</f>
        <v>0</v>
      </c>
      <c r="AC1643" s="127">
        <f t="shared" ref="AC1643:AC1651" si="657">AB1643*87%</f>
        <v>0</v>
      </c>
      <c r="AD1643" s="128">
        <f t="shared" ref="AD1643:AD1651" si="658">AB1643*67%</f>
        <v>0</v>
      </c>
      <c r="AE1643" s="126">
        <f t="shared" ref="AE1643:AE1651" si="659">MAX(J1643,L1643,N1643,P1643,R1643,T1643,V1643,X1643)*if(Z1643=true,0.453592,1)</f>
        <v>0</v>
      </c>
      <c r="AF1643" s="128">
        <f t="shared" ref="AF1643:AF1651" si="660">MAX(IF(J1643*if(Z1643=true,0.453592,1)=$AE1643,K1643,0),IF(L1643*if(Z1643=true,0.453592,1)=$AE1643,M1643,0),IF(N1643*if(Z1643=true,0.453592,1)=$AE1643,O1643,0),IF(P1643*if(Z1643=true,0.453592,1)=$AE1643,Q1643,0),IF(R1643*if(Z1643=true,0.453592,1)=$AE1643,S1643,0),IF(T1643*if(Z1643=true,0.453592,1)=$AE1643,U1643,0),IF(V1643*if(Z1643=true,0.453592,1)=$AE1643,W1643,0),IF(X1643*if(Z1643=true,0.453592,1)=$AE1643,Y1643,0))</f>
        <v>0</v>
      </c>
      <c r="AG1643" s="1"/>
    </row>
    <row r="1644" ht="21.0" customHeight="1">
      <c r="A1644" s="1"/>
      <c r="B1644" s="48" t="s">
        <v>36</v>
      </c>
      <c r="C1644" s="49"/>
      <c r="D1644" s="65"/>
      <c r="E1644" s="66"/>
      <c r="F1644" s="52" t="s">
        <v>37</v>
      </c>
      <c r="G1644" s="67"/>
      <c r="H1644" s="129"/>
      <c r="I1644" s="69"/>
      <c r="J1644" s="72"/>
      <c r="K1644" s="73"/>
      <c r="L1644" s="72"/>
      <c r="M1644" s="73"/>
      <c r="N1644" s="72"/>
      <c r="O1644" s="73"/>
      <c r="P1644" s="72"/>
      <c r="Q1644" s="73"/>
      <c r="R1644" s="72"/>
      <c r="S1644" s="73"/>
      <c r="T1644" s="72"/>
      <c r="U1644" s="73"/>
      <c r="V1644" s="72"/>
      <c r="W1644" s="73"/>
      <c r="X1644" s="72"/>
      <c r="Y1644" s="73"/>
      <c r="Z1644" s="74" t="b">
        <v>0</v>
      </c>
      <c r="AA1644" s="130">
        <f t="shared" si="655"/>
        <v>0</v>
      </c>
      <c r="AB1644" s="131">
        <f t="shared" si="656"/>
        <v>0</v>
      </c>
      <c r="AC1644" s="132">
        <f t="shared" si="657"/>
        <v>0</v>
      </c>
      <c r="AD1644" s="133">
        <f t="shared" si="658"/>
        <v>0</v>
      </c>
      <c r="AE1644" s="131">
        <f t="shared" si="659"/>
        <v>0</v>
      </c>
      <c r="AF1644" s="133">
        <f t="shared" si="660"/>
        <v>0</v>
      </c>
      <c r="AG1644" s="1"/>
    </row>
    <row r="1645" ht="21.0" customHeight="1">
      <c r="A1645" s="1"/>
      <c r="B1645" s="48" t="s">
        <v>39</v>
      </c>
      <c r="C1645" s="49"/>
      <c r="D1645" s="65"/>
      <c r="E1645" s="41"/>
      <c r="F1645" s="52" t="s">
        <v>40</v>
      </c>
      <c r="G1645" s="79"/>
      <c r="H1645" s="80"/>
      <c r="I1645" s="69"/>
      <c r="J1645" s="72"/>
      <c r="K1645" s="73"/>
      <c r="L1645" s="72"/>
      <c r="M1645" s="73"/>
      <c r="N1645" s="72"/>
      <c r="O1645" s="73"/>
      <c r="P1645" s="72"/>
      <c r="Q1645" s="73"/>
      <c r="R1645" s="72"/>
      <c r="S1645" s="73"/>
      <c r="T1645" s="72"/>
      <c r="U1645" s="73"/>
      <c r="V1645" s="72"/>
      <c r="W1645" s="73"/>
      <c r="X1645" s="72"/>
      <c r="Y1645" s="73"/>
      <c r="Z1645" s="74" t="b">
        <v>0</v>
      </c>
      <c r="AA1645" s="130">
        <f t="shared" si="655"/>
        <v>0</v>
      </c>
      <c r="AB1645" s="131">
        <f t="shared" si="656"/>
        <v>0</v>
      </c>
      <c r="AC1645" s="132">
        <f t="shared" si="657"/>
        <v>0</v>
      </c>
      <c r="AD1645" s="133">
        <f t="shared" si="658"/>
        <v>0</v>
      </c>
      <c r="AE1645" s="131">
        <f t="shared" si="659"/>
        <v>0</v>
      </c>
      <c r="AF1645" s="133">
        <f t="shared" si="660"/>
        <v>0</v>
      </c>
      <c r="AG1645" s="1"/>
    </row>
    <row r="1646" ht="21.0" customHeight="1">
      <c r="A1646" s="1"/>
      <c r="B1646" s="48" t="s">
        <v>41</v>
      </c>
      <c r="C1646" s="81"/>
      <c r="D1646" s="82" t="b">
        <v>0</v>
      </c>
      <c r="E1646" s="51" t="s">
        <v>42</v>
      </c>
      <c r="F1646" s="52" t="s">
        <v>34</v>
      </c>
      <c r="G1646" s="83"/>
      <c r="H1646" s="84"/>
      <c r="I1646" s="85"/>
      <c r="J1646" s="72"/>
      <c r="K1646" s="73"/>
      <c r="L1646" s="72"/>
      <c r="M1646" s="73"/>
      <c r="N1646" s="72"/>
      <c r="O1646" s="73"/>
      <c r="P1646" s="72"/>
      <c r="Q1646" s="73"/>
      <c r="R1646" s="72"/>
      <c r="S1646" s="73"/>
      <c r="T1646" s="72"/>
      <c r="U1646" s="73"/>
      <c r="V1646" s="72"/>
      <c r="W1646" s="73"/>
      <c r="X1646" s="72"/>
      <c r="Y1646" s="73"/>
      <c r="Z1646" s="74" t="b">
        <v>0</v>
      </c>
      <c r="AA1646" s="130">
        <f t="shared" si="655"/>
        <v>0</v>
      </c>
      <c r="AB1646" s="131">
        <f t="shared" si="656"/>
        <v>0</v>
      </c>
      <c r="AC1646" s="132">
        <f t="shared" si="657"/>
        <v>0</v>
      </c>
      <c r="AD1646" s="133">
        <f t="shared" si="658"/>
        <v>0</v>
      </c>
      <c r="AE1646" s="131">
        <f t="shared" si="659"/>
        <v>0</v>
      </c>
      <c r="AF1646" s="133">
        <f t="shared" si="660"/>
        <v>0</v>
      </c>
      <c r="AG1646" s="1"/>
    </row>
    <row r="1647" ht="21.0" customHeight="1">
      <c r="A1647" s="1"/>
      <c r="B1647" s="48" t="s">
        <v>43</v>
      </c>
      <c r="C1647" s="49"/>
      <c r="D1647" s="86" t="b">
        <v>0</v>
      </c>
      <c r="E1647" s="66"/>
      <c r="F1647" s="52" t="s">
        <v>37</v>
      </c>
      <c r="G1647" s="67"/>
      <c r="H1647" s="80"/>
      <c r="I1647" s="69"/>
      <c r="J1647" s="72"/>
      <c r="K1647" s="73"/>
      <c r="L1647" s="72"/>
      <c r="M1647" s="73"/>
      <c r="N1647" s="72"/>
      <c r="O1647" s="73"/>
      <c r="P1647" s="72"/>
      <c r="Q1647" s="73"/>
      <c r="R1647" s="72"/>
      <c r="S1647" s="73"/>
      <c r="T1647" s="72"/>
      <c r="U1647" s="73"/>
      <c r="V1647" s="72"/>
      <c r="W1647" s="73"/>
      <c r="X1647" s="72"/>
      <c r="Y1647" s="73"/>
      <c r="Z1647" s="74" t="b">
        <v>0</v>
      </c>
      <c r="AA1647" s="130">
        <f t="shared" si="655"/>
        <v>0</v>
      </c>
      <c r="AB1647" s="131">
        <f t="shared" si="656"/>
        <v>0</v>
      </c>
      <c r="AC1647" s="132">
        <f t="shared" si="657"/>
        <v>0</v>
      </c>
      <c r="AD1647" s="133">
        <f t="shared" si="658"/>
        <v>0</v>
      </c>
      <c r="AE1647" s="131">
        <f t="shared" si="659"/>
        <v>0</v>
      </c>
      <c r="AF1647" s="133">
        <f t="shared" si="660"/>
        <v>0</v>
      </c>
      <c r="AG1647" s="1"/>
    </row>
    <row r="1648" ht="21.0" customHeight="1">
      <c r="A1648" s="1"/>
      <c r="B1648" s="87" t="str">
        <f t="array" ref="B1648">"📌최근 인바디 결과 : "&amp;text(xlookup(B1640,'현황'!O:O,'현황'!O:O,,-1,-1),"m/d(ddd)")</f>
        <v>#REF!</v>
      </c>
      <c r="C1648" s="88"/>
      <c r="D1648" s="49"/>
      <c r="E1648" s="41"/>
      <c r="F1648" s="52" t="s">
        <v>40</v>
      </c>
      <c r="G1648" s="79"/>
      <c r="H1648" s="80"/>
      <c r="I1648" s="69"/>
      <c r="J1648" s="72"/>
      <c r="K1648" s="73"/>
      <c r="L1648" s="72"/>
      <c r="M1648" s="73"/>
      <c r="N1648" s="72"/>
      <c r="O1648" s="73"/>
      <c r="P1648" s="72"/>
      <c r="Q1648" s="73"/>
      <c r="R1648" s="72"/>
      <c r="S1648" s="73"/>
      <c r="T1648" s="72"/>
      <c r="U1648" s="73"/>
      <c r="V1648" s="72"/>
      <c r="W1648" s="73"/>
      <c r="X1648" s="72"/>
      <c r="Y1648" s="73"/>
      <c r="Z1648" s="74" t="b">
        <v>0</v>
      </c>
      <c r="AA1648" s="130">
        <f t="shared" si="655"/>
        <v>0</v>
      </c>
      <c r="AB1648" s="131">
        <f t="shared" si="656"/>
        <v>0</v>
      </c>
      <c r="AC1648" s="132">
        <f t="shared" si="657"/>
        <v>0</v>
      </c>
      <c r="AD1648" s="133">
        <f t="shared" si="658"/>
        <v>0</v>
      </c>
      <c r="AE1648" s="131">
        <f t="shared" si="659"/>
        <v>0</v>
      </c>
      <c r="AF1648" s="133">
        <f t="shared" si="660"/>
        <v>0</v>
      </c>
      <c r="AG1648" s="1"/>
    </row>
    <row r="1649" ht="21.0" customHeight="1">
      <c r="A1649" s="1"/>
      <c r="B1649" s="89" t="s">
        <v>44</v>
      </c>
      <c r="C1649" s="49"/>
      <c r="D1649" s="90">
        <f t="array" ref="D1649">iferror(vlookup(xlookup(B1640,'현황'!O:O,'현황'!O:O,,-1,-1),'현황'!O:S,2,false),0)</f>
        <v>0</v>
      </c>
      <c r="E1649" s="51" t="s">
        <v>45</v>
      </c>
      <c r="F1649" s="52" t="s">
        <v>34</v>
      </c>
      <c r="G1649" s="83"/>
      <c r="H1649" s="84"/>
      <c r="I1649" s="85"/>
      <c r="J1649" s="72"/>
      <c r="K1649" s="73"/>
      <c r="L1649" s="72"/>
      <c r="M1649" s="73"/>
      <c r="N1649" s="72"/>
      <c r="O1649" s="73"/>
      <c r="P1649" s="72"/>
      <c r="Q1649" s="73"/>
      <c r="R1649" s="72"/>
      <c r="S1649" s="73"/>
      <c r="T1649" s="72"/>
      <c r="U1649" s="73"/>
      <c r="V1649" s="72"/>
      <c r="W1649" s="73"/>
      <c r="X1649" s="72"/>
      <c r="Y1649" s="73"/>
      <c r="Z1649" s="74" t="b">
        <v>0</v>
      </c>
      <c r="AA1649" s="130">
        <f t="shared" si="655"/>
        <v>0</v>
      </c>
      <c r="AB1649" s="131">
        <f t="shared" si="656"/>
        <v>0</v>
      </c>
      <c r="AC1649" s="132">
        <f t="shared" si="657"/>
        <v>0</v>
      </c>
      <c r="AD1649" s="133">
        <f t="shared" si="658"/>
        <v>0</v>
      </c>
      <c r="AE1649" s="131">
        <f t="shared" si="659"/>
        <v>0</v>
      </c>
      <c r="AF1649" s="133">
        <f t="shared" si="660"/>
        <v>0</v>
      </c>
      <c r="AG1649" s="1"/>
    </row>
    <row r="1650" ht="21.0" customHeight="1">
      <c r="A1650" s="1"/>
      <c r="B1650" s="48" t="s">
        <v>46</v>
      </c>
      <c r="C1650" s="49"/>
      <c r="D1650" s="91">
        <f t="array" ref="D1650">iferror(vlookup(xlookup(B1640,'현황'!O:O,'현황'!O:O,,-1,-1),'현황'!O:S,3,false),0)</f>
        <v>0</v>
      </c>
      <c r="E1650" s="66"/>
      <c r="F1650" s="52" t="s">
        <v>37</v>
      </c>
      <c r="G1650" s="67"/>
      <c r="H1650" s="80"/>
      <c r="I1650" s="69"/>
      <c r="J1650" s="72"/>
      <c r="K1650" s="73"/>
      <c r="L1650" s="72"/>
      <c r="M1650" s="73"/>
      <c r="N1650" s="72"/>
      <c r="O1650" s="73"/>
      <c r="P1650" s="72"/>
      <c r="Q1650" s="73"/>
      <c r="R1650" s="72"/>
      <c r="S1650" s="73"/>
      <c r="T1650" s="72"/>
      <c r="U1650" s="73"/>
      <c r="V1650" s="72"/>
      <c r="W1650" s="73"/>
      <c r="X1650" s="72"/>
      <c r="Y1650" s="73"/>
      <c r="Z1650" s="74" t="b">
        <v>0</v>
      </c>
      <c r="AA1650" s="130">
        <f t="shared" si="655"/>
        <v>0</v>
      </c>
      <c r="AB1650" s="131">
        <f t="shared" si="656"/>
        <v>0</v>
      </c>
      <c r="AC1650" s="132">
        <f t="shared" si="657"/>
        <v>0</v>
      </c>
      <c r="AD1650" s="133">
        <f t="shared" si="658"/>
        <v>0</v>
      </c>
      <c r="AE1650" s="131">
        <f t="shared" si="659"/>
        <v>0</v>
      </c>
      <c r="AF1650" s="133">
        <f t="shared" si="660"/>
        <v>0</v>
      </c>
      <c r="AG1650" s="1"/>
    </row>
    <row r="1651" ht="21.0" customHeight="1">
      <c r="A1651" s="1"/>
      <c r="B1651" s="48" t="s">
        <v>47</v>
      </c>
      <c r="C1651" s="49"/>
      <c r="D1651" s="91">
        <f t="array" ref="D1651">iferror(vlookup(xlookup(B1640,'현황'!O:O,'현황'!O:O,,-1,-1),'현황'!O:S,4,false),0)</f>
        <v>0</v>
      </c>
      <c r="E1651" s="41"/>
      <c r="F1651" s="92" t="s">
        <v>40</v>
      </c>
      <c r="G1651" s="79"/>
      <c r="H1651" s="93"/>
      <c r="I1651" s="94"/>
      <c r="J1651" s="95"/>
      <c r="K1651" s="96"/>
      <c r="L1651" s="95"/>
      <c r="M1651" s="96"/>
      <c r="N1651" s="95"/>
      <c r="O1651" s="96"/>
      <c r="P1651" s="95"/>
      <c r="Q1651" s="96"/>
      <c r="R1651" s="95"/>
      <c r="S1651" s="96"/>
      <c r="T1651" s="95"/>
      <c r="U1651" s="96"/>
      <c r="V1651" s="95"/>
      <c r="W1651" s="96"/>
      <c r="X1651" s="95"/>
      <c r="Y1651" s="96"/>
      <c r="Z1651" s="97" t="b">
        <v>0</v>
      </c>
      <c r="AA1651" s="135">
        <f t="shared" si="655"/>
        <v>0</v>
      </c>
      <c r="AB1651" s="136">
        <f t="shared" si="656"/>
        <v>0</v>
      </c>
      <c r="AC1651" s="137">
        <f t="shared" si="657"/>
        <v>0</v>
      </c>
      <c r="AD1651" s="138">
        <f t="shared" si="658"/>
        <v>0</v>
      </c>
      <c r="AE1651" s="136">
        <f t="shared" si="659"/>
        <v>0</v>
      </c>
      <c r="AF1651" s="138">
        <f t="shared" si="660"/>
        <v>0</v>
      </c>
      <c r="AG1651" s="1"/>
    </row>
    <row r="1652" ht="21.0" customHeight="1">
      <c r="A1652" s="1"/>
      <c r="B1652" s="102" t="s">
        <v>48</v>
      </c>
      <c r="C1652" s="103"/>
      <c r="D1652" s="104">
        <f>iferror(D1651/D1649,0)</f>
        <v>0</v>
      </c>
      <c r="E1652" s="102" t="s">
        <v>49</v>
      </c>
      <c r="F1652" s="103"/>
      <c r="G1652" s="105"/>
      <c r="H1652" s="106" t="s">
        <v>50</v>
      </c>
      <c r="I1652" s="107"/>
      <c r="J1652" s="11"/>
      <c r="K1652" s="11"/>
      <c r="L1652" s="11"/>
      <c r="M1652" s="11"/>
      <c r="N1652" s="11"/>
      <c r="O1652" s="11"/>
      <c r="P1652" s="108" t="s">
        <v>51</v>
      </c>
      <c r="Q1652" s="12"/>
      <c r="R1652" s="109"/>
      <c r="S1652" s="11"/>
      <c r="T1652" s="11"/>
      <c r="U1652" s="11"/>
      <c r="V1652" s="11"/>
      <c r="W1652" s="11"/>
      <c r="X1652" s="11"/>
      <c r="Y1652" s="11"/>
      <c r="Z1652" s="12"/>
      <c r="AA1652" s="139">
        <f>SUM(AA1643:AA1651)</f>
        <v>0</v>
      </c>
      <c r="AB1652" s="140" t="s">
        <v>317</v>
      </c>
      <c r="AG1652" s="1"/>
    </row>
    <row r="1653" ht="21.0" customHeight="1">
      <c r="A1653" s="1"/>
      <c r="B1653" s="1"/>
      <c r="C1653" s="1"/>
      <c r="D1653" s="1"/>
      <c r="E1653" s="1"/>
      <c r="F1653" s="1"/>
      <c r="G1653" s="1"/>
      <c r="H1653" s="1"/>
      <c r="I1653" s="1"/>
      <c r="AA1653" s="1"/>
      <c r="AB1653" s="1"/>
      <c r="AC1653" s="3"/>
      <c r="AD1653" s="1"/>
      <c r="AE1653" s="1"/>
      <c r="AF1653" s="1"/>
      <c r="AG1653" s="1"/>
    </row>
    <row r="1654" ht="21.0" customHeight="1">
      <c r="A1654" s="1"/>
      <c r="B1654" s="4" t="s">
        <v>1</v>
      </c>
      <c r="C1654" s="5"/>
      <c r="D1654" s="6" t="s">
        <v>2</v>
      </c>
      <c r="E1654" s="7"/>
      <c r="F1654" s="7"/>
      <c r="G1654" s="5"/>
      <c r="H1654" s="8" t="s">
        <v>3</v>
      </c>
      <c r="I1654" s="8" t="s">
        <v>4</v>
      </c>
      <c r="J1654" s="9" t="s">
        <v>5</v>
      </c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5"/>
      <c r="AA1654" s="117" t="s">
        <v>6</v>
      </c>
      <c r="AB1654" s="11"/>
      <c r="AC1654" s="11"/>
      <c r="AD1654" s="11"/>
      <c r="AE1654" s="11"/>
      <c r="AF1654" s="12"/>
      <c r="AG1654" s="1"/>
    </row>
    <row r="1655" ht="21.0" customHeight="1">
      <c r="A1655" s="1"/>
      <c r="B1655" s="149" t="s">
        <v>138</v>
      </c>
      <c r="C1655" s="14" t="str">
        <f>if(B1655="0/0","",choose(weekday(B1655),"(일)","(월)","(화)","(수)","(목)","(금)","(토)"))</f>
        <v/>
      </c>
      <c r="D1655" s="15" t="s">
        <v>7</v>
      </c>
      <c r="E1655" s="16" t="s">
        <v>8</v>
      </c>
      <c r="F1655" s="17"/>
      <c r="G1655" s="18" t="s">
        <v>9</v>
      </c>
      <c r="H1655" s="150" t="s">
        <v>139</v>
      </c>
      <c r="I1655" s="151"/>
      <c r="J1655" s="21" t="s">
        <v>12</v>
      </c>
      <c r="K1655" s="22"/>
      <c r="L1655" s="21" t="s">
        <v>13</v>
      </c>
      <c r="M1655" s="22"/>
      <c r="N1655" s="21" t="s">
        <v>14</v>
      </c>
      <c r="O1655" s="22"/>
      <c r="P1655" s="21" t="s">
        <v>15</v>
      </c>
      <c r="Q1655" s="22"/>
      <c r="R1655" s="23" t="s">
        <v>16</v>
      </c>
      <c r="S1655" s="22"/>
      <c r="T1655" s="23" t="s">
        <v>17</v>
      </c>
      <c r="U1655" s="22"/>
      <c r="V1655" s="23" t="s">
        <v>18</v>
      </c>
      <c r="W1655" s="22"/>
      <c r="X1655" s="23" t="s">
        <v>19</v>
      </c>
      <c r="Y1655" s="22"/>
      <c r="Z1655" s="24" t="s">
        <v>318</v>
      </c>
      <c r="AA1655" s="118" t="s">
        <v>21</v>
      </c>
      <c r="AB1655" s="119" t="s">
        <v>22</v>
      </c>
      <c r="AC1655" s="7"/>
      <c r="AD1655" s="22"/>
      <c r="AE1655" s="120" t="s">
        <v>23</v>
      </c>
      <c r="AF1655" s="22"/>
      <c r="AG1655" s="1"/>
    </row>
    <row r="1656" ht="21.0" customHeight="1">
      <c r="A1656" s="1"/>
      <c r="B1656" s="27">
        <f>iferror(B1655-'현황'!$C$4+1,0)</f>
        <v>0</v>
      </c>
      <c r="C1656" s="28"/>
      <c r="D1656" s="29">
        <v>0.0</v>
      </c>
      <c r="E1656" s="30">
        <v>0.0</v>
      </c>
      <c r="F1656" s="31"/>
      <c r="G1656" s="32">
        <v>0.0</v>
      </c>
      <c r="H1656" s="33">
        <v>0.0</v>
      </c>
      <c r="I1656" s="34"/>
      <c r="J1656" s="35"/>
      <c r="K1656" s="36"/>
      <c r="L1656" s="35"/>
      <c r="M1656" s="36"/>
      <c r="N1656" s="35"/>
      <c r="O1656" s="36"/>
      <c r="P1656" s="35"/>
      <c r="Q1656" s="36"/>
      <c r="R1656" s="35"/>
      <c r="S1656" s="36"/>
      <c r="T1656" s="35"/>
      <c r="U1656" s="36"/>
      <c r="V1656" s="35"/>
      <c r="W1656" s="36"/>
      <c r="X1656" s="35"/>
      <c r="Y1656" s="36"/>
      <c r="Z1656" s="37"/>
      <c r="AA1656" s="37"/>
      <c r="AB1656" s="35"/>
      <c r="AC1656" s="38"/>
      <c r="AD1656" s="36"/>
      <c r="AE1656" s="35"/>
      <c r="AF1656" s="36"/>
      <c r="AG1656" s="1"/>
    </row>
    <row r="1657" ht="21.0" customHeight="1">
      <c r="A1657" s="1"/>
      <c r="B1657" s="39" t="s">
        <v>24</v>
      </c>
      <c r="C1657" s="40"/>
      <c r="D1657" s="41"/>
      <c r="E1657" s="42" t="s">
        <v>25</v>
      </c>
      <c r="F1657" s="40"/>
      <c r="G1657" s="41"/>
      <c r="H1657" s="43" t="s">
        <v>26</v>
      </c>
      <c r="J1657" s="44" t="s">
        <v>27</v>
      </c>
      <c r="K1657" s="45" t="s">
        <v>28</v>
      </c>
      <c r="L1657" s="44" t="s">
        <v>27</v>
      </c>
      <c r="M1657" s="45" t="s">
        <v>28</v>
      </c>
      <c r="N1657" s="44" t="s">
        <v>27</v>
      </c>
      <c r="O1657" s="45" t="s">
        <v>28</v>
      </c>
      <c r="P1657" s="44" t="s">
        <v>27</v>
      </c>
      <c r="Q1657" s="45" t="s">
        <v>28</v>
      </c>
      <c r="R1657" s="44" t="s">
        <v>27</v>
      </c>
      <c r="S1657" s="45" t="s">
        <v>28</v>
      </c>
      <c r="T1657" s="44" t="s">
        <v>27</v>
      </c>
      <c r="U1657" s="45" t="s">
        <v>28</v>
      </c>
      <c r="V1657" s="44" t="s">
        <v>27</v>
      </c>
      <c r="W1657" s="45" t="s">
        <v>28</v>
      </c>
      <c r="X1657" s="44" t="s">
        <v>27</v>
      </c>
      <c r="Y1657" s="45" t="s">
        <v>28</v>
      </c>
      <c r="Z1657" s="46"/>
      <c r="AA1657" s="46"/>
      <c r="AB1657" s="121" t="s">
        <v>29</v>
      </c>
      <c r="AC1657" s="122" t="s">
        <v>30</v>
      </c>
      <c r="AD1657" s="123" t="s">
        <v>31</v>
      </c>
      <c r="AE1657" s="121" t="s">
        <v>27</v>
      </c>
      <c r="AF1657" s="123" t="s">
        <v>28</v>
      </c>
      <c r="AG1657" s="1"/>
    </row>
    <row r="1658" ht="21.0" customHeight="1">
      <c r="A1658" s="1"/>
      <c r="B1658" s="48" t="s">
        <v>32</v>
      </c>
      <c r="C1658" s="49"/>
      <c r="D1658" s="50"/>
      <c r="E1658" s="51" t="s">
        <v>33</v>
      </c>
      <c r="F1658" s="52" t="s">
        <v>34</v>
      </c>
      <c r="G1658" s="53"/>
      <c r="H1658" s="148"/>
      <c r="I1658" s="55"/>
      <c r="J1658" s="58"/>
      <c r="K1658" s="59"/>
      <c r="L1658" s="58"/>
      <c r="M1658" s="59"/>
      <c r="N1658" s="58"/>
      <c r="O1658" s="59"/>
      <c r="P1658" s="58"/>
      <c r="Q1658" s="59"/>
      <c r="R1658" s="58"/>
      <c r="S1658" s="59"/>
      <c r="T1658" s="58"/>
      <c r="U1658" s="59"/>
      <c r="V1658" s="58"/>
      <c r="W1658" s="59"/>
      <c r="X1658" s="58"/>
      <c r="Y1658" s="59"/>
      <c r="Z1658" s="60" t="b">
        <v>0</v>
      </c>
      <c r="AA1658" s="125">
        <f t="shared" ref="AA1658:AA1666" si="661">(J1658*K1658+L1658*M1658+N1658*O1658+P1658*Q1658+R1658*S1658+T1658*U1658+V1658*W1658+X1658*Y1658)*if(Z1658=true,0.453592,1)</f>
        <v>0</v>
      </c>
      <c r="AB1658" s="126">
        <f t="shared" ref="AB1658:AB1666" si="662">SUM(AE1658*AF1658*0.025,AE1658)</f>
        <v>0</v>
      </c>
      <c r="AC1658" s="127">
        <f t="shared" ref="AC1658:AC1666" si="663">AB1658*87%</f>
        <v>0</v>
      </c>
      <c r="AD1658" s="128">
        <f t="shared" ref="AD1658:AD1666" si="664">AB1658*67%</f>
        <v>0</v>
      </c>
      <c r="AE1658" s="126">
        <f t="shared" ref="AE1658:AE1666" si="665">MAX(J1658,L1658,N1658,P1658,R1658,T1658,V1658,X1658)*if(Z1658=true,0.453592,1)</f>
        <v>0</v>
      </c>
      <c r="AF1658" s="128">
        <f t="shared" ref="AF1658:AF1666" si="666">MAX(IF(J1658*if(Z1658=true,0.453592,1)=$AE1658,K1658,0),IF(L1658*if(Z1658=true,0.453592,1)=$AE1658,M1658,0),IF(N1658*if(Z1658=true,0.453592,1)=$AE1658,O1658,0),IF(P1658*if(Z1658=true,0.453592,1)=$AE1658,Q1658,0),IF(R1658*if(Z1658=true,0.453592,1)=$AE1658,S1658,0),IF(T1658*if(Z1658=true,0.453592,1)=$AE1658,U1658,0),IF(V1658*if(Z1658=true,0.453592,1)=$AE1658,W1658,0),IF(X1658*if(Z1658=true,0.453592,1)=$AE1658,Y1658,0))</f>
        <v>0</v>
      </c>
      <c r="AG1658" s="1"/>
    </row>
    <row r="1659" ht="21.0" customHeight="1">
      <c r="A1659" s="1"/>
      <c r="B1659" s="48" t="s">
        <v>36</v>
      </c>
      <c r="C1659" s="49"/>
      <c r="D1659" s="65"/>
      <c r="E1659" s="66"/>
      <c r="F1659" s="52" t="s">
        <v>37</v>
      </c>
      <c r="G1659" s="67"/>
      <c r="H1659" s="129"/>
      <c r="I1659" s="69"/>
      <c r="J1659" s="72"/>
      <c r="K1659" s="73"/>
      <c r="L1659" s="72"/>
      <c r="M1659" s="73"/>
      <c r="N1659" s="72"/>
      <c r="O1659" s="73"/>
      <c r="P1659" s="72"/>
      <c r="Q1659" s="73"/>
      <c r="R1659" s="72"/>
      <c r="S1659" s="73"/>
      <c r="T1659" s="72"/>
      <c r="U1659" s="73"/>
      <c r="V1659" s="72"/>
      <c r="W1659" s="73"/>
      <c r="X1659" s="72"/>
      <c r="Y1659" s="73"/>
      <c r="Z1659" s="74" t="b">
        <v>0</v>
      </c>
      <c r="AA1659" s="130">
        <f t="shared" si="661"/>
        <v>0</v>
      </c>
      <c r="AB1659" s="131">
        <f t="shared" si="662"/>
        <v>0</v>
      </c>
      <c r="AC1659" s="132">
        <f t="shared" si="663"/>
        <v>0</v>
      </c>
      <c r="AD1659" s="133">
        <f t="shared" si="664"/>
        <v>0</v>
      </c>
      <c r="AE1659" s="131">
        <f t="shared" si="665"/>
        <v>0</v>
      </c>
      <c r="AF1659" s="133">
        <f t="shared" si="666"/>
        <v>0</v>
      </c>
      <c r="AG1659" s="1"/>
    </row>
    <row r="1660" ht="21.0" customHeight="1">
      <c r="A1660" s="1"/>
      <c r="B1660" s="48" t="s">
        <v>39</v>
      </c>
      <c r="C1660" s="49"/>
      <c r="D1660" s="65"/>
      <c r="E1660" s="41"/>
      <c r="F1660" s="52" t="s">
        <v>40</v>
      </c>
      <c r="G1660" s="79"/>
      <c r="H1660" s="80"/>
      <c r="I1660" s="69"/>
      <c r="J1660" s="72"/>
      <c r="K1660" s="73"/>
      <c r="L1660" s="72"/>
      <c r="M1660" s="73"/>
      <c r="N1660" s="72"/>
      <c r="O1660" s="73"/>
      <c r="P1660" s="72"/>
      <c r="Q1660" s="73"/>
      <c r="R1660" s="72"/>
      <c r="S1660" s="73"/>
      <c r="T1660" s="72"/>
      <c r="U1660" s="73"/>
      <c r="V1660" s="72"/>
      <c r="W1660" s="73"/>
      <c r="X1660" s="72"/>
      <c r="Y1660" s="73"/>
      <c r="Z1660" s="74" t="b">
        <v>0</v>
      </c>
      <c r="AA1660" s="130">
        <f t="shared" si="661"/>
        <v>0</v>
      </c>
      <c r="AB1660" s="131">
        <f t="shared" si="662"/>
        <v>0</v>
      </c>
      <c r="AC1660" s="132">
        <f t="shared" si="663"/>
        <v>0</v>
      </c>
      <c r="AD1660" s="133">
        <f t="shared" si="664"/>
        <v>0</v>
      </c>
      <c r="AE1660" s="131">
        <f t="shared" si="665"/>
        <v>0</v>
      </c>
      <c r="AF1660" s="133">
        <f t="shared" si="666"/>
        <v>0</v>
      </c>
      <c r="AG1660" s="1"/>
    </row>
    <row r="1661" ht="21.0" customHeight="1">
      <c r="A1661" s="1"/>
      <c r="B1661" s="48" t="s">
        <v>41</v>
      </c>
      <c r="C1661" s="81"/>
      <c r="D1661" s="82" t="b">
        <v>0</v>
      </c>
      <c r="E1661" s="51" t="s">
        <v>42</v>
      </c>
      <c r="F1661" s="52" t="s">
        <v>34</v>
      </c>
      <c r="G1661" s="83"/>
      <c r="H1661" s="84"/>
      <c r="I1661" s="85"/>
      <c r="J1661" s="72"/>
      <c r="K1661" s="73"/>
      <c r="L1661" s="72"/>
      <c r="M1661" s="73"/>
      <c r="N1661" s="72"/>
      <c r="O1661" s="73"/>
      <c r="P1661" s="72"/>
      <c r="Q1661" s="73"/>
      <c r="R1661" s="72"/>
      <c r="S1661" s="73"/>
      <c r="T1661" s="72"/>
      <c r="U1661" s="73"/>
      <c r="V1661" s="72"/>
      <c r="W1661" s="73"/>
      <c r="X1661" s="72"/>
      <c r="Y1661" s="73"/>
      <c r="Z1661" s="74" t="b">
        <v>0</v>
      </c>
      <c r="AA1661" s="130">
        <f t="shared" si="661"/>
        <v>0</v>
      </c>
      <c r="AB1661" s="131">
        <f t="shared" si="662"/>
        <v>0</v>
      </c>
      <c r="AC1661" s="132">
        <f t="shared" si="663"/>
        <v>0</v>
      </c>
      <c r="AD1661" s="133">
        <f t="shared" si="664"/>
        <v>0</v>
      </c>
      <c r="AE1661" s="131">
        <f t="shared" si="665"/>
        <v>0</v>
      </c>
      <c r="AF1661" s="133">
        <f t="shared" si="666"/>
        <v>0</v>
      </c>
      <c r="AG1661" s="1"/>
    </row>
    <row r="1662" ht="21.0" customHeight="1">
      <c r="A1662" s="1"/>
      <c r="B1662" s="48" t="s">
        <v>43</v>
      </c>
      <c r="C1662" s="49"/>
      <c r="D1662" s="86" t="b">
        <v>0</v>
      </c>
      <c r="E1662" s="66"/>
      <c r="F1662" s="52" t="s">
        <v>37</v>
      </c>
      <c r="G1662" s="67"/>
      <c r="H1662" s="80"/>
      <c r="I1662" s="69"/>
      <c r="J1662" s="72"/>
      <c r="K1662" s="73"/>
      <c r="L1662" s="72"/>
      <c r="M1662" s="73"/>
      <c r="N1662" s="72"/>
      <c r="O1662" s="73"/>
      <c r="P1662" s="72"/>
      <c r="Q1662" s="73"/>
      <c r="R1662" s="72"/>
      <c r="S1662" s="73"/>
      <c r="T1662" s="72"/>
      <c r="U1662" s="73"/>
      <c r="V1662" s="72"/>
      <c r="W1662" s="73"/>
      <c r="X1662" s="72"/>
      <c r="Y1662" s="73"/>
      <c r="Z1662" s="74" t="b">
        <v>0</v>
      </c>
      <c r="AA1662" s="130">
        <f t="shared" si="661"/>
        <v>0</v>
      </c>
      <c r="AB1662" s="131">
        <f t="shared" si="662"/>
        <v>0</v>
      </c>
      <c r="AC1662" s="132">
        <f t="shared" si="663"/>
        <v>0</v>
      </c>
      <c r="AD1662" s="133">
        <f t="shared" si="664"/>
        <v>0</v>
      </c>
      <c r="AE1662" s="131">
        <f t="shared" si="665"/>
        <v>0</v>
      </c>
      <c r="AF1662" s="133">
        <f t="shared" si="666"/>
        <v>0</v>
      </c>
      <c r="AG1662" s="1"/>
    </row>
    <row r="1663" ht="21.0" customHeight="1">
      <c r="A1663" s="1"/>
      <c r="B1663" s="87" t="str">
        <f t="array" ref="B1663">"📌최근 인바디 결과 : "&amp;text(xlookup(B1655,'현황'!O:O,'현황'!O:O,,-1,-1),"m/d(ddd)")</f>
        <v>#REF!</v>
      </c>
      <c r="C1663" s="88"/>
      <c r="D1663" s="49"/>
      <c r="E1663" s="41"/>
      <c r="F1663" s="52" t="s">
        <v>40</v>
      </c>
      <c r="G1663" s="79"/>
      <c r="H1663" s="80"/>
      <c r="I1663" s="69"/>
      <c r="J1663" s="72"/>
      <c r="K1663" s="73"/>
      <c r="L1663" s="72"/>
      <c r="M1663" s="73"/>
      <c r="N1663" s="72"/>
      <c r="O1663" s="73"/>
      <c r="P1663" s="72"/>
      <c r="Q1663" s="73"/>
      <c r="R1663" s="72"/>
      <c r="S1663" s="73"/>
      <c r="T1663" s="72"/>
      <c r="U1663" s="73"/>
      <c r="V1663" s="72"/>
      <c r="W1663" s="73"/>
      <c r="X1663" s="72"/>
      <c r="Y1663" s="73"/>
      <c r="Z1663" s="74" t="b">
        <v>0</v>
      </c>
      <c r="AA1663" s="130">
        <f t="shared" si="661"/>
        <v>0</v>
      </c>
      <c r="AB1663" s="131">
        <f t="shared" si="662"/>
        <v>0</v>
      </c>
      <c r="AC1663" s="132">
        <f t="shared" si="663"/>
        <v>0</v>
      </c>
      <c r="AD1663" s="133">
        <f t="shared" si="664"/>
        <v>0</v>
      </c>
      <c r="AE1663" s="131">
        <f t="shared" si="665"/>
        <v>0</v>
      </c>
      <c r="AF1663" s="133">
        <f t="shared" si="666"/>
        <v>0</v>
      </c>
      <c r="AG1663" s="1"/>
    </row>
    <row r="1664" ht="21.0" customHeight="1">
      <c r="A1664" s="1"/>
      <c r="B1664" s="89" t="s">
        <v>44</v>
      </c>
      <c r="C1664" s="49"/>
      <c r="D1664" s="90">
        <f t="array" ref="D1664">iferror(vlookup(xlookup(B1655,'현황'!O:O,'현황'!O:O,,-1,-1),'현황'!O:S,2,false),0)</f>
        <v>0</v>
      </c>
      <c r="E1664" s="51" t="s">
        <v>45</v>
      </c>
      <c r="F1664" s="52" t="s">
        <v>34</v>
      </c>
      <c r="G1664" s="83"/>
      <c r="H1664" s="84"/>
      <c r="I1664" s="85"/>
      <c r="J1664" s="72"/>
      <c r="K1664" s="73"/>
      <c r="L1664" s="72"/>
      <c r="M1664" s="73"/>
      <c r="N1664" s="72"/>
      <c r="O1664" s="73"/>
      <c r="P1664" s="72"/>
      <c r="Q1664" s="73"/>
      <c r="R1664" s="72"/>
      <c r="S1664" s="73"/>
      <c r="T1664" s="72"/>
      <c r="U1664" s="73"/>
      <c r="V1664" s="72"/>
      <c r="W1664" s="73"/>
      <c r="X1664" s="72"/>
      <c r="Y1664" s="73"/>
      <c r="Z1664" s="74" t="b">
        <v>0</v>
      </c>
      <c r="AA1664" s="130">
        <f t="shared" si="661"/>
        <v>0</v>
      </c>
      <c r="AB1664" s="131">
        <f t="shared" si="662"/>
        <v>0</v>
      </c>
      <c r="AC1664" s="132">
        <f t="shared" si="663"/>
        <v>0</v>
      </c>
      <c r="AD1664" s="133">
        <f t="shared" si="664"/>
        <v>0</v>
      </c>
      <c r="AE1664" s="131">
        <f t="shared" si="665"/>
        <v>0</v>
      </c>
      <c r="AF1664" s="133">
        <f t="shared" si="666"/>
        <v>0</v>
      </c>
      <c r="AG1664" s="1"/>
    </row>
    <row r="1665" ht="21.0" customHeight="1">
      <c r="A1665" s="1"/>
      <c r="B1665" s="48" t="s">
        <v>46</v>
      </c>
      <c r="C1665" s="49"/>
      <c r="D1665" s="91">
        <f t="array" ref="D1665">iferror(vlookup(xlookup(B1655,'현황'!O:O,'현황'!O:O,,-1,-1),'현황'!O:S,3,false),0)</f>
        <v>0</v>
      </c>
      <c r="E1665" s="66"/>
      <c r="F1665" s="52" t="s">
        <v>37</v>
      </c>
      <c r="G1665" s="67"/>
      <c r="H1665" s="80"/>
      <c r="I1665" s="69"/>
      <c r="J1665" s="72"/>
      <c r="K1665" s="73"/>
      <c r="L1665" s="72"/>
      <c r="M1665" s="73"/>
      <c r="N1665" s="72"/>
      <c r="O1665" s="73"/>
      <c r="P1665" s="72"/>
      <c r="Q1665" s="73"/>
      <c r="R1665" s="72"/>
      <c r="S1665" s="73"/>
      <c r="T1665" s="72"/>
      <c r="U1665" s="73"/>
      <c r="V1665" s="72"/>
      <c r="W1665" s="73"/>
      <c r="X1665" s="72"/>
      <c r="Y1665" s="73"/>
      <c r="Z1665" s="74" t="b">
        <v>0</v>
      </c>
      <c r="AA1665" s="130">
        <f t="shared" si="661"/>
        <v>0</v>
      </c>
      <c r="AB1665" s="131">
        <f t="shared" si="662"/>
        <v>0</v>
      </c>
      <c r="AC1665" s="132">
        <f t="shared" si="663"/>
        <v>0</v>
      </c>
      <c r="AD1665" s="133">
        <f t="shared" si="664"/>
        <v>0</v>
      </c>
      <c r="AE1665" s="131">
        <f t="shared" si="665"/>
        <v>0</v>
      </c>
      <c r="AF1665" s="133">
        <f t="shared" si="666"/>
        <v>0</v>
      </c>
      <c r="AG1665" s="1"/>
    </row>
    <row r="1666" ht="21.0" customHeight="1">
      <c r="A1666" s="1"/>
      <c r="B1666" s="48" t="s">
        <v>47</v>
      </c>
      <c r="C1666" s="49"/>
      <c r="D1666" s="91">
        <f t="array" ref="D1666">iferror(vlookup(xlookup(B1655,'현황'!O:O,'현황'!O:O,,-1,-1),'현황'!O:S,4,false),0)</f>
        <v>0</v>
      </c>
      <c r="E1666" s="41"/>
      <c r="F1666" s="92" t="s">
        <v>40</v>
      </c>
      <c r="G1666" s="79"/>
      <c r="H1666" s="93"/>
      <c r="I1666" s="94"/>
      <c r="J1666" s="95"/>
      <c r="K1666" s="96"/>
      <c r="L1666" s="95"/>
      <c r="M1666" s="96"/>
      <c r="N1666" s="95"/>
      <c r="O1666" s="96"/>
      <c r="P1666" s="95"/>
      <c r="Q1666" s="96"/>
      <c r="R1666" s="95"/>
      <c r="S1666" s="96"/>
      <c r="T1666" s="95"/>
      <c r="U1666" s="96"/>
      <c r="V1666" s="95"/>
      <c r="W1666" s="96"/>
      <c r="X1666" s="95"/>
      <c r="Y1666" s="96"/>
      <c r="Z1666" s="97" t="b">
        <v>0</v>
      </c>
      <c r="AA1666" s="135">
        <f t="shared" si="661"/>
        <v>0</v>
      </c>
      <c r="AB1666" s="136">
        <f t="shared" si="662"/>
        <v>0</v>
      </c>
      <c r="AC1666" s="137">
        <f t="shared" si="663"/>
        <v>0</v>
      </c>
      <c r="AD1666" s="138">
        <f t="shared" si="664"/>
        <v>0</v>
      </c>
      <c r="AE1666" s="136">
        <f t="shared" si="665"/>
        <v>0</v>
      </c>
      <c r="AF1666" s="138">
        <f t="shared" si="666"/>
        <v>0</v>
      </c>
      <c r="AG1666" s="1"/>
    </row>
    <row r="1667" ht="21.0" customHeight="1">
      <c r="A1667" s="1"/>
      <c r="B1667" s="102" t="s">
        <v>48</v>
      </c>
      <c r="C1667" s="103"/>
      <c r="D1667" s="104">
        <f>iferror(D1666/D1664,0)</f>
        <v>0</v>
      </c>
      <c r="E1667" s="102" t="s">
        <v>49</v>
      </c>
      <c r="F1667" s="103"/>
      <c r="G1667" s="105"/>
      <c r="H1667" s="106" t="s">
        <v>50</v>
      </c>
      <c r="I1667" s="107"/>
      <c r="J1667" s="11"/>
      <c r="K1667" s="11"/>
      <c r="L1667" s="11"/>
      <c r="M1667" s="11"/>
      <c r="N1667" s="11"/>
      <c r="O1667" s="11"/>
      <c r="P1667" s="108" t="s">
        <v>51</v>
      </c>
      <c r="Q1667" s="12"/>
      <c r="R1667" s="109"/>
      <c r="S1667" s="11"/>
      <c r="T1667" s="11"/>
      <c r="U1667" s="11"/>
      <c r="V1667" s="11"/>
      <c r="W1667" s="11"/>
      <c r="X1667" s="11"/>
      <c r="Y1667" s="11"/>
      <c r="Z1667" s="12"/>
      <c r="AA1667" s="139">
        <f>SUM(AA1658:AA1666)</f>
        <v>0</v>
      </c>
      <c r="AB1667" s="140" t="s">
        <v>319</v>
      </c>
      <c r="AG1667" s="1"/>
    </row>
    <row r="1668" ht="21.0" customHeight="1">
      <c r="A1668" s="1"/>
      <c r="B1668" s="1"/>
      <c r="C1668" s="1"/>
      <c r="D1668" s="1"/>
      <c r="E1668" s="1"/>
      <c r="F1668" s="1"/>
      <c r="G1668" s="1"/>
      <c r="H1668" s="1"/>
      <c r="I1668" s="1"/>
      <c r="AA1668" s="1"/>
      <c r="AB1668" s="1"/>
      <c r="AC1668" s="3"/>
      <c r="AD1668" s="1"/>
      <c r="AE1668" s="1"/>
      <c r="AF1668" s="1"/>
      <c r="AG1668" s="1"/>
    </row>
    <row r="1669" ht="21.0" customHeight="1">
      <c r="A1669" s="1"/>
      <c r="B1669" s="4" t="s">
        <v>1</v>
      </c>
      <c r="C1669" s="5"/>
      <c r="D1669" s="6" t="s">
        <v>2</v>
      </c>
      <c r="E1669" s="7"/>
      <c r="F1669" s="7"/>
      <c r="G1669" s="5"/>
      <c r="H1669" s="8" t="s">
        <v>3</v>
      </c>
      <c r="I1669" s="8" t="s">
        <v>4</v>
      </c>
      <c r="J1669" s="9" t="s">
        <v>5</v>
      </c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5"/>
      <c r="AA1669" s="117" t="s">
        <v>6</v>
      </c>
      <c r="AB1669" s="11"/>
      <c r="AC1669" s="11"/>
      <c r="AD1669" s="11"/>
      <c r="AE1669" s="11"/>
      <c r="AF1669" s="12"/>
      <c r="AG1669" s="1"/>
    </row>
    <row r="1670" ht="21.0" customHeight="1">
      <c r="A1670" s="1"/>
      <c r="B1670" s="149" t="s">
        <v>138</v>
      </c>
      <c r="C1670" s="14" t="str">
        <f>if(B1670="0/0","",choose(weekday(B1670),"(일)","(월)","(화)","(수)","(목)","(금)","(토)"))</f>
        <v/>
      </c>
      <c r="D1670" s="15" t="s">
        <v>7</v>
      </c>
      <c r="E1670" s="16" t="s">
        <v>8</v>
      </c>
      <c r="F1670" s="17"/>
      <c r="G1670" s="18" t="s">
        <v>9</v>
      </c>
      <c r="H1670" s="150" t="s">
        <v>139</v>
      </c>
      <c r="I1670" s="151"/>
      <c r="J1670" s="21" t="s">
        <v>12</v>
      </c>
      <c r="K1670" s="22"/>
      <c r="L1670" s="21" t="s">
        <v>13</v>
      </c>
      <c r="M1670" s="22"/>
      <c r="N1670" s="21" t="s">
        <v>14</v>
      </c>
      <c r="O1670" s="22"/>
      <c r="P1670" s="21" t="s">
        <v>15</v>
      </c>
      <c r="Q1670" s="22"/>
      <c r="R1670" s="23" t="s">
        <v>16</v>
      </c>
      <c r="S1670" s="22"/>
      <c r="T1670" s="23" t="s">
        <v>17</v>
      </c>
      <c r="U1670" s="22"/>
      <c r="V1670" s="23" t="s">
        <v>18</v>
      </c>
      <c r="W1670" s="22"/>
      <c r="X1670" s="23" t="s">
        <v>19</v>
      </c>
      <c r="Y1670" s="22"/>
      <c r="Z1670" s="24" t="s">
        <v>320</v>
      </c>
      <c r="AA1670" s="118" t="s">
        <v>21</v>
      </c>
      <c r="AB1670" s="119" t="s">
        <v>22</v>
      </c>
      <c r="AC1670" s="7"/>
      <c r="AD1670" s="22"/>
      <c r="AE1670" s="120" t="s">
        <v>23</v>
      </c>
      <c r="AF1670" s="22"/>
      <c r="AG1670" s="1"/>
    </row>
    <row r="1671" ht="21.0" customHeight="1">
      <c r="A1671" s="1"/>
      <c r="B1671" s="27">
        <f>iferror(B1670-'현황'!$C$4+1,0)</f>
        <v>0</v>
      </c>
      <c r="C1671" s="28"/>
      <c r="D1671" s="29">
        <v>0.0</v>
      </c>
      <c r="E1671" s="30">
        <v>0.0</v>
      </c>
      <c r="F1671" s="31"/>
      <c r="G1671" s="32">
        <v>0.0</v>
      </c>
      <c r="H1671" s="33">
        <v>0.0</v>
      </c>
      <c r="I1671" s="34"/>
      <c r="J1671" s="35"/>
      <c r="K1671" s="36"/>
      <c r="L1671" s="35"/>
      <c r="M1671" s="36"/>
      <c r="N1671" s="35"/>
      <c r="O1671" s="36"/>
      <c r="P1671" s="35"/>
      <c r="Q1671" s="36"/>
      <c r="R1671" s="35"/>
      <c r="S1671" s="36"/>
      <c r="T1671" s="35"/>
      <c r="U1671" s="36"/>
      <c r="V1671" s="35"/>
      <c r="W1671" s="36"/>
      <c r="X1671" s="35"/>
      <c r="Y1671" s="36"/>
      <c r="Z1671" s="37"/>
      <c r="AA1671" s="37"/>
      <c r="AB1671" s="35"/>
      <c r="AC1671" s="38"/>
      <c r="AD1671" s="36"/>
      <c r="AE1671" s="35"/>
      <c r="AF1671" s="36"/>
      <c r="AG1671" s="1"/>
    </row>
    <row r="1672" ht="21.0" customHeight="1">
      <c r="A1672" s="1"/>
      <c r="B1672" s="39" t="s">
        <v>24</v>
      </c>
      <c r="C1672" s="40"/>
      <c r="D1672" s="41"/>
      <c r="E1672" s="42" t="s">
        <v>25</v>
      </c>
      <c r="F1672" s="40"/>
      <c r="G1672" s="41"/>
      <c r="H1672" s="43" t="s">
        <v>26</v>
      </c>
      <c r="J1672" s="44" t="s">
        <v>27</v>
      </c>
      <c r="K1672" s="45" t="s">
        <v>28</v>
      </c>
      <c r="L1672" s="44" t="s">
        <v>27</v>
      </c>
      <c r="M1672" s="45" t="s">
        <v>28</v>
      </c>
      <c r="N1672" s="44" t="s">
        <v>27</v>
      </c>
      <c r="O1672" s="45" t="s">
        <v>28</v>
      </c>
      <c r="P1672" s="44" t="s">
        <v>27</v>
      </c>
      <c r="Q1672" s="45" t="s">
        <v>28</v>
      </c>
      <c r="R1672" s="44" t="s">
        <v>27</v>
      </c>
      <c r="S1672" s="45" t="s">
        <v>28</v>
      </c>
      <c r="T1672" s="44" t="s">
        <v>27</v>
      </c>
      <c r="U1672" s="45" t="s">
        <v>28</v>
      </c>
      <c r="V1672" s="44" t="s">
        <v>27</v>
      </c>
      <c r="W1672" s="45" t="s">
        <v>28</v>
      </c>
      <c r="X1672" s="44" t="s">
        <v>27</v>
      </c>
      <c r="Y1672" s="45" t="s">
        <v>28</v>
      </c>
      <c r="Z1672" s="46"/>
      <c r="AA1672" s="46"/>
      <c r="AB1672" s="121" t="s">
        <v>29</v>
      </c>
      <c r="AC1672" s="122" t="s">
        <v>30</v>
      </c>
      <c r="AD1672" s="123" t="s">
        <v>31</v>
      </c>
      <c r="AE1672" s="121" t="s">
        <v>27</v>
      </c>
      <c r="AF1672" s="123" t="s">
        <v>28</v>
      </c>
      <c r="AG1672" s="1"/>
    </row>
    <row r="1673" ht="21.0" customHeight="1">
      <c r="A1673" s="1"/>
      <c r="B1673" s="48" t="s">
        <v>32</v>
      </c>
      <c r="C1673" s="49"/>
      <c r="D1673" s="50"/>
      <c r="E1673" s="51" t="s">
        <v>33</v>
      </c>
      <c r="F1673" s="52" t="s">
        <v>34</v>
      </c>
      <c r="G1673" s="53"/>
      <c r="H1673" s="148"/>
      <c r="I1673" s="55"/>
      <c r="J1673" s="58"/>
      <c r="K1673" s="59"/>
      <c r="L1673" s="58"/>
      <c r="M1673" s="59"/>
      <c r="N1673" s="58"/>
      <c r="O1673" s="59"/>
      <c r="P1673" s="58"/>
      <c r="Q1673" s="59"/>
      <c r="R1673" s="58"/>
      <c r="S1673" s="59"/>
      <c r="T1673" s="58"/>
      <c r="U1673" s="59"/>
      <c r="V1673" s="58"/>
      <c r="W1673" s="59"/>
      <c r="X1673" s="58"/>
      <c r="Y1673" s="59"/>
      <c r="Z1673" s="60" t="b">
        <v>0</v>
      </c>
      <c r="AA1673" s="125">
        <f t="shared" ref="AA1673:AA1681" si="667">(J1673*K1673+L1673*M1673+N1673*O1673+P1673*Q1673+R1673*S1673+T1673*U1673+V1673*W1673+X1673*Y1673)*if(Z1673=true,0.453592,1)</f>
        <v>0</v>
      </c>
      <c r="AB1673" s="126">
        <f t="shared" ref="AB1673:AB1681" si="668">SUM(AE1673*AF1673*0.025,AE1673)</f>
        <v>0</v>
      </c>
      <c r="AC1673" s="127">
        <f t="shared" ref="AC1673:AC1681" si="669">AB1673*87%</f>
        <v>0</v>
      </c>
      <c r="AD1673" s="128">
        <f t="shared" ref="AD1673:AD1681" si="670">AB1673*67%</f>
        <v>0</v>
      </c>
      <c r="AE1673" s="126">
        <f t="shared" ref="AE1673:AE1681" si="671">MAX(J1673,L1673,N1673,P1673,R1673,T1673,V1673,X1673)*if(Z1673=true,0.453592,1)</f>
        <v>0</v>
      </c>
      <c r="AF1673" s="128">
        <f t="shared" ref="AF1673:AF1681" si="672">MAX(IF(J1673*if(Z1673=true,0.453592,1)=$AE1673,K1673,0),IF(L1673*if(Z1673=true,0.453592,1)=$AE1673,M1673,0),IF(N1673*if(Z1673=true,0.453592,1)=$AE1673,O1673,0),IF(P1673*if(Z1673=true,0.453592,1)=$AE1673,Q1673,0),IF(R1673*if(Z1673=true,0.453592,1)=$AE1673,S1673,0),IF(T1673*if(Z1673=true,0.453592,1)=$AE1673,U1673,0),IF(V1673*if(Z1673=true,0.453592,1)=$AE1673,W1673,0),IF(X1673*if(Z1673=true,0.453592,1)=$AE1673,Y1673,0))</f>
        <v>0</v>
      </c>
      <c r="AG1673" s="1"/>
    </row>
    <row r="1674" ht="21.0" customHeight="1">
      <c r="A1674" s="1"/>
      <c r="B1674" s="48" t="s">
        <v>36</v>
      </c>
      <c r="C1674" s="49"/>
      <c r="D1674" s="65"/>
      <c r="E1674" s="66"/>
      <c r="F1674" s="52" t="s">
        <v>37</v>
      </c>
      <c r="G1674" s="67"/>
      <c r="H1674" s="129"/>
      <c r="I1674" s="69"/>
      <c r="J1674" s="72"/>
      <c r="K1674" s="73"/>
      <c r="L1674" s="72"/>
      <c r="M1674" s="73"/>
      <c r="N1674" s="72"/>
      <c r="O1674" s="73"/>
      <c r="P1674" s="72"/>
      <c r="Q1674" s="73"/>
      <c r="R1674" s="72"/>
      <c r="S1674" s="73"/>
      <c r="T1674" s="72"/>
      <c r="U1674" s="73"/>
      <c r="V1674" s="72"/>
      <c r="W1674" s="73"/>
      <c r="X1674" s="72"/>
      <c r="Y1674" s="73"/>
      <c r="Z1674" s="74" t="b">
        <v>0</v>
      </c>
      <c r="AA1674" s="130">
        <f t="shared" si="667"/>
        <v>0</v>
      </c>
      <c r="AB1674" s="131">
        <f t="shared" si="668"/>
        <v>0</v>
      </c>
      <c r="AC1674" s="132">
        <f t="shared" si="669"/>
        <v>0</v>
      </c>
      <c r="AD1674" s="133">
        <f t="shared" si="670"/>
        <v>0</v>
      </c>
      <c r="AE1674" s="131">
        <f t="shared" si="671"/>
        <v>0</v>
      </c>
      <c r="AF1674" s="133">
        <f t="shared" si="672"/>
        <v>0</v>
      </c>
      <c r="AG1674" s="1"/>
    </row>
    <row r="1675" ht="21.0" customHeight="1">
      <c r="A1675" s="1"/>
      <c r="B1675" s="48" t="s">
        <v>39</v>
      </c>
      <c r="C1675" s="49"/>
      <c r="D1675" s="65"/>
      <c r="E1675" s="41"/>
      <c r="F1675" s="52" t="s">
        <v>40</v>
      </c>
      <c r="G1675" s="79"/>
      <c r="H1675" s="80"/>
      <c r="I1675" s="69"/>
      <c r="J1675" s="72"/>
      <c r="K1675" s="73"/>
      <c r="L1675" s="72"/>
      <c r="M1675" s="73"/>
      <c r="N1675" s="72"/>
      <c r="O1675" s="73"/>
      <c r="P1675" s="72"/>
      <c r="Q1675" s="73"/>
      <c r="R1675" s="72"/>
      <c r="S1675" s="73"/>
      <c r="T1675" s="72"/>
      <c r="U1675" s="73"/>
      <c r="V1675" s="72"/>
      <c r="W1675" s="73"/>
      <c r="X1675" s="72"/>
      <c r="Y1675" s="73"/>
      <c r="Z1675" s="74" t="b">
        <v>0</v>
      </c>
      <c r="AA1675" s="130">
        <f t="shared" si="667"/>
        <v>0</v>
      </c>
      <c r="AB1675" s="131">
        <f t="shared" si="668"/>
        <v>0</v>
      </c>
      <c r="AC1675" s="132">
        <f t="shared" si="669"/>
        <v>0</v>
      </c>
      <c r="AD1675" s="133">
        <f t="shared" si="670"/>
        <v>0</v>
      </c>
      <c r="AE1675" s="131">
        <f t="shared" si="671"/>
        <v>0</v>
      </c>
      <c r="AF1675" s="133">
        <f t="shared" si="672"/>
        <v>0</v>
      </c>
      <c r="AG1675" s="1"/>
    </row>
    <row r="1676" ht="21.0" customHeight="1">
      <c r="A1676" s="1"/>
      <c r="B1676" s="48" t="s">
        <v>41</v>
      </c>
      <c r="C1676" s="81"/>
      <c r="D1676" s="82" t="b">
        <v>0</v>
      </c>
      <c r="E1676" s="51" t="s">
        <v>42</v>
      </c>
      <c r="F1676" s="52" t="s">
        <v>34</v>
      </c>
      <c r="G1676" s="83"/>
      <c r="H1676" s="84"/>
      <c r="I1676" s="85"/>
      <c r="J1676" s="72"/>
      <c r="K1676" s="73"/>
      <c r="L1676" s="72"/>
      <c r="M1676" s="73"/>
      <c r="N1676" s="72"/>
      <c r="O1676" s="73"/>
      <c r="P1676" s="72"/>
      <c r="Q1676" s="73"/>
      <c r="R1676" s="72"/>
      <c r="S1676" s="73"/>
      <c r="T1676" s="72"/>
      <c r="U1676" s="73"/>
      <c r="V1676" s="72"/>
      <c r="W1676" s="73"/>
      <c r="X1676" s="72"/>
      <c r="Y1676" s="73"/>
      <c r="Z1676" s="74" t="b">
        <v>0</v>
      </c>
      <c r="AA1676" s="130">
        <f t="shared" si="667"/>
        <v>0</v>
      </c>
      <c r="AB1676" s="131">
        <f t="shared" si="668"/>
        <v>0</v>
      </c>
      <c r="AC1676" s="132">
        <f t="shared" si="669"/>
        <v>0</v>
      </c>
      <c r="AD1676" s="133">
        <f t="shared" si="670"/>
        <v>0</v>
      </c>
      <c r="AE1676" s="131">
        <f t="shared" si="671"/>
        <v>0</v>
      </c>
      <c r="AF1676" s="133">
        <f t="shared" si="672"/>
        <v>0</v>
      </c>
      <c r="AG1676" s="1"/>
    </row>
    <row r="1677" ht="21.0" customHeight="1">
      <c r="A1677" s="1"/>
      <c r="B1677" s="48" t="s">
        <v>43</v>
      </c>
      <c r="C1677" s="49"/>
      <c r="D1677" s="86" t="b">
        <v>0</v>
      </c>
      <c r="E1677" s="66"/>
      <c r="F1677" s="52" t="s">
        <v>37</v>
      </c>
      <c r="G1677" s="67"/>
      <c r="H1677" s="80"/>
      <c r="I1677" s="69"/>
      <c r="J1677" s="72"/>
      <c r="K1677" s="73"/>
      <c r="L1677" s="72"/>
      <c r="M1677" s="73"/>
      <c r="N1677" s="72"/>
      <c r="O1677" s="73"/>
      <c r="P1677" s="72"/>
      <c r="Q1677" s="73"/>
      <c r="R1677" s="72"/>
      <c r="S1677" s="73"/>
      <c r="T1677" s="72"/>
      <c r="U1677" s="73"/>
      <c r="V1677" s="72"/>
      <c r="W1677" s="73"/>
      <c r="X1677" s="72"/>
      <c r="Y1677" s="73"/>
      <c r="Z1677" s="74" t="b">
        <v>0</v>
      </c>
      <c r="AA1677" s="130">
        <f t="shared" si="667"/>
        <v>0</v>
      </c>
      <c r="AB1677" s="131">
        <f t="shared" si="668"/>
        <v>0</v>
      </c>
      <c r="AC1677" s="132">
        <f t="shared" si="669"/>
        <v>0</v>
      </c>
      <c r="AD1677" s="133">
        <f t="shared" si="670"/>
        <v>0</v>
      </c>
      <c r="AE1677" s="131">
        <f t="shared" si="671"/>
        <v>0</v>
      </c>
      <c r="AF1677" s="133">
        <f t="shared" si="672"/>
        <v>0</v>
      </c>
      <c r="AG1677" s="1"/>
    </row>
    <row r="1678" ht="21.0" customHeight="1">
      <c r="A1678" s="1"/>
      <c r="B1678" s="87" t="str">
        <f t="array" ref="B1678">"📌최근 인바디 결과 : "&amp;text(xlookup(B1670,'현황'!O:O,'현황'!O:O,,-1,-1),"m/d(ddd)")</f>
        <v>#REF!</v>
      </c>
      <c r="C1678" s="88"/>
      <c r="D1678" s="49"/>
      <c r="E1678" s="41"/>
      <c r="F1678" s="52" t="s">
        <v>40</v>
      </c>
      <c r="G1678" s="79"/>
      <c r="H1678" s="80"/>
      <c r="I1678" s="69"/>
      <c r="J1678" s="72"/>
      <c r="K1678" s="73"/>
      <c r="L1678" s="72"/>
      <c r="M1678" s="73"/>
      <c r="N1678" s="72"/>
      <c r="O1678" s="73"/>
      <c r="P1678" s="72"/>
      <c r="Q1678" s="73"/>
      <c r="R1678" s="72"/>
      <c r="S1678" s="73"/>
      <c r="T1678" s="72"/>
      <c r="U1678" s="73"/>
      <c r="V1678" s="72"/>
      <c r="W1678" s="73"/>
      <c r="X1678" s="72"/>
      <c r="Y1678" s="73"/>
      <c r="Z1678" s="74" t="b">
        <v>0</v>
      </c>
      <c r="AA1678" s="130">
        <f t="shared" si="667"/>
        <v>0</v>
      </c>
      <c r="AB1678" s="131">
        <f t="shared" si="668"/>
        <v>0</v>
      </c>
      <c r="AC1678" s="132">
        <f t="shared" si="669"/>
        <v>0</v>
      </c>
      <c r="AD1678" s="133">
        <f t="shared" si="670"/>
        <v>0</v>
      </c>
      <c r="AE1678" s="131">
        <f t="shared" si="671"/>
        <v>0</v>
      </c>
      <c r="AF1678" s="133">
        <f t="shared" si="672"/>
        <v>0</v>
      </c>
      <c r="AG1678" s="1"/>
    </row>
    <row r="1679" ht="21.0" customHeight="1">
      <c r="A1679" s="1"/>
      <c r="B1679" s="89" t="s">
        <v>44</v>
      </c>
      <c r="C1679" s="49"/>
      <c r="D1679" s="90">
        <f t="array" ref="D1679">iferror(vlookup(xlookup(B1670,'현황'!O:O,'현황'!O:O,,-1,-1),'현황'!O:S,2,false),0)</f>
        <v>0</v>
      </c>
      <c r="E1679" s="51" t="s">
        <v>45</v>
      </c>
      <c r="F1679" s="52" t="s">
        <v>34</v>
      </c>
      <c r="G1679" s="83"/>
      <c r="H1679" s="84"/>
      <c r="I1679" s="85"/>
      <c r="J1679" s="72"/>
      <c r="K1679" s="73"/>
      <c r="L1679" s="72"/>
      <c r="M1679" s="73"/>
      <c r="N1679" s="72"/>
      <c r="O1679" s="73"/>
      <c r="P1679" s="72"/>
      <c r="Q1679" s="73"/>
      <c r="R1679" s="72"/>
      <c r="S1679" s="73"/>
      <c r="T1679" s="72"/>
      <c r="U1679" s="73"/>
      <c r="V1679" s="72"/>
      <c r="W1679" s="73"/>
      <c r="X1679" s="72"/>
      <c r="Y1679" s="73"/>
      <c r="Z1679" s="74" t="b">
        <v>0</v>
      </c>
      <c r="AA1679" s="130">
        <f t="shared" si="667"/>
        <v>0</v>
      </c>
      <c r="AB1679" s="131">
        <f t="shared" si="668"/>
        <v>0</v>
      </c>
      <c r="AC1679" s="132">
        <f t="shared" si="669"/>
        <v>0</v>
      </c>
      <c r="AD1679" s="133">
        <f t="shared" si="670"/>
        <v>0</v>
      </c>
      <c r="AE1679" s="131">
        <f t="shared" si="671"/>
        <v>0</v>
      </c>
      <c r="AF1679" s="133">
        <f t="shared" si="672"/>
        <v>0</v>
      </c>
      <c r="AG1679" s="1"/>
    </row>
    <row r="1680" ht="21.0" customHeight="1">
      <c r="A1680" s="1"/>
      <c r="B1680" s="48" t="s">
        <v>46</v>
      </c>
      <c r="C1680" s="49"/>
      <c r="D1680" s="91">
        <f t="array" ref="D1680">iferror(vlookup(xlookup(B1670,'현황'!O:O,'현황'!O:O,,-1,-1),'현황'!O:S,3,false),0)</f>
        <v>0</v>
      </c>
      <c r="E1680" s="66"/>
      <c r="F1680" s="52" t="s">
        <v>37</v>
      </c>
      <c r="G1680" s="67"/>
      <c r="H1680" s="80"/>
      <c r="I1680" s="69"/>
      <c r="J1680" s="72"/>
      <c r="K1680" s="73"/>
      <c r="L1680" s="72"/>
      <c r="M1680" s="73"/>
      <c r="N1680" s="72"/>
      <c r="O1680" s="73"/>
      <c r="P1680" s="72"/>
      <c r="Q1680" s="73"/>
      <c r="R1680" s="72"/>
      <c r="S1680" s="73"/>
      <c r="T1680" s="72"/>
      <c r="U1680" s="73"/>
      <c r="V1680" s="72"/>
      <c r="W1680" s="73"/>
      <c r="X1680" s="72"/>
      <c r="Y1680" s="73"/>
      <c r="Z1680" s="74" t="b">
        <v>0</v>
      </c>
      <c r="AA1680" s="130">
        <f t="shared" si="667"/>
        <v>0</v>
      </c>
      <c r="AB1680" s="131">
        <f t="shared" si="668"/>
        <v>0</v>
      </c>
      <c r="AC1680" s="132">
        <f t="shared" si="669"/>
        <v>0</v>
      </c>
      <c r="AD1680" s="133">
        <f t="shared" si="670"/>
        <v>0</v>
      </c>
      <c r="AE1680" s="131">
        <f t="shared" si="671"/>
        <v>0</v>
      </c>
      <c r="AF1680" s="133">
        <f t="shared" si="672"/>
        <v>0</v>
      </c>
      <c r="AG1680" s="1"/>
    </row>
    <row r="1681" ht="21.0" customHeight="1">
      <c r="A1681" s="1"/>
      <c r="B1681" s="48" t="s">
        <v>47</v>
      </c>
      <c r="C1681" s="49"/>
      <c r="D1681" s="91">
        <f t="array" ref="D1681">iferror(vlookup(xlookup(B1670,'현황'!O:O,'현황'!O:O,,-1,-1),'현황'!O:S,4,false),0)</f>
        <v>0</v>
      </c>
      <c r="E1681" s="41"/>
      <c r="F1681" s="92" t="s">
        <v>40</v>
      </c>
      <c r="G1681" s="79"/>
      <c r="H1681" s="93"/>
      <c r="I1681" s="94"/>
      <c r="J1681" s="95"/>
      <c r="K1681" s="96"/>
      <c r="L1681" s="95"/>
      <c r="M1681" s="96"/>
      <c r="N1681" s="95"/>
      <c r="O1681" s="96"/>
      <c r="P1681" s="95"/>
      <c r="Q1681" s="96"/>
      <c r="R1681" s="95"/>
      <c r="S1681" s="96"/>
      <c r="T1681" s="95"/>
      <c r="U1681" s="96"/>
      <c r="V1681" s="95"/>
      <c r="W1681" s="96"/>
      <c r="X1681" s="95"/>
      <c r="Y1681" s="96"/>
      <c r="Z1681" s="97" t="b">
        <v>0</v>
      </c>
      <c r="AA1681" s="135">
        <f t="shared" si="667"/>
        <v>0</v>
      </c>
      <c r="AB1681" s="136">
        <f t="shared" si="668"/>
        <v>0</v>
      </c>
      <c r="AC1681" s="137">
        <f t="shared" si="669"/>
        <v>0</v>
      </c>
      <c r="AD1681" s="138">
        <f t="shared" si="670"/>
        <v>0</v>
      </c>
      <c r="AE1681" s="136">
        <f t="shared" si="671"/>
        <v>0</v>
      </c>
      <c r="AF1681" s="138">
        <f t="shared" si="672"/>
        <v>0</v>
      </c>
      <c r="AG1681" s="1"/>
    </row>
    <row r="1682" ht="21.0" customHeight="1">
      <c r="A1682" s="1"/>
      <c r="B1682" s="102" t="s">
        <v>48</v>
      </c>
      <c r="C1682" s="103"/>
      <c r="D1682" s="104">
        <f>iferror(D1681/D1679,0)</f>
        <v>0</v>
      </c>
      <c r="E1682" s="102" t="s">
        <v>49</v>
      </c>
      <c r="F1682" s="103"/>
      <c r="G1682" s="105"/>
      <c r="H1682" s="143" t="s">
        <v>50</v>
      </c>
      <c r="I1682" s="144"/>
      <c r="J1682" s="11"/>
      <c r="K1682" s="11"/>
      <c r="L1682" s="11"/>
      <c r="M1682" s="11"/>
      <c r="N1682" s="11"/>
      <c r="O1682" s="11"/>
      <c r="P1682" s="145" t="s">
        <v>51</v>
      </c>
      <c r="Q1682" s="12"/>
      <c r="R1682" s="146"/>
      <c r="S1682" s="11"/>
      <c r="T1682" s="11"/>
      <c r="U1682" s="11"/>
      <c r="V1682" s="11"/>
      <c r="W1682" s="11"/>
      <c r="X1682" s="11"/>
      <c r="Y1682" s="11"/>
      <c r="Z1682" s="12"/>
      <c r="AA1682" s="139">
        <f>SUM(AA1673:AA1681)</f>
        <v>0</v>
      </c>
      <c r="AB1682" s="140" t="s">
        <v>321</v>
      </c>
      <c r="AG1682" s="1"/>
    </row>
    <row r="1683" ht="21.0" customHeight="1">
      <c r="A1683" s="1"/>
      <c r="B1683" s="1"/>
      <c r="C1683" s="1"/>
      <c r="D1683" s="1"/>
      <c r="E1683" s="1"/>
      <c r="F1683" s="1"/>
      <c r="G1683" s="1"/>
      <c r="H1683" s="1"/>
      <c r="I1683" s="1"/>
      <c r="AA1683" s="1"/>
      <c r="AB1683" s="1"/>
      <c r="AC1683" s="3"/>
      <c r="AD1683" s="1"/>
      <c r="AE1683" s="1"/>
      <c r="AF1683" s="1"/>
      <c r="AG1683" s="1"/>
    </row>
    <row r="1684" ht="21.0" customHeight="1">
      <c r="A1684" s="1"/>
      <c r="B1684" s="4" t="s">
        <v>1</v>
      </c>
      <c r="C1684" s="5"/>
      <c r="D1684" s="6" t="s">
        <v>2</v>
      </c>
      <c r="E1684" s="7"/>
      <c r="F1684" s="7"/>
      <c r="G1684" s="5"/>
      <c r="H1684" s="8" t="s">
        <v>3</v>
      </c>
      <c r="I1684" s="8" t="s">
        <v>4</v>
      </c>
      <c r="J1684" s="9" t="s">
        <v>5</v>
      </c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5"/>
      <c r="AA1684" s="117" t="s">
        <v>6</v>
      </c>
      <c r="AB1684" s="11"/>
      <c r="AC1684" s="11"/>
      <c r="AD1684" s="11"/>
      <c r="AE1684" s="11"/>
      <c r="AF1684" s="12"/>
      <c r="AG1684" s="1"/>
    </row>
    <row r="1685" ht="21.0" customHeight="1">
      <c r="A1685" s="1"/>
      <c r="B1685" s="149" t="s">
        <v>138</v>
      </c>
      <c r="C1685" s="14" t="str">
        <f>if(B1685="0/0","",choose(weekday(B1685),"(일)","(월)","(화)","(수)","(목)","(금)","(토)"))</f>
        <v/>
      </c>
      <c r="D1685" s="15" t="s">
        <v>7</v>
      </c>
      <c r="E1685" s="16" t="s">
        <v>8</v>
      </c>
      <c r="F1685" s="17"/>
      <c r="G1685" s="18" t="s">
        <v>9</v>
      </c>
      <c r="H1685" s="150" t="s">
        <v>139</v>
      </c>
      <c r="I1685" s="151"/>
      <c r="J1685" s="21" t="s">
        <v>12</v>
      </c>
      <c r="K1685" s="22"/>
      <c r="L1685" s="21" t="s">
        <v>13</v>
      </c>
      <c r="M1685" s="22"/>
      <c r="N1685" s="21" t="s">
        <v>14</v>
      </c>
      <c r="O1685" s="22"/>
      <c r="P1685" s="21" t="s">
        <v>15</v>
      </c>
      <c r="Q1685" s="22"/>
      <c r="R1685" s="23" t="s">
        <v>16</v>
      </c>
      <c r="S1685" s="22"/>
      <c r="T1685" s="23" t="s">
        <v>17</v>
      </c>
      <c r="U1685" s="22"/>
      <c r="V1685" s="23" t="s">
        <v>18</v>
      </c>
      <c r="W1685" s="22"/>
      <c r="X1685" s="23" t="s">
        <v>19</v>
      </c>
      <c r="Y1685" s="22"/>
      <c r="Z1685" s="24" t="s">
        <v>322</v>
      </c>
      <c r="AA1685" s="118" t="s">
        <v>21</v>
      </c>
      <c r="AB1685" s="119" t="s">
        <v>22</v>
      </c>
      <c r="AC1685" s="7"/>
      <c r="AD1685" s="22"/>
      <c r="AE1685" s="120" t="s">
        <v>23</v>
      </c>
      <c r="AF1685" s="22"/>
      <c r="AG1685" s="1"/>
    </row>
    <row r="1686" ht="21.0" customHeight="1">
      <c r="A1686" s="1"/>
      <c r="B1686" s="27">
        <f>iferror(B1685-'현황'!$C$4+1,0)</f>
        <v>0</v>
      </c>
      <c r="C1686" s="28"/>
      <c r="D1686" s="29">
        <v>0.0</v>
      </c>
      <c r="E1686" s="30">
        <v>0.0</v>
      </c>
      <c r="F1686" s="31"/>
      <c r="G1686" s="32">
        <v>0.0</v>
      </c>
      <c r="H1686" s="33">
        <v>0.0</v>
      </c>
      <c r="I1686" s="34"/>
      <c r="J1686" s="35"/>
      <c r="K1686" s="36"/>
      <c r="L1686" s="35"/>
      <c r="M1686" s="36"/>
      <c r="N1686" s="35"/>
      <c r="O1686" s="36"/>
      <c r="P1686" s="35"/>
      <c r="Q1686" s="36"/>
      <c r="R1686" s="35"/>
      <c r="S1686" s="36"/>
      <c r="T1686" s="35"/>
      <c r="U1686" s="36"/>
      <c r="V1686" s="35"/>
      <c r="W1686" s="36"/>
      <c r="X1686" s="35"/>
      <c r="Y1686" s="36"/>
      <c r="Z1686" s="37"/>
      <c r="AA1686" s="37"/>
      <c r="AB1686" s="35"/>
      <c r="AC1686" s="38"/>
      <c r="AD1686" s="36"/>
      <c r="AE1686" s="35"/>
      <c r="AF1686" s="36"/>
      <c r="AG1686" s="1"/>
    </row>
    <row r="1687" ht="21.0" customHeight="1">
      <c r="A1687" s="1"/>
      <c r="B1687" s="39" t="s">
        <v>24</v>
      </c>
      <c r="C1687" s="40"/>
      <c r="D1687" s="41"/>
      <c r="E1687" s="42" t="s">
        <v>25</v>
      </c>
      <c r="F1687" s="40"/>
      <c r="G1687" s="41"/>
      <c r="H1687" s="43" t="s">
        <v>26</v>
      </c>
      <c r="J1687" s="44" t="s">
        <v>27</v>
      </c>
      <c r="K1687" s="45" t="s">
        <v>28</v>
      </c>
      <c r="L1687" s="44" t="s">
        <v>27</v>
      </c>
      <c r="M1687" s="45" t="s">
        <v>28</v>
      </c>
      <c r="N1687" s="44" t="s">
        <v>27</v>
      </c>
      <c r="O1687" s="45" t="s">
        <v>28</v>
      </c>
      <c r="P1687" s="44" t="s">
        <v>27</v>
      </c>
      <c r="Q1687" s="45" t="s">
        <v>28</v>
      </c>
      <c r="R1687" s="44" t="s">
        <v>27</v>
      </c>
      <c r="S1687" s="45" t="s">
        <v>28</v>
      </c>
      <c r="T1687" s="44" t="s">
        <v>27</v>
      </c>
      <c r="U1687" s="45" t="s">
        <v>28</v>
      </c>
      <c r="V1687" s="44" t="s">
        <v>27</v>
      </c>
      <c r="W1687" s="45" t="s">
        <v>28</v>
      </c>
      <c r="X1687" s="44" t="s">
        <v>27</v>
      </c>
      <c r="Y1687" s="45" t="s">
        <v>28</v>
      </c>
      <c r="Z1687" s="46"/>
      <c r="AA1687" s="46"/>
      <c r="AB1687" s="121" t="s">
        <v>29</v>
      </c>
      <c r="AC1687" s="122" t="s">
        <v>30</v>
      </c>
      <c r="AD1687" s="123" t="s">
        <v>31</v>
      </c>
      <c r="AE1687" s="121" t="s">
        <v>27</v>
      </c>
      <c r="AF1687" s="123" t="s">
        <v>28</v>
      </c>
      <c r="AG1687" s="1"/>
    </row>
    <row r="1688" ht="21.0" customHeight="1">
      <c r="A1688" s="1"/>
      <c r="B1688" s="48" t="s">
        <v>32</v>
      </c>
      <c r="C1688" s="49"/>
      <c r="D1688" s="50"/>
      <c r="E1688" s="51" t="s">
        <v>33</v>
      </c>
      <c r="F1688" s="52" t="s">
        <v>34</v>
      </c>
      <c r="G1688" s="53"/>
      <c r="H1688" s="148"/>
      <c r="I1688" s="55"/>
      <c r="J1688" s="58"/>
      <c r="K1688" s="59"/>
      <c r="L1688" s="58"/>
      <c r="M1688" s="59"/>
      <c r="N1688" s="58"/>
      <c r="O1688" s="59"/>
      <c r="P1688" s="58"/>
      <c r="Q1688" s="59"/>
      <c r="R1688" s="58"/>
      <c r="S1688" s="59"/>
      <c r="T1688" s="58"/>
      <c r="U1688" s="59"/>
      <c r="V1688" s="58"/>
      <c r="W1688" s="59"/>
      <c r="X1688" s="58"/>
      <c r="Y1688" s="59"/>
      <c r="Z1688" s="60" t="b">
        <v>0</v>
      </c>
      <c r="AA1688" s="125">
        <f t="shared" ref="AA1688:AA1696" si="673">(J1688*K1688+L1688*M1688+N1688*O1688+P1688*Q1688+R1688*S1688+T1688*U1688+V1688*W1688+X1688*Y1688)*if(Z1688=true,0.453592,1)</f>
        <v>0</v>
      </c>
      <c r="AB1688" s="126">
        <f t="shared" ref="AB1688:AB1696" si="674">SUM(AE1688*AF1688*0.025,AE1688)</f>
        <v>0</v>
      </c>
      <c r="AC1688" s="127">
        <f t="shared" ref="AC1688:AC1696" si="675">AB1688*87%</f>
        <v>0</v>
      </c>
      <c r="AD1688" s="128">
        <f t="shared" ref="AD1688:AD1696" si="676">AB1688*67%</f>
        <v>0</v>
      </c>
      <c r="AE1688" s="126">
        <f t="shared" ref="AE1688:AE1696" si="677">MAX(J1688,L1688,N1688,P1688,R1688,T1688,V1688,X1688)*if(Z1688=true,0.453592,1)</f>
        <v>0</v>
      </c>
      <c r="AF1688" s="128">
        <f t="shared" ref="AF1688:AF1696" si="678">MAX(IF(J1688*if(Z1688=true,0.453592,1)=$AE1688,K1688,0),IF(L1688*if(Z1688=true,0.453592,1)=$AE1688,M1688,0),IF(N1688*if(Z1688=true,0.453592,1)=$AE1688,O1688,0),IF(P1688*if(Z1688=true,0.453592,1)=$AE1688,Q1688,0),IF(R1688*if(Z1688=true,0.453592,1)=$AE1688,S1688,0),IF(T1688*if(Z1688=true,0.453592,1)=$AE1688,U1688,0),IF(V1688*if(Z1688=true,0.453592,1)=$AE1688,W1688,0),IF(X1688*if(Z1688=true,0.453592,1)=$AE1688,Y1688,0))</f>
        <v>0</v>
      </c>
      <c r="AG1688" s="1"/>
    </row>
    <row r="1689" ht="21.0" customHeight="1">
      <c r="A1689" s="1"/>
      <c r="B1689" s="48" t="s">
        <v>36</v>
      </c>
      <c r="C1689" s="49"/>
      <c r="D1689" s="65"/>
      <c r="E1689" s="66"/>
      <c r="F1689" s="52" t="s">
        <v>37</v>
      </c>
      <c r="G1689" s="67"/>
      <c r="H1689" s="129"/>
      <c r="I1689" s="69"/>
      <c r="J1689" s="72"/>
      <c r="K1689" s="73"/>
      <c r="L1689" s="72"/>
      <c r="M1689" s="73"/>
      <c r="N1689" s="72"/>
      <c r="O1689" s="73"/>
      <c r="P1689" s="72"/>
      <c r="Q1689" s="73"/>
      <c r="R1689" s="72"/>
      <c r="S1689" s="73"/>
      <c r="T1689" s="72"/>
      <c r="U1689" s="73"/>
      <c r="V1689" s="72"/>
      <c r="W1689" s="73"/>
      <c r="X1689" s="72"/>
      <c r="Y1689" s="73"/>
      <c r="Z1689" s="74" t="b">
        <v>0</v>
      </c>
      <c r="AA1689" s="130">
        <f t="shared" si="673"/>
        <v>0</v>
      </c>
      <c r="AB1689" s="131">
        <f t="shared" si="674"/>
        <v>0</v>
      </c>
      <c r="AC1689" s="132">
        <f t="shared" si="675"/>
        <v>0</v>
      </c>
      <c r="AD1689" s="133">
        <f t="shared" si="676"/>
        <v>0</v>
      </c>
      <c r="AE1689" s="131">
        <f t="shared" si="677"/>
        <v>0</v>
      </c>
      <c r="AF1689" s="133">
        <f t="shared" si="678"/>
        <v>0</v>
      </c>
      <c r="AG1689" s="1"/>
    </row>
    <row r="1690" ht="21.0" customHeight="1">
      <c r="A1690" s="1"/>
      <c r="B1690" s="48" t="s">
        <v>39</v>
      </c>
      <c r="C1690" s="49"/>
      <c r="D1690" s="65"/>
      <c r="E1690" s="41"/>
      <c r="F1690" s="52" t="s">
        <v>40</v>
      </c>
      <c r="G1690" s="79"/>
      <c r="H1690" s="80"/>
      <c r="I1690" s="69"/>
      <c r="J1690" s="72"/>
      <c r="K1690" s="73"/>
      <c r="L1690" s="72"/>
      <c r="M1690" s="73"/>
      <c r="N1690" s="72"/>
      <c r="O1690" s="73"/>
      <c r="P1690" s="72"/>
      <c r="Q1690" s="73"/>
      <c r="R1690" s="72"/>
      <c r="S1690" s="73"/>
      <c r="T1690" s="72"/>
      <c r="U1690" s="73"/>
      <c r="V1690" s="72"/>
      <c r="W1690" s="73"/>
      <c r="X1690" s="72"/>
      <c r="Y1690" s="73"/>
      <c r="Z1690" s="74" t="b">
        <v>0</v>
      </c>
      <c r="AA1690" s="130">
        <f t="shared" si="673"/>
        <v>0</v>
      </c>
      <c r="AB1690" s="131">
        <f t="shared" si="674"/>
        <v>0</v>
      </c>
      <c r="AC1690" s="132">
        <f t="shared" si="675"/>
        <v>0</v>
      </c>
      <c r="AD1690" s="133">
        <f t="shared" si="676"/>
        <v>0</v>
      </c>
      <c r="AE1690" s="131">
        <f t="shared" si="677"/>
        <v>0</v>
      </c>
      <c r="AF1690" s="133">
        <f t="shared" si="678"/>
        <v>0</v>
      </c>
      <c r="AG1690" s="1"/>
    </row>
    <row r="1691" ht="21.0" customHeight="1">
      <c r="A1691" s="1"/>
      <c r="B1691" s="48" t="s">
        <v>41</v>
      </c>
      <c r="C1691" s="81"/>
      <c r="D1691" s="82" t="b">
        <v>0</v>
      </c>
      <c r="E1691" s="51" t="s">
        <v>42</v>
      </c>
      <c r="F1691" s="52" t="s">
        <v>34</v>
      </c>
      <c r="G1691" s="83"/>
      <c r="H1691" s="84"/>
      <c r="I1691" s="85"/>
      <c r="J1691" s="72"/>
      <c r="K1691" s="73"/>
      <c r="L1691" s="72"/>
      <c r="M1691" s="73"/>
      <c r="N1691" s="72"/>
      <c r="O1691" s="73"/>
      <c r="P1691" s="72"/>
      <c r="Q1691" s="73"/>
      <c r="R1691" s="72"/>
      <c r="S1691" s="73"/>
      <c r="T1691" s="72"/>
      <c r="U1691" s="73"/>
      <c r="V1691" s="72"/>
      <c r="W1691" s="73"/>
      <c r="X1691" s="72"/>
      <c r="Y1691" s="73"/>
      <c r="Z1691" s="74" t="b">
        <v>0</v>
      </c>
      <c r="AA1691" s="130">
        <f t="shared" si="673"/>
        <v>0</v>
      </c>
      <c r="AB1691" s="131">
        <f t="shared" si="674"/>
        <v>0</v>
      </c>
      <c r="AC1691" s="132">
        <f t="shared" si="675"/>
        <v>0</v>
      </c>
      <c r="AD1691" s="133">
        <f t="shared" si="676"/>
        <v>0</v>
      </c>
      <c r="AE1691" s="131">
        <f t="shared" si="677"/>
        <v>0</v>
      </c>
      <c r="AF1691" s="133">
        <f t="shared" si="678"/>
        <v>0</v>
      </c>
      <c r="AG1691" s="1"/>
    </row>
    <row r="1692" ht="21.0" customHeight="1">
      <c r="A1692" s="1"/>
      <c r="B1692" s="48" t="s">
        <v>43</v>
      </c>
      <c r="C1692" s="49"/>
      <c r="D1692" s="86" t="b">
        <v>0</v>
      </c>
      <c r="E1692" s="66"/>
      <c r="F1692" s="52" t="s">
        <v>37</v>
      </c>
      <c r="G1692" s="67"/>
      <c r="H1692" s="80"/>
      <c r="I1692" s="69"/>
      <c r="J1692" s="72"/>
      <c r="K1692" s="73"/>
      <c r="L1692" s="72"/>
      <c r="M1692" s="73"/>
      <c r="N1692" s="72"/>
      <c r="O1692" s="73"/>
      <c r="P1692" s="72"/>
      <c r="Q1692" s="73"/>
      <c r="R1692" s="72"/>
      <c r="S1692" s="73"/>
      <c r="T1692" s="72"/>
      <c r="U1692" s="73"/>
      <c r="V1692" s="72"/>
      <c r="W1692" s="73"/>
      <c r="X1692" s="72"/>
      <c r="Y1692" s="73"/>
      <c r="Z1692" s="74" t="b">
        <v>0</v>
      </c>
      <c r="AA1692" s="130">
        <f t="shared" si="673"/>
        <v>0</v>
      </c>
      <c r="AB1692" s="131">
        <f t="shared" si="674"/>
        <v>0</v>
      </c>
      <c r="AC1692" s="132">
        <f t="shared" si="675"/>
        <v>0</v>
      </c>
      <c r="AD1692" s="133">
        <f t="shared" si="676"/>
        <v>0</v>
      </c>
      <c r="AE1692" s="131">
        <f t="shared" si="677"/>
        <v>0</v>
      </c>
      <c r="AF1692" s="133">
        <f t="shared" si="678"/>
        <v>0</v>
      </c>
      <c r="AG1692" s="1"/>
    </row>
    <row r="1693" ht="21.0" customHeight="1">
      <c r="A1693" s="1"/>
      <c r="B1693" s="87" t="str">
        <f t="array" ref="B1693">"📌최근 인바디 결과 : "&amp;text(xlookup(B1685,'현황'!O:O,'현황'!O:O,,-1,-1),"m/d(ddd)")</f>
        <v>#REF!</v>
      </c>
      <c r="C1693" s="88"/>
      <c r="D1693" s="49"/>
      <c r="E1693" s="41"/>
      <c r="F1693" s="52" t="s">
        <v>40</v>
      </c>
      <c r="G1693" s="79"/>
      <c r="H1693" s="80"/>
      <c r="I1693" s="69"/>
      <c r="J1693" s="72"/>
      <c r="K1693" s="73"/>
      <c r="L1693" s="72"/>
      <c r="M1693" s="73"/>
      <c r="N1693" s="72"/>
      <c r="O1693" s="73"/>
      <c r="P1693" s="72"/>
      <c r="Q1693" s="73"/>
      <c r="R1693" s="72"/>
      <c r="S1693" s="73"/>
      <c r="T1693" s="72"/>
      <c r="U1693" s="73"/>
      <c r="V1693" s="72"/>
      <c r="W1693" s="73"/>
      <c r="X1693" s="72"/>
      <c r="Y1693" s="73"/>
      <c r="Z1693" s="74" t="b">
        <v>0</v>
      </c>
      <c r="AA1693" s="130">
        <f t="shared" si="673"/>
        <v>0</v>
      </c>
      <c r="AB1693" s="131">
        <f t="shared" si="674"/>
        <v>0</v>
      </c>
      <c r="AC1693" s="132">
        <f t="shared" si="675"/>
        <v>0</v>
      </c>
      <c r="AD1693" s="133">
        <f t="shared" si="676"/>
        <v>0</v>
      </c>
      <c r="AE1693" s="131">
        <f t="shared" si="677"/>
        <v>0</v>
      </c>
      <c r="AF1693" s="133">
        <f t="shared" si="678"/>
        <v>0</v>
      </c>
      <c r="AG1693" s="1"/>
    </row>
    <row r="1694" ht="21.0" customHeight="1">
      <c r="A1694" s="1"/>
      <c r="B1694" s="89" t="s">
        <v>44</v>
      </c>
      <c r="C1694" s="49"/>
      <c r="D1694" s="90">
        <f t="array" ref="D1694">iferror(vlookup(xlookup(B1685,'현황'!O:O,'현황'!O:O,,-1,-1),'현황'!O:S,2,false),0)</f>
        <v>0</v>
      </c>
      <c r="E1694" s="51" t="s">
        <v>45</v>
      </c>
      <c r="F1694" s="52" t="s">
        <v>34</v>
      </c>
      <c r="G1694" s="83"/>
      <c r="H1694" s="84"/>
      <c r="I1694" s="85"/>
      <c r="J1694" s="72"/>
      <c r="K1694" s="73"/>
      <c r="L1694" s="72"/>
      <c r="M1694" s="73"/>
      <c r="N1694" s="72"/>
      <c r="O1694" s="73"/>
      <c r="P1694" s="72"/>
      <c r="Q1694" s="73"/>
      <c r="R1694" s="72"/>
      <c r="S1694" s="73"/>
      <c r="T1694" s="72"/>
      <c r="U1694" s="73"/>
      <c r="V1694" s="72"/>
      <c r="W1694" s="73"/>
      <c r="X1694" s="72"/>
      <c r="Y1694" s="73"/>
      <c r="Z1694" s="74" t="b">
        <v>0</v>
      </c>
      <c r="AA1694" s="130">
        <f t="shared" si="673"/>
        <v>0</v>
      </c>
      <c r="AB1694" s="131">
        <f t="shared" si="674"/>
        <v>0</v>
      </c>
      <c r="AC1694" s="132">
        <f t="shared" si="675"/>
        <v>0</v>
      </c>
      <c r="AD1694" s="133">
        <f t="shared" si="676"/>
        <v>0</v>
      </c>
      <c r="AE1694" s="131">
        <f t="shared" si="677"/>
        <v>0</v>
      </c>
      <c r="AF1694" s="133">
        <f t="shared" si="678"/>
        <v>0</v>
      </c>
      <c r="AG1694" s="1"/>
    </row>
    <row r="1695" ht="21.0" customHeight="1">
      <c r="A1695" s="1"/>
      <c r="B1695" s="48" t="s">
        <v>46</v>
      </c>
      <c r="C1695" s="49"/>
      <c r="D1695" s="91">
        <f t="array" ref="D1695">iferror(vlookup(xlookup(B1685,'현황'!O:O,'현황'!O:O,,-1,-1),'현황'!O:S,3,false),0)</f>
        <v>0</v>
      </c>
      <c r="E1695" s="66"/>
      <c r="F1695" s="52" t="s">
        <v>37</v>
      </c>
      <c r="G1695" s="67"/>
      <c r="H1695" s="80"/>
      <c r="I1695" s="69"/>
      <c r="J1695" s="72"/>
      <c r="K1695" s="73"/>
      <c r="L1695" s="72"/>
      <c r="M1695" s="73"/>
      <c r="N1695" s="72"/>
      <c r="O1695" s="73"/>
      <c r="P1695" s="72"/>
      <c r="Q1695" s="73"/>
      <c r="R1695" s="72"/>
      <c r="S1695" s="73"/>
      <c r="T1695" s="72"/>
      <c r="U1695" s="73"/>
      <c r="V1695" s="72"/>
      <c r="W1695" s="73"/>
      <c r="X1695" s="72"/>
      <c r="Y1695" s="73"/>
      <c r="Z1695" s="74" t="b">
        <v>0</v>
      </c>
      <c r="AA1695" s="130">
        <f t="shared" si="673"/>
        <v>0</v>
      </c>
      <c r="AB1695" s="131">
        <f t="shared" si="674"/>
        <v>0</v>
      </c>
      <c r="AC1695" s="132">
        <f t="shared" si="675"/>
        <v>0</v>
      </c>
      <c r="AD1695" s="133">
        <f t="shared" si="676"/>
        <v>0</v>
      </c>
      <c r="AE1695" s="131">
        <f t="shared" si="677"/>
        <v>0</v>
      </c>
      <c r="AF1695" s="133">
        <f t="shared" si="678"/>
        <v>0</v>
      </c>
      <c r="AG1695" s="1"/>
    </row>
    <row r="1696" ht="21.0" customHeight="1">
      <c r="A1696" s="1"/>
      <c r="B1696" s="48" t="s">
        <v>47</v>
      </c>
      <c r="C1696" s="49"/>
      <c r="D1696" s="91">
        <f t="array" ref="D1696">iferror(vlookup(xlookup(B1685,'현황'!O:O,'현황'!O:O,,-1,-1),'현황'!O:S,4,false),0)</f>
        <v>0</v>
      </c>
      <c r="E1696" s="41"/>
      <c r="F1696" s="92" t="s">
        <v>40</v>
      </c>
      <c r="G1696" s="79"/>
      <c r="H1696" s="93"/>
      <c r="I1696" s="94"/>
      <c r="J1696" s="95"/>
      <c r="K1696" s="96"/>
      <c r="L1696" s="95"/>
      <c r="M1696" s="96"/>
      <c r="N1696" s="95"/>
      <c r="O1696" s="96"/>
      <c r="P1696" s="95"/>
      <c r="Q1696" s="96"/>
      <c r="R1696" s="95"/>
      <c r="S1696" s="96"/>
      <c r="T1696" s="95"/>
      <c r="U1696" s="96"/>
      <c r="V1696" s="95"/>
      <c r="W1696" s="96"/>
      <c r="X1696" s="95"/>
      <c r="Y1696" s="96"/>
      <c r="Z1696" s="97" t="b">
        <v>0</v>
      </c>
      <c r="AA1696" s="135">
        <f t="shared" si="673"/>
        <v>0</v>
      </c>
      <c r="AB1696" s="136">
        <f t="shared" si="674"/>
        <v>0</v>
      </c>
      <c r="AC1696" s="137">
        <f t="shared" si="675"/>
        <v>0</v>
      </c>
      <c r="AD1696" s="138">
        <f t="shared" si="676"/>
        <v>0</v>
      </c>
      <c r="AE1696" s="136">
        <f t="shared" si="677"/>
        <v>0</v>
      </c>
      <c r="AF1696" s="138">
        <f t="shared" si="678"/>
        <v>0</v>
      </c>
      <c r="AG1696" s="1"/>
    </row>
    <row r="1697" ht="21.0" customHeight="1">
      <c r="A1697" s="1"/>
      <c r="B1697" s="102" t="s">
        <v>48</v>
      </c>
      <c r="C1697" s="103"/>
      <c r="D1697" s="104">
        <f>iferror(D1696/D1694,0)</f>
        <v>0</v>
      </c>
      <c r="E1697" s="102" t="s">
        <v>49</v>
      </c>
      <c r="F1697" s="103"/>
      <c r="G1697" s="105"/>
      <c r="H1697" s="106" t="s">
        <v>50</v>
      </c>
      <c r="I1697" s="107"/>
      <c r="J1697" s="11"/>
      <c r="K1697" s="11"/>
      <c r="L1697" s="11"/>
      <c r="M1697" s="11"/>
      <c r="N1697" s="11"/>
      <c r="O1697" s="11"/>
      <c r="P1697" s="108" t="s">
        <v>51</v>
      </c>
      <c r="Q1697" s="12"/>
      <c r="R1697" s="109"/>
      <c r="S1697" s="11"/>
      <c r="T1697" s="11"/>
      <c r="U1697" s="11"/>
      <c r="V1697" s="11"/>
      <c r="W1697" s="11"/>
      <c r="X1697" s="11"/>
      <c r="Y1697" s="11"/>
      <c r="Z1697" s="12"/>
      <c r="AA1697" s="139">
        <f>SUM(AA1688:AA1696)</f>
        <v>0</v>
      </c>
      <c r="AB1697" s="140" t="s">
        <v>323</v>
      </c>
      <c r="AG1697" s="1"/>
    </row>
    <row r="1698" ht="21.0" customHeight="1">
      <c r="A1698" s="1"/>
      <c r="B1698" s="1"/>
      <c r="C1698" s="1"/>
      <c r="D1698" s="1"/>
      <c r="E1698" s="1"/>
      <c r="F1698" s="1"/>
      <c r="G1698" s="1"/>
      <c r="H1698" s="1"/>
      <c r="I1698" s="1"/>
      <c r="AA1698" s="1"/>
      <c r="AB1698" s="1"/>
      <c r="AC1698" s="3"/>
      <c r="AD1698" s="1"/>
      <c r="AE1698" s="1"/>
      <c r="AF1698" s="1"/>
      <c r="AG1698" s="1"/>
    </row>
    <row r="1699" ht="21.0" customHeight="1">
      <c r="A1699" s="1"/>
      <c r="B1699" s="4" t="s">
        <v>1</v>
      </c>
      <c r="C1699" s="5"/>
      <c r="D1699" s="6" t="s">
        <v>2</v>
      </c>
      <c r="E1699" s="7"/>
      <c r="F1699" s="7"/>
      <c r="G1699" s="5"/>
      <c r="H1699" s="8" t="s">
        <v>3</v>
      </c>
      <c r="I1699" s="8" t="s">
        <v>4</v>
      </c>
      <c r="J1699" s="9" t="s">
        <v>5</v>
      </c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5"/>
      <c r="AA1699" s="117" t="s">
        <v>6</v>
      </c>
      <c r="AB1699" s="11"/>
      <c r="AC1699" s="11"/>
      <c r="AD1699" s="11"/>
      <c r="AE1699" s="11"/>
      <c r="AF1699" s="12"/>
      <c r="AG1699" s="1"/>
    </row>
    <row r="1700" ht="21.0" customHeight="1">
      <c r="A1700" s="1"/>
      <c r="B1700" s="149" t="s">
        <v>138</v>
      </c>
      <c r="C1700" s="14" t="str">
        <f>if(B1700="0/0","",choose(weekday(B1700),"(일)","(월)","(화)","(수)","(목)","(금)","(토)"))</f>
        <v/>
      </c>
      <c r="D1700" s="15" t="s">
        <v>7</v>
      </c>
      <c r="E1700" s="16" t="s">
        <v>8</v>
      </c>
      <c r="F1700" s="17"/>
      <c r="G1700" s="18" t="s">
        <v>9</v>
      </c>
      <c r="H1700" s="150" t="s">
        <v>139</v>
      </c>
      <c r="I1700" s="151"/>
      <c r="J1700" s="21" t="s">
        <v>12</v>
      </c>
      <c r="K1700" s="22"/>
      <c r="L1700" s="21" t="s">
        <v>13</v>
      </c>
      <c r="M1700" s="22"/>
      <c r="N1700" s="21" t="s">
        <v>14</v>
      </c>
      <c r="O1700" s="22"/>
      <c r="P1700" s="21" t="s">
        <v>15</v>
      </c>
      <c r="Q1700" s="22"/>
      <c r="R1700" s="23" t="s">
        <v>16</v>
      </c>
      <c r="S1700" s="22"/>
      <c r="T1700" s="23" t="s">
        <v>17</v>
      </c>
      <c r="U1700" s="22"/>
      <c r="V1700" s="23" t="s">
        <v>18</v>
      </c>
      <c r="W1700" s="22"/>
      <c r="X1700" s="23" t="s">
        <v>19</v>
      </c>
      <c r="Y1700" s="22"/>
      <c r="Z1700" s="24" t="s">
        <v>324</v>
      </c>
      <c r="AA1700" s="118" t="s">
        <v>21</v>
      </c>
      <c r="AB1700" s="119" t="s">
        <v>22</v>
      </c>
      <c r="AC1700" s="7"/>
      <c r="AD1700" s="22"/>
      <c r="AE1700" s="120" t="s">
        <v>23</v>
      </c>
      <c r="AF1700" s="22"/>
      <c r="AG1700" s="1"/>
    </row>
    <row r="1701" ht="21.0" customHeight="1">
      <c r="A1701" s="1"/>
      <c r="B1701" s="27">
        <f>iferror(B1700-'현황'!$C$4+1,0)</f>
        <v>0</v>
      </c>
      <c r="C1701" s="28"/>
      <c r="D1701" s="29">
        <v>0.0</v>
      </c>
      <c r="E1701" s="30">
        <v>0.0</v>
      </c>
      <c r="F1701" s="31"/>
      <c r="G1701" s="32">
        <v>0.0</v>
      </c>
      <c r="H1701" s="33">
        <v>0.0</v>
      </c>
      <c r="I1701" s="34"/>
      <c r="J1701" s="35"/>
      <c r="K1701" s="36"/>
      <c r="L1701" s="35"/>
      <c r="M1701" s="36"/>
      <c r="N1701" s="35"/>
      <c r="O1701" s="36"/>
      <c r="P1701" s="35"/>
      <c r="Q1701" s="36"/>
      <c r="R1701" s="35"/>
      <c r="S1701" s="36"/>
      <c r="T1701" s="35"/>
      <c r="U1701" s="36"/>
      <c r="V1701" s="35"/>
      <c r="W1701" s="36"/>
      <c r="X1701" s="35"/>
      <c r="Y1701" s="36"/>
      <c r="Z1701" s="37"/>
      <c r="AA1701" s="37"/>
      <c r="AB1701" s="35"/>
      <c r="AC1701" s="38"/>
      <c r="AD1701" s="36"/>
      <c r="AE1701" s="35"/>
      <c r="AF1701" s="36"/>
      <c r="AG1701" s="1"/>
    </row>
    <row r="1702" ht="21.0" customHeight="1">
      <c r="A1702" s="1"/>
      <c r="B1702" s="39" t="s">
        <v>24</v>
      </c>
      <c r="C1702" s="40"/>
      <c r="D1702" s="41"/>
      <c r="E1702" s="42" t="s">
        <v>25</v>
      </c>
      <c r="F1702" s="40"/>
      <c r="G1702" s="41"/>
      <c r="H1702" s="43" t="s">
        <v>26</v>
      </c>
      <c r="J1702" s="44" t="s">
        <v>27</v>
      </c>
      <c r="K1702" s="45" t="s">
        <v>28</v>
      </c>
      <c r="L1702" s="44" t="s">
        <v>27</v>
      </c>
      <c r="M1702" s="45" t="s">
        <v>28</v>
      </c>
      <c r="N1702" s="44" t="s">
        <v>27</v>
      </c>
      <c r="O1702" s="45" t="s">
        <v>28</v>
      </c>
      <c r="P1702" s="44" t="s">
        <v>27</v>
      </c>
      <c r="Q1702" s="45" t="s">
        <v>28</v>
      </c>
      <c r="R1702" s="44" t="s">
        <v>27</v>
      </c>
      <c r="S1702" s="45" t="s">
        <v>28</v>
      </c>
      <c r="T1702" s="44" t="s">
        <v>27</v>
      </c>
      <c r="U1702" s="45" t="s">
        <v>28</v>
      </c>
      <c r="V1702" s="44" t="s">
        <v>27</v>
      </c>
      <c r="W1702" s="45" t="s">
        <v>28</v>
      </c>
      <c r="X1702" s="44" t="s">
        <v>27</v>
      </c>
      <c r="Y1702" s="45" t="s">
        <v>28</v>
      </c>
      <c r="Z1702" s="46"/>
      <c r="AA1702" s="46"/>
      <c r="AB1702" s="121" t="s">
        <v>29</v>
      </c>
      <c r="AC1702" s="122" t="s">
        <v>30</v>
      </c>
      <c r="AD1702" s="123" t="s">
        <v>31</v>
      </c>
      <c r="AE1702" s="121" t="s">
        <v>27</v>
      </c>
      <c r="AF1702" s="123" t="s">
        <v>28</v>
      </c>
      <c r="AG1702" s="1"/>
    </row>
    <row r="1703" ht="21.0" customHeight="1">
      <c r="A1703" s="1"/>
      <c r="B1703" s="48" t="s">
        <v>32</v>
      </c>
      <c r="C1703" s="49"/>
      <c r="D1703" s="50"/>
      <c r="E1703" s="51" t="s">
        <v>33</v>
      </c>
      <c r="F1703" s="52" t="s">
        <v>34</v>
      </c>
      <c r="G1703" s="53"/>
      <c r="H1703" s="148"/>
      <c r="I1703" s="55"/>
      <c r="J1703" s="58"/>
      <c r="K1703" s="59"/>
      <c r="L1703" s="58"/>
      <c r="M1703" s="59"/>
      <c r="N1703" s="58"/>
      <c r="O1703" s="59"/>
      <c r="P1703" s="58"/>
      <c r="Q1703" s="59"/>
      <c r="R1703" s="58"/>
      <c r="S1703" s="59"/>
      <c r="T1703" s="58"/>
      <c r="U1703" s="59"/>
      <c r="V1703" s="58"/>
      <c r="W1703" s="59"/>
      <c r="X1703" s="58"/>
      <c r="Y1703" s="59"/>
      <c r="Z1703" s="60" t="b">
        <v>0</v>
      </c>
      <c r="AA1703" s="125">
        <f t="shared" ref="AA1703:AA1711" si="679">(J1703*K1703+L1703*M1703+N1703*O1703+P1703*Q1703+R1703*S1703+T1703*U1703+V1703*W1703+X1703*Y1703)*if(Z1703=true,0.453592,1)</f>
        <v>0</v>
      </c>
      <c r="AB1703" s="126">
        <f t="shared" ref="AB1703:AB1711" si="680">SUM(AE1703*AF1703*0.025,AE1703)</f>
        <v>0</v>
      </c>
      <c r="AC1703" s="127">
        <f t="shared" ref="AC1703:AC1711" si="681">AB1703*87%</f>
        <v>0</v>
      </c>
      <c r="AD1703" s="128">
        <f t="shared" ref="AD1703:AD1711" si="682">AB1703*67%</f>
        <v>0</v>
      </c>
      <c r="AE1703" s="126">
        <f t="shared" ref="AE1703:AE1711" si="683">MAX(J1703,L1703,N1703,P1703,R1703,T1703,V1703,X1703)*if(Z1703=true,0.453592,1)</f>
        <v>0</v>
      </c>
      <c r="AF1703" s="128">
        <f t="shared" ref="AF1703:AF1711" si="684">MAX(IF(J1703*if(Z1703=true,0.453592,1)=$AE1703,K1703,0),IF(L1703*if(Z1703=true,0.453592,1)=$AE1703,M1703,0),IF(N1703*if(Z1703=true,0.453592,1)=$AE1703,O1703,0),IF(P1703*if(Z1703=true,0.453592,1)=$AE1703,Q1703,0),IF(R1703*if(Z1703=true,0.453592,1)=$AE1703,S1703,0),IF(T1703*if(Z1703=true,0.453592,1)=$AE1703,U1703,0),IF(V1703*if(Z1703=true,0.453592,1)=$AE1703,W1703,0),IF(X1703*if(Z1703=true,0.453592,1)=$AE1703,Y1703,0))</f>
        <v>0</v>
      </c>
      <c r="AG1703" s="1"/>
    </row>
    <row r="1704" ht="21.0" customHeight="1">
      <c r="A1704" s="1"/>
      <c r="B1704" s="48" t="s">
        <v>36</v>
      </c>
      <c r="C1704" s="49"/>
      <c r="D1704" s="65"/>
      <c r="E1704" s="66"/>
      <c r="F1704" s="52" t="s">
        <v>37</v>
      </c>
      <c r="G1704" s="67"/>
      <c r="H1704" s="129"/>
      <c r="I1704" s="69"/>
      <c r="J1704" s="72"/>
      <c r="K1704" s="73"/>
      <c r="L1704" s="72"/>
      <c r="M1704" s="73"/>
      <c r="N1704" s="72"/>
      <c r="O1704" s="73"/>
      <c r="P1704" s="72"/>
      <c r="Q1704" s="73"/>
      <c r="R1704" s="72"/>
      <c r="S1704" s="73"/>
      <c r="T1704" s="72"/>
      <c r="U1704" s="73"/>
      <c r="V1704" s="72"/>
      <c r="W1704" s="73"/>
      <c r="X1704" s="72"/>
      <c r="Y1704" s="73"/>
      <c r="Z1704" s="74" t="b">
        <v>0</v>
      </c>
      <c r="AA1704" s="130">
        <f t="shared" si="679"/>
        <v>0</v>
      </c>
      <c r="AB1704" s="131">
        <f t="shared" si="680"/>
        <v>0</v>
      </c>
      <c r="AC1704" s="132">
        <f t="shared" si="681"/>
        <v>0</v>
      </c>
      <c r="AD1704" s="133">
        <f t="shared" si="682"/>
        <v>0</v>
      </c>
      <c r="AE1704" s="131">
        <f t="shared" si="683"/>
        <v>0</v>
      </c>
      <c r="AF1704" s="133">
        <f t="shared" si="684"/>
        <v>0</v>
      </c>
      <c r="AG1704" s="1"/>
    </row>
    <row r="1705" ht="21.0" customHeight="1">
      <c r="A1705" s="1"/>
      <c r="B1705" s="48" t="s">
        <v>39</v>
      </c>
      <c r="C1705" s="49"/>
      <c r="D1705" s="65"/>
      <c r="E1705" s="41"/>
      <c r="F1705" s="52" t="s">
        <v>40</v>
      </c>
      <c r="G1705" s="79"/>
      <c r="H1705" s="80"/>
      <c r="I1705" s="69"/>
      <c r="J1705" s="72"/>
      <c r="K1705" s="73"/>
      <c r="L1705" s="72"/>
      <c r="M1705" s="73"/>
      <c r="N1705" s="72"/>
      <c r="O1705" s="73"/>
      <c r="P1705" s="72"/>
      <c r="Q1705" s="73"/>
      <c r="R1705" s="72"/>
      <c r="S1705" s="73"/>
      <c r="T1705" s="72"/>
      <c r="U1705" s="73"/>
      <c r="V1705" s="72"/>
      <c r="W1705" s="73"/>
      <c r="X1705" s="72"/>
      <c r="Y1705" s="73"/>
      <c r="Z1705" s="74" t="b">
        <v>0</v>
      </c>
      <c r="AA1705" s="130">
        <f t="shared" si="679"/>
        <v>0</v>
      </c>
      <c r="AB1705" s="131">
        <f t="shared" si="680"/>
        <v>0</v>
      </c>
      <c r="AC1705" s="132">
        <f t="shared" si="681"/>
        <v>0</v>
      </c>
      <c r="AD1705" s="133">
        <f t="shared" si="682"/>
        <v>0</v>
      </c>
      <c r="AE1705" s="131">
        <f t="shared" si="683"/>
        <v>0</v>
      </c>
      <c r="AF1705" s="133">
        <f t="shared" si="684"/>
        <v>0</v>
      </c>
      <c r="AG1705" s="1"/>
    </row>
    <row r="1706" ht="21.0" customHeight="1">
      <c r="A1706" s="1"/>
      <c r="B1706" s="48" t="s">
        <v>41</v>
      </c>
      <c r="C1706" s="81"/>
      <c r="D1706" s="82" t="b">
        <v>0</v>
      </c>
      <c r="E1706" s="51" t="s">
        <v>42</v>
      </c>
      <c r="F1706" s="52" t="s">
        <v>34</v>
      </c>
      <c r="G1706" s="83"/>
      <c r="H1706" s="84"/>
      <c r="I1706" s="85"/>
      <c r="J1706" s="72"/>
      <c r="K1706" s="73"/>
      <c r="L1706" s="72"/>
      <c r="M1706" s="73"/>
      <c r="N1706" s="72"/>
      <c r="O1706" s="73"/>
      <c r="P1706" s="72"/>
      <c r="Q1706" s="73"/>
      <c r="R1706" s="72"/>
      <c r="S1706" s="73"/>
      <c r="T1706" s="72"/>
      <c r="U1706" s="73"/>
      <c r="V1706" s="72"/>
      <c r="W1706" s="73"/>
      <c r="X1706" s="72"/>
      <c r="Y1706" s="73"/>
      <c r="Z1706" s="74" t="b">
        <v>0</v>
      </c>
      <c r="AA1706" s="130">
        <f t="shared" si="679"/>
        <v>0</v>
      </c>
      <c r="AB1706" s="131">
        <f t="shared" si="680"/>
        <v>0</v>
      </c>
      <c r="AC1706" s="132">
        <f t="shared" si="681"/>
        <v>0</v>
      </c>
      <c r="AD1706" s="133">
        <f t="shared" si="682"/>
        <v>0</v>
      </c>
      <c r="AE1706" s="131">
        <f t="shared" si="683"/>
        <v>0</v>
      </c>
      <c r="AF1706" s="133">
        <f t="shared" si="684"/>
        <v>0</v>
      </c>
      <c r="AG1706" s="1"/>
    </row>
    <row r="1707" ht="21.0" customHeight="1">
      <c r="A1707" s="1"/>
      <c r="B1707" s="48" t="s">
        <v>43</v>
      </c>
      <c r="C1707" s="49"/>
      <c r="D1707" s="86" t="b">
        <v>0</v>
      </c>
      <c r="E1707" s="66"/>
      <c r="F1707" s="52" t="s">
        <v>37</v>
      </c>
      <c r="G1707" s="67"/>
      <c r="H1707" s="80"/>
      <c r="I1707" s="69"/>
      <c r="J1707" s="72"/>
      <c r="K1707" s="73"/>
      <c r="L1707" s="72"/>
      <c r="M1707" s="73"/>
      <c r="N1707" s="72"/>
      <c r="O1707" s="73"/>
      <c r="P1707" s="72"/>
      <c r="Q1707" s="73"/>
      <c r="R1707" s="72"/>
      <c r="S1707" s="73"/>
      <c r="T1707" s="72"/>
      <c r="U1707" s="73"/>
      <c r="V1707" s="72"/>
      <c r="W1707" s="73"/>
      <c r="X1707" s="72"/>
      <c r="Y1707" s="73"/>
      <c r="Z1707" s="74" t="b">
        <v>0</v>
      </c>
      <c r="AA1707" s="130">
        <f t="shared" si="679"/>
        <v>0</v>
      </c>
      <c r="AB1707" s="131">
        <f t="shared" si="680"/>
        <v>0</v>
      </c>
      <c r="AC1707" s="132">
        <f t="shared" si="681"/>
        <v>0</v>
      </c>
      <c r="AD1707" s="133">
        <f t="shared" si="682"/>
        <v>0</v>
      </c>
      <c r="AE1707" s="131">
        <f t="shared" si="683"/>
        <v>0</v>
      </c>
      <c r="AF1707" s="133">
        <f t="shared" si="684"/>
        <v>0</v>
      </c>
      <c r="AG1707" s="1"/>
    </row>
    <row r="1708" ht="21.0" customHeight="1">
      <c r="A1708" s="1"/>
      <c r="B1708" s="87" t="str">
        <f t="array" ref="B1708">"📌최근 인바디 결과 : "&amp;text(xlookup(B1700,'현황'!O:O,'현황'!O:O,,-1,-1),"m/d(ddd)")</f>
        <v>#REF!</v>
      </c>
      <c r="C1708" s="88"/>
      <c r="D1708" s="49"/>
      <c r="E1708" s="41"/>
      <c r="F1708" s="52" t="s">
        <v>40</v>
      </c>
      <c r="G1708" s="79"/>
      <c r="H1708" s="80"/>
      <c r="I1708" s="69"/>
      <c r="J1708" s="72"/>
      <c r="K1708" s="73"/>
      <c r="L1708" s="72"/>
      <c r="M1708" s="73"/>
      <c r="N1708" s="72"/>
      <c r="O1708" s="73"/>
      <c r="P1708" s="72"/>
      <c r="Q1708" s="73"/>
      <c r="R1708" s="72"/>
      <c r="S1708" s="73"/>
      <c r="T1708" s="72"/>
      <c r="U1708" s="73"/>
      <c r="V1708" s="72"/>
      <c r="W1708" s="73"/>
      <c r="X1708" s="72"/>
      <c r="Y1708" s="73"/>
      <c r="Z1708" s="74" t="b">
        <v>0</v>
      </c>
      <c r="AA1708" s="130">
        <f t="shared" si="679"/>
        <v>0</v>
      </c>
      <c r="AB1708" s="131">
        <f t="shared" si="680"/>
        <v>0</v>
      </c>
      <c r="AC1708" s="132">
        <f t="shared" si="681"/>
        <v>0</v>
      </c>
      <c r="AD1708" s="133">
        <f t="shared" si="682"/>
        <v>0</v>
      </c>
      <c r="AE1708" s="131">
        <f t="shared" si="683"/>
        <v>0</v>
      </c>
      <c r="AF1708" s="133">
        <f t="shared" si="684"/>
        <v>0</v>
      </c>
      <c r="AG1708" s="1"/>
    </row>
    <row r="1709" ht="21.0" customHeight="1">
      <c r="A1709" s="1"/>
      <c r="B1709" s="89" t="s">
        <v>44</v>
      </c>
      <c r="C1709" s="49"/>
      <c r="D1709" s="90">
        <f t="array" ref="D1709">iferror(vlookup(xlookup(B1700,'현황'!O:O,'현황'!O:O,,-1,-1),'현황'!O:S,2,false),0)</f>
        <v>0</v>
      </c>
      <c r="E1709" s="51" t="s">
        <v>45</v>
      </c>
      <c r="F1709" s="52" t="s">
        <v>34</v>
      </c>
      <c r="G1709" s="83"/>
      <c r="H1709" s="84"/>
      <c r="I1709" s="85"/>
      <c r="J1709" s="72"/>
      <c r="K1709" s="73"/>
      <c r="L1709" s="72"/>
      <c r="M1709" s="73"/>
      <c r="N1709" s="72"/>
      <c r="O1709" s="73"/>
      <c r="P1709" s="72"/>
      <c r="Q1709" s="73"/>
      <c r="R1709" s="72"/>
      <c r="S1709" s="73"/>
      <c r="T1709" s="72"/>
      <c r="U1709" s="73"/>
      <c r="V1709" s="72"/>
      <c r="W1709" s="73"/>
      <c r="X1709" s="72"/>
      <c r="Y1709" s="73"/>
      <c r="Z1709" s="74" t="b">
        <v>0</v>
      </c>
      <c r="AA1709" s="130">
        <f t="shared" si="679"/>
        <v>0</v>
      </c>
      <c r="AB1709" s="131">
        <f t="shared" si="680"/>
        <v>0</v>
      </c>
      <c r="AC1709" s="132">
        <f t="shared" si="681"/>
        <v>0</v>
      </c>
      <c r="AD1709" s="133">
        <f t="shared" si="682"/>
        <v>0</v>
      </c>
      <c r="AE1709" s="131">
        <f t="shared" si="683"/>
        <v>0</v>
      </c>
      <c r="AF1709" s="133">
        <f t="shared" si="684"/>
        <v>0</v>
      </c>
      <c r="AG1709" s="1"/>
    </row>
    <row r="1710" ht="21.0" customHeight="1">
      <c r="A1710" s="1"/>
      <c r="B1710" s="48" t="s">
        <v>46</v>
      </c>
      <c r="C1710" s="49"/>
      <c r="D1710" s="91">
        <f t="array" ref="D1710">iferror(vlookup(xlookup(B1700,'현황'!O:O,'현황'!O:O,,-1,-1),'현황'!O:S,3,false),0)</f>
        <v>0</v>
      </c>
      <c r="E1710" s="66"/>
      <c r="F1710" s="52" t="s">
        <v>37</v>
      </c>
      <c r="G1710" s="67"/>
      <c r="H1710" s="80"/>
      <c r="I1710" s="69"/>
      <c r="J1710" s="72"/>
      <c r="K1710" s="73"/>
      <c r="L1710" s="72"/>
      <c r="M1710" s="73"/>
      <c r="N1710" s="72"/>
      <c r="O1710" s="73"/>
      <c r="P1710" s="72"/>
      <c r="Q1710" s="73"/>
      <c r="R1710" s="72"/>
      <c r="S1710" s="73"/>
      <c r="T1710" s="72"/>
      <c r="U1710" s="73"/>
      <c r="V1710" s="72"/>
      <c r="W1710" s="73"/>
      <c r="X1710" s="72"/>
      <c r="Y1710" s="73"/>
      <c r="Z1710" s="74" t="b">
        <v>0</v>
      </c>
      <c r="AA1710" s="130">
        <f t="shared" si="679"/>
        <v>0</v>
      </c>
      <c r="AB1710" s="131">
        <f t="shared" si="680"/>
        <v>0</v>
      </c>
      <c r="AC1710" s="132">
        <f t="shared" si="681"/>
        <v>0</v>
      </c>
      <c r="AD1710" s="133">
        <f t="shared" si="682"/>
        <v>0</v>
      </c>
      <c r="AE1710" s="131">
        <f t="shared" si="683"/>
        <v>0</v>
      </c>
      <c r="AF1710" s="133">
        <f t="shared" si="684"/>
        <v>0</v>
      </c>
      <c r="AG1710" s="1"/>
    </row>
    <row r="1711" ht="21.0" customHeight="1">
      <c r="A1711" s="1"/>
      <c r="B1711" s="48" t="s">
        <v>47</v>
      </c>
      <c r="C1711" s="49"/>
      <c r="D1711" s="91">
        <f t="array" ref="D1711">iferror(vlookup(xlookup(B1700,'현황'!O:O,'현황'!O:O,,-1,-1),'현황'!O:S,4,false),0)</f>
        <v>0</v>
      </c>
      <c r="E1711" s="41"/>
      <c r="F1711" s="92" t="s">
        <v>40</v>
      </c>
      <c r="G1711" s="79"/>
      <c r="H1711" s="93"/>
      <c r="I1711" s="94"/>
      <c r="J1711" s="95"/>
      <c r="K1711" s="96"/>
      <c r="L1711" s="95"/>
      <c r="M1711" s="96"/>
      <c r="N1711" s="95"/>
      <c r="O1711" s="96"/>
      <c r="P1711" s="95"/>
      <c r="Q1711" s="96"/>
      <c r="R1711" s="95"/>
      <c r="S1711" s="96"/>
      <c r="T1711" s="95"/>
      <c r="U1711" s="96"/>
      <c r="V1711" s="95"/>
      <c r="W1711" s="96"/>
      <c r="X1711" s="95"/>
      <c r="Y1711" s="96"/>
      <c r="Z1711" s="97" t="b">
        <v>0</v>
      </c>
      <c r="AA1711" s="135">
        <f t="shared" si="679"/>
        <v>0</v>
      </c>
      <c r="AB1711" s="136">
        <f t="shared" si="680"/>
        <v>0</v>
      </c>
      <c r="AC1711" s="137">
        <f t="shared" si="681"/>
        <v>0</v>
      </c>
      <c r="AD1711" s="138">
        <f t="shared" si="682"/>
        <v>0</v>
      </c>
      <c r="AE1711" s="136">
        <f t="shared" si="683"/>
        <v>0</v>
      </c>
      <c r="AF1711" s="138">
        <f t="shared" si="684"/>
        <v>0</v>
      </c>
      <c r="AG1711" s="1"/>
    </row>
    <row r="1712" ht="21.0" customHeight="1">
      <c r="A1712" s="1"/>
      <c r="B1712" s="102" t="s">
        <v>48</v>
      </c>
      <c r="C1712" s="103"/>
      <c r="D1712" s="104">
        <f>iferror(D1711/D1709,0)</f>
        <v>0</v>
      </c>
      <c r="E1712" s="102" t="s">
        <v>49</v>
      </c>
      <c r="F1712" s="103"/>
      <c r="G1712" s="105"/>
      <c r="H1712" s="106" t="s">
        <v>50</v>
      </c>
      <c r="I1712" s="107"/>
      <c r="J1712" s="11"/>
      <c r="K1712" s="11"/>
      <c r="L1712" s="11"/>
      <c r="M1712" s="11"/>
      <c r="N1712" s="11"/>
      <c r="O1712" s="11"/>
      <c r="P1712" s="108" t="s">
        <v>51</v>
      </c>
      <c r="Q1712" s="12"/>
      <c r="R1712" s="109"/>
      <c r="S1712" s="11"/>
      <c r="T1712" s="11"/>
      <c r="U1712" s="11"/>
      <c r="V1712" s="11"/>
      <c r="W1712" s="11"/>
      <c r="X1712" s="11"/>
      <c r="Y1712" s="11"/>
      <c r="Z1712" s="12"/>
      <c r="AA1712" s="139">
        <f>SUM(AA1703:AA1711)</f>
        <v>0</v>
      </c>
      <c r="AB1712" s="140" t="s">
        <v>325</v>
      </c>
      <c r="AG1712" s="1"/>
    </row>
    <row r="1713" ht="21.0" customHeight="1">
      <c r="A1713" s="1"/>
      <c r="B1713" s="1"/>
      <c r="C1713" s="1"/>
      <c r="D1713" s="1"/>
      <c r="E1713" s="1"/>
      <c r="F1713" s="1"/>
      <c r="G1713" s="1"/>
      <c r="H1713" s="1"/>
      <c r="I1713" s="1"/>
      <c r="AA1713" s="1"/>
      <c r="AB1713" s="1"/>
      <c r="AC1713" s="3"/>
      <c r="AD1713" s="1"/>
      <c r="AE1713" s="1"/>
      <c r="AF1713" s="1"/>
      <c r="AG1713" s="1"/>
    </row>
    <row r="1714" ht="21.0" customHeight="1">
      <c r="A1714" s="1"/>
      <c r="B1714" s="4" t="s">
        <v>1</v>
      </c>
      <c r="C1714" s="5"/>
      <c r="D1714" s="6" t="s">
        <v>2</v>
      </c>
      <c r="E1714" s="7"/>
      <c r="F1714" s="7"/>
      <c r="G1714" s="5"/>
      <c r="H1714" s="8" t="s">
        <v>3</v>
      </c>
      <c r="I1714" s="8" t="s">
        <v>4</v>
      </c>
      <c r="J1714" s="9" t="s">
        <v>5</v>
      </c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5"/>
      <c r="AA1714" s="117" t="s">
        <v>6</v>
      </c>
      <c r="AB1714" s="11"/>
      <c r="AC1714" s="11"/>
      <c r="AD1714" s="11"/>
      <c r="AE1714" s="11"/>
      <c r="AF1714" s="12"/>
      <c r="AG1714" s="1"/>
    </row>
    <row r="1715" ht="21.0" customHeight="1">
      <c r="A1715" s="1"/>
      <c r="B1715" s="149" t="s">
        <v>138</v>
      </c>
      <c r="C1715" s="14" t="str">
        <f>if(B1715="0/0","",choose(weekday(B1715),"(일)","(월)","(화)","(수)","(목)","(금)","(토)"))</f>
        <v/>
      </c>
      <c r="D1715" s="15" t="s">
        <v>7</v>
      </c>
      <c r="E1715" s="16" t="s">
        <v>8</v>
      </c>
      <c r="F1715" s="17"/>
      <c r="G1715" s="18" t="s">
        <v>9</v>
      </c>
      <c r="H1715" s="150" t="s">
        <v>139</v>
      </c>
      <c r="I1715" s="151"/>
      <c r="J1715" s="21" t="s">
        <v>12</v>
      </c>
      <c r="K1715" s="22"/>
      <c r="L1715" s="21" t="s">
        <v>13</v>
      </c>
      <c r="M1715" s="22"/>
      <c r="N1715" s="21" t="s">
        <v>14</v>
      </c>
      <c r="O1715" s="22"/>
      <c r="P1715" s="21" t="s">
        <v>15</v>
      </c>
      <c r="Q1715" s="22"/>
      <c r="R1715" s="23" t="s">
        <v>16</v>
      </c>
      <c r="S1715" s="22"/>
      <c r="T1715" s="23" t="s">
        <v>17</v>
      </c>
      <c r="U1715" s="22"/>
      <c r="V1715" s="23" t="s">
        <v>18</v>
      </c>
      <c r="W1715" s="22"/>
      <c r="X1715" s="23" t="s">
        <v>19</v>
      </c>
      <c r="Y1715" s="22"/>
      <c r="Z1715" s="24" t="s">
        <v>326</v>
      </c>
      <c r="AA1715" s="118" t="s">
        <v>21</v>
      </c>
      <c r="AB1715" s="119" t="s">
        <v>22</v>
      </c>
      <c r="AC1715" s="7"/>
      <c r="AD1715" s="22"/>
      <c r="AE1715" s="120" t="s">
        <v>23</v>
      </c>
      <c r="AF1715" s="22"/>
      <c r="AG1715" s="1"/>
    </row>
    <row r="1716" ht="21.0" customHeight="1">
      <c r="A1716" s="1"/>
      <c r="B1716" s="27">
        <f>iferror(B1715-'현황'!$C$4+1,0)</f>
        <v>0</v>
      </c>
      <c r="C1716" s="28"/>
      <c r="D1716" s="29">
        <v>0.0</v>
      </c>
      <c r="E1716" s="30">
        <v>0.0</v>
      </c>
      <c r="F1716" s="31"/>
      <c r="G1716" s="32">
        <v>0.0</v>
      </c>
      <c r="H1716" s="33">
        <v>0.0</v>
      </c>
      <c r="I1716" s="34"/>
      <c r="J1716" s="35"/>
      <c r="K1716" s="36"/>
      <c r="L1716" s="35"/>
      <c r="M1716" s="36"/>
      <c r="N1716" s="35"/>
      <c r="O1716" s="36"/>
      <c r="P1716" s="35"/>
      <c r="Q1716" s="36"/>
      <c r="R1716" s="35"/>
      <c r="S1716" s="36"/>
      <c r="T1716" s="35"/>
      <c r="U1716" s="36"/>
      <c r="V1716" s="35"/>
      <c r="W1716" s="36"/>
      <c r="X1716" s="35"/>
      <c r="Y1716" s="36"/>
      <c r="Z1716" s="37"/>
      <c r="AA1716" s="37"/>
      <c r="AB1716" s="35"/>
      <c r="AC1716" s="38"/>
      <c r="AD1716" s="36"/>
      <c r="AE1716" s="35"/>
      <c r="AF1716" s="36"/>
      <c r="AG1716" s="1"/>
    </row>
    <row r="1717" ht="21.0" customHeight="1">
      <c r="A1717" s="1"/>
      <c r="B1717" s="39" t="s">
        <v>24</v>
      </c>
      <c r="C1717" s="40"/>
      <c r="D1717" s="41"/>
      <c r="E1717" s="42" t="s">
        <v>25</v>
      </c>
      <c r="F1717" s="40"/>
      <c r="G1717" s="41"/>
      <c r="H1717" s="43" t="s">
        <v>26</v>
      </c>
      <c r="J1717" s="44" t="s">
        <v>27</v>
      </c>
      <c r="K1717" s="45" t="s">
        <v>28</v>
      </c>
      <c r="L1717" s="44" t="s">
        <v>27</v>
      </c>
      <c r="M1717" s="45" t="s">
        <v>28</v>
      </c>
      <c r="N1717" s="44" t="s">
        <v>27</v>
      </c>
      <c r="O1717" s="45" t="s">
        <v>28</v>
      </c>
      <c r="P1717" s="44" t="s">
        <v>27</v>
      </c>
      <c r="Q1717" s="45" t="s">
        <v>28</v>
      </c>
      <c r="R1717" s="44" t="s">
        <v>27</v>
      </c>
      <c r="S1717" s="45" t="s">
        <v>28</v>
      </c>
      <c r="T1717" s="44" t="s">
        <v>27</v>
      </c>
      <c r="U1717" s="45" t="s">
        <v>28</v>
      </c>
      <c r="V1717" s="44" t="s">
        <v>27</v>
      </c>
      <c r="W1717" s="45" t="s">
        <v>28</v>
      </c>
      <c r="X1717" s="44" t="s">
        <v>27</v>
      </c>
      <c r="Y1717" s="45" t="s">
        <v>28</v>
      </c>
      <c r="Z1717" s="46"/>
      <c r="AA1717" s="46"/>
      <c r="AB1717" s="121" t="s">
        <v>29</v>
      </c>
      <c r="AC1717" s="122" t="s">
        <v>30</v>
      </c>
      <c r="AD1717" s="123" t="s">
        <v>31</v>
      </c>
      <c r="AE1717" s="121" t="s">
        <v>27</v>
      </c>
      <c r="AF1717" s="123" t="s">
        <v>28</v>
      </c>
      <c r="AG1717" s="1"/>
    </row>
    <row r="1718" ht="21.0" customHeight="1">
      <c r="A1718" s="1"/>
      <c r="B1718" s="48" t="s">
        <v>32</v>
      </c>
      <c r="C1718" s="49"/>
      <c r="D1718" s="50"/>
      <c r="E1718" s="51" t="s">
        <v>33</v>
      </c>
      <c r="F1718" s="52" t="s">
        <v>34</v>
      </c>
      <c r="G1718" s="53"/>
      <c r="H1718" s="148"/>
      <c r="I1718" s="55"/>
      <c r="J1718" s="58"/>
      <c r="K1718" s="59"/>
      <c r="L1718" s="58"/>
      <c r="M1718" s="59"/>
      <c r="N1718" s="58"/>
      <c r="O1718" s="59"/>
      <c r="P1718" s="58"/>
      <c r="Q1718" s="59"/>
      <c r="R1718" s="58"/>
      <c r="S1718" s="59"/>
      <c r="T1718" s="58"/>
      <c r="U1718" s="59"/>
      <c r="V1718" s="58"/>
      <c r="W1718" s="59"/>
      <c r="X1718" s="58"/>
      <c r="Y1718" s="59"/>
      <c r="Z1718" s="60" t="b">
        <v>0</v>
      </c>
      <c r="AA1718" s="125">
        <f t="shared" ref="AA1718:AA1726" si="685">(J1718*K1718+L1718*M1718+N1718*O1718+P1718*Q1718+R1718*S1718+T1718*U1718+V1718*W1718+X1718*Y1718)*if(Z1718=true,0.453592,1)</f>
        <v>0</v>
      </c>
      <c r="AB1718" s="126">
        <f t="shared" ref="AB1718:AB1726" si="686">SUM(AE1718*AF1718*0.025,AE1718)</f>
        <v>0</v>
      </c>
      <c r="AC1718" s="127">
        <f t="shared" ref="AC1718:AC1726" si="687">AB1718*87%</f>
        <v>0</v>
      </c>
      <c r="AD1718" s="128">
        <f t="shared" ref="AD1718:AD1726" si="688">AB1718*67%</f>
        <v>0</v>
      </c>
      <c r="AE1718" s="126">
        <f t="shared" ref="AE1718:AE1726" si="689">MAX(J1718,L1718,N1718,P1718,R1718,T1718,V1718,X1718)*if(Z1718=true,0.453592,1)</f>
        <v>0</v>
      </c>
      <c r="AF1718" s="128">
        <f t="shared" ref="AF1718:AF1726" si="690">MAX(IF(J1718*if(Z1718=true,0.453592,1)=$AE1718,K1718,0),IF(L1718*if(Z1718=true,0.453592,1)=$AE1718,M1718,0),IF(N1718*if(Z1718=true,0.453592,1)=$AE1718,O1718,0),IF(P1718*if(Z1718=true,0.453592,1)=$AE1718,Q1718,0),IF(R1718*if(Z1718=true,0.453592,1)=$AE1718,S1718,0),IF(T1718*if(Z1718=true,0.453592,1)=$AE1718,U1718,0),IF(V1718*if(Z1718=true,0.453592,1)=$AE1718,W1718,0),IF(X1718*if(Z1718=true,0.453592,1)=$AE1718,Y1718,0))</f>
        <v>0</v>
      </c>
      <c r="AG1718" s="1"/>
    </row>
    <row r="1719" ht="21.0" customHeight="1">
      <c r="A1719" s="1"/>
      <c r="B1719" s="48" t="s">
        <v>36</v>
      </c>
      <c r="C1719" s="49"/>
      <c r="D1719" s="65"/>
      <c r="E1719" s="66"/>
      <c r="F1719" s="52" t="s">
        <v>37</v>
      </c>
      <c r="G1719" s="67"/>
      <c r="H1719" s="129"/>
      <c r="I1719" s="69"/>
      <c r="J1719" s="72"/>
      <c r="K1719" s="73"/>
      <c r="L1719" s="72"/>
      <c r="M1719" s="73"/>
      <c r="N1719" s="72"/>
      <c r="O1719" s="73"/>
      <c r="P1719" s="72"/>
      <c r="Q1719" s="73"/>
      <c r="R1719" s="72"/>
      <c r="S1719" s="73"/>
      <c r="T1719" s="72"/>
      <c r="U1719" s="73"/>
      <c r="V1719" s="72"/>
      <c r="W1719" s="73"/>
      <c r="X1719" s="72"/>
      <c r="Y1719" s="73"/>
      <c r="Z1719" s="74" t="b">
        <v>0</v>
      </c>
      <c r="AA1719" s="130">
        <f t="shared" si="685"/>
        <v>0</v>
      </c>
      <c r="AB1719" s="131">
        <f t="shared" si="686"/>
        <v>0</v>
      </c>
      <c r="AC1719" s="132">
        <f t="shared" si="687"/>
        <v>0</v>
      </c>
      <c r="AD1719" s="133">
        <f t="shared" si="688"/>
        <v>0</v>
      </c>
      <c r="AE1719" s="131">
        <f t="shared" si="689"/>
        <v>0</v>
      </c>
      <c r="AF1719" s="133">
        <f t="shared" si="690"/>
        <v>0</v>
      </c>
      <c r="AG1719" s="1"/>
    </row>
    <row r="1720" ht="21.0" customHeight="1">
      <c r="A1720" s="1"/>
      <c r="B1720" s="48" t="s">
        <v>39</v>
      </c>
      <c r="C1720" s="49"/>
      <c r="D1720" s="65"/>
      <c r="E1720" s="41"/>
      <c r="F1720" s="52" t="s">
        <v>40</v>
      </c>
      <c r="G1720" s="79"/>
      <c r="H1720" s="80"/>
      <c r="I1720" s="69"/>
      <c r="J1720" s="72"/>
      <c r="K1720" s="73"/>
      <c r="L1720" s="72"/>
      <c r="M1720" s="73"/>
      <c r="N1720" s="72"/>
      <c r="O1720" s="73"/>
      <c r="P1720" s="72"/>
      <c r="Q1720" s="73"/>
      <c r="R1720" s="72"/>
      <c r="S1720" s="73"/>
      <c r="T1720" s="72"/>
      <c r="U1720" s="73"/>
      <c r="V1720" s="72"/>
      <c r="W1720" s="73"/>
      <c r="X1720" s="72"/>
      <c r="Y1720" s="73"/>
      <c r="Z1720" s="74" t="b">
        <v>0</v>
      </c>
      <c r="AA1720" s="130">
        <f t="shared" si="685"/>
        <v>0</v>
      </c>
      <c r="AB1720" s="131">
        <f t="shared" si="686"/>
        <v>0</v>
      </c>
      <c r="AC1720" s="132">
        <f t="shared" si="687"/>
        <v>0</v>
      </c>
      <c r="AD1720" s="133">
        <f t="shared" si="688"/>
        <v>0</v>
      </c>
      <c r="AE1720" s="131">
        <f t="shared" si="689"/>
        <v>0</v>
      </c>
      <c r="AF1720" s="133">
        <f t="shared" si="690"/>
        <v>0</v>
      </c>
      <c r="AG1720" s="1"/>
    </row>
    <row r="1721" ht="21.0" customHeight="1">
      <c r="A1721" s="1"/>
      <c r="B1721" s="48" t="s">
        <v>41</v>
      </c>
      <c r="C1721" s="81"/>
      <c r="D1721" s="82" t="b">
        <v>0</v>
      </c>
      <c r="E1721" s="51" t="s">
        <v>42</v>
      </c>
      <c r="F1721" s="52" t="s">
        <v>34</v>
      </c>
      <c r="G1721" s="83"/>
      <c r="H1721" s="84"/>
      <c r="I1721" s="85"/>
      <c r="J1721" s="72"/>
      <c r="K1721" s="73"/>
      <c r="L1721" s="72"/>
      <c r="M1721" s="73"/>
      <c r="N1721" s="72"/>
      <c r="O1721" s="73"/>
      <c r="P1721" s="72"/>
      <c r="Q1721" s="73"/>
      <c r="R1721" s="72"/>
      <c r="S1721" s="73"/>
      <c r="T1721" s="72"/>
      <c r="U1721" s="73"/>
      <c r="V1721" s="72"/>
      <c r="W1721" s="73"/>
      <c r="X1721" s="72"/>
      <c r="Y1721" s="73"/>
      <c r="Z1721" s="74" t="b">
        <v>0</v>
      </c>
      <c r="AA1721" s="130">
        <f t="shared" si="685"/>
        <v>0</v>
      </c>
      <c r="AB1721" s="131">
        <f t="shared" si="686"/>
        <v>0</v>
      </c>
      <c r="AC1721" s="132">
        <f t="shared" si="687"/>
        <v>0</v>
      </c>
      <c r="AD1721" s="133">
        <f t="shared" si="688"/>
        <v>0</v>
      </c>
      <c r="AE1721" s="131">
        <f t="shared" si="689"/>
        <v>0</v>
      </c>
      <c r="AF1721" s="133">
        <f t="shared" si="690"/>
        <v>0</v>
      </c>
      <c r="AG1721" s="1"/>
    </row>
    <row r="1722" ht="21.0" customHeight="1">
      <c r="A1722" s="1"/>
      <c r="B1722" s="48" t="s">
        <v>43</v>
      </c>
      <c r="C1722" s="49"/>
      <c r="D1722" s="86" t="b">
        <v>0</v>
      </c>
      <c r="E1722" s="66"/>
      <c r="F1722" s="52" t="s">
        <v>37</v>
      </c>
      <c r="G1722" s="67"/>
      <c r="H1722" s="80"/>
      <c r="I1722" s="69"/>
      <c r="J1722" s="72"/>
      <c r="K1722" s="73"/>
      <c r="L1722" s="72"/>
      <c r="M1722" s="73"/>
      <c r="N1722" s="72"/>
      <c r="O1722" s="73"/>
      <c r="P1722" s="72"/>
      <c r="Q1722" s="73"/>
      <c r="R1722" s="72"/>
      <c r="S1722" s="73"/>
      <c r="T1722" s="72"/>
      <c r="U1722" s="73"/>
      <c r="V1722" s="72"/>
      <c r="W1722" s="73"/>
      <c r="X1722" s="72"/>
      <c r="Y1722" s="73"/>
      <c r="Z1722" s="74" t="b">
        <v>0</v>
      </c>
      <c r="AA1722" s="130">
        <f t="shared" si="685"/>
        <v>0</v>
      </c>
      <c r="AB1722" s="131">
        <f t="shared" si="686"/>
        <v>0</v>
      </c>
      <c r="AC1722" s="132">
        <f t="shared" si="687"/>
        <v>0</v>
      </c>
      <c r="AD1722" s="133">
        <f t="shared" si="688"/>
        <v>0</v>
      </c>
      <c r="AE1722" s="131">
        <f t="shared" si="689"/>
        <v>0</v>
      </c>
      <c r="AF1722" s="133">
        <f t="shared" si="690"/>
        <v>0</v>
      </c>
      <c r="AG1722" s="1"/>
    </row>
    <row r="1723" ht="21.0" customHeight="1">
      <c r="A1723" s="1"/>
      <c r="B1723" s="87" t="str">
        <f t="array" ref="B1723">"📌최근 인바디 결과 : "&amp;text(xlookup(B1715,'현황'!O:O,'현황'!O:O,,-1,-1),"m/d(ddd)")</f>
        <v>#REF!</v>
      </c>
      <c r="C1723" s="88"/>
      <c r="D1723" s="49"/>
      <c r="E1723" s="41"/>
      <c r="F1723" s="52" t="s">
        <v>40</v>
      </c>
      <c r="G1723" s="79"/>
      <c r="H1723" s="80"/>
      <c r="I1723" s="69"/>
      <c r="J1723" s="72"/>
      <c r="K1723" s="73"/>
      <c r="L1723" s="72"/>
      <c r="M1723" s="73"/>
      <c r="N1723" s="72"/>
      <c r="O1723" s="73"/>
      <c r="P1723" s="72"/>
      <c r="Q1723" s="73"/>
      <c r="R1723" s="72"/>
      <c r="S1723" s="73"/>
      <c r="T1723" s="72"/>
      <c r="U1723" s="73"/>
      <c r="V1723" s="72"/>
      <c r="W1723" s="73"/>
      <c r="X1723" s="72"/>
      <c r="Y1723" s="73"/>
      <c r="Z1723" s="74" t="b">
        <v>0</v>
      </c>
      <c r="AA1723" s="130">
        <f t="shared" si="685"/>
        <v>0</v>
      </c>
      <c r="AB1723" s="131">
        <f t="shared" si="686"/>
        <v>0</v>
      </c>
      <c r="AC1723" s="132">
        <f t="shared" si="687"/>
        <v>0</v>
      </c>
      <c r="AD1723" s="133">
        <f t="shared" si="688"/>
        <v>0</v>
      </c>
      <c r="AE1723" s="131">
        <f t="shared" si="689"/>
        <v>0</v>
      </c>
      <c r="AF1723" s="133">
        <f t="shared" si="690"/>
        <v>0</v>
      </c>
      <c r="AG1723" s="1"/>
    </row>
    <row r="1724" ht="21.0" customHeight="1">
      <c r="A1724" s="1"/>
      <c r="B1724" s="89" t="s">
        <v>44</v>
      </c>
      <c r="C1724" s="49"/>
      <c r="D1724" s="90">
        <f t="array" ref="D1724">iferror(vlookup(xlookup(B1715,'현황'!O:O,'현황'!O:O,,-1,-1),'현황'!O:S,2,false),0)</f>
        <v>0</v>
      </c>
      <c r="E1724" s="51" t="s">
        <v>45</v>
      </c>
      <c r="F1724" s="52" t="s">
        <v>34</v>
      </c>
      <c r="G1724" s="83"/>
      <c r="H1724" s="84"/>
      <c r="I1724" s="85"/>
      <c r="J1724" s="72"/>
      <c r="K1724" s="73"/>
      <c r="L1724" s="72"/>
      <c r="M1724" s="73"/>
      <c r="N1724" s="72"/>
      <c r="O1724" s="73"/>
      <c r="P1724" s="72"/>
      <c r="Q1724" s="73"/>
      <c r="R1724" s="72"/>
      <c r="S1724" s="73"/>
      <c r="T1724" s="72"/>
      <c r="U1724" s="73"/>
      <c r="V1724" s="72"/>
      <c r="W1724" s="73"/>
      <c r="X1724" s="72"/>
      <c r="Y1724" s="73"/>
      <c r="Z1724" s="74" t="b">
        <v>0</v>
      </c>
      <c r="AA1724" s="130">
        <f t="shared" si="685"/>
        <v>0</v>
      </c>
      <c r="AB1724" s="131">
        <f t="shared" si="686"/>
        <v>0</v>
      </c>
      <c r="AC1724" s="132">
        <f t="shared" si="687"/>
        <v>0</v>
      </c>
      <c r="AD1724" s="133">
        <f t="shared" si="688"/>
        <v>0</v>
      </c>
      <c r="AE1724" s="131">
        <f t="shared" si="689"/>
        <v>0</v>
      </c>
      <c r="AF1724" s="133">
        <f t="shared" si="690"/>
        <v>0</v>
      </c>
      <c r="AG1724" s="1"/>
    </row>
    <row r="1725" ht="21.0" customHeight="1">
      <c r="A1725" s="1"/>
      <c r="B1725" s="48" t="s">
        <v>46</v>
      </c>
      <c r="C1725" s="49"/>
      <c r="D1725" s="91">
        <f t="array" ref="D1725">iferror(vlookup(xlookup(B1715,'현황'!O:O,'현황'!O:O,,-1,-1),'현황'!O:S,3,false),0)</f>
        <v>0</v>
      </c>
      <c r="E1725" s="66"/>
      <c r="F1725" s="52" t="s">
        <v>37</v>
      </c>
      <c r="G1725" s="67"/>
      <c r="H1725" s="80"/>
      <c r="I1725" s="69"/>
      <c r="J1725" s="72"/>
      <c r="K1725" s="73"/>
      <c r="L1725" s="72"/>
      <c r="M1725" s="73"/>
      <c r="N1725" s="72"/>
      <c r="O1725" s="73"/>
      <c r="P1725" s="72"/>
      <c r="Q1725" s="73"/>
      <c r="R1725" s="72"/>
      <c r="S1725" s="73"/>
      <c r="T1725" s="72"/>
      <c r="U1725" s="73"/>
      <c r="V1725" s="72"/>
      <c r="W1725" s="73"/>
      <c r="X1725" s="72"/>
      <c r="Y1725" s="73"/>
      <c r="Z1725" s="74" t="b">
        <v>0</v>
      </c>
      <c r="AA1725" s="130">
        <f t="shared" si="685"/>
        <v>0</v>
      </c>
      <c r="AB1725" s="131">
        <f t="shared" si="686"/>
        <v>0</v>
      </c>
      <c r="AC1725" s="132">
        <f t="shared" si="687"/>
        <v>0</v>
      </c>
      <c r="AD1725" s="133">
        <f t="shared" si="688"/>
        <v>0</v>
      </c>
      <c r="AE1725" s="131">
        <f t="shared" si="689"/>
        <v>0</v>
      </c>
      <c r="AF1725" s="133">
        <f t="shared" si="690"/>
        <v>0</v>
      </c>
      <c r="AG1725" s="1"/>
    </row>
    <row r="1726" ht="21.0" customHeight="1">
      <c r="A1726" s="1"/>
      <c r="B1726" s="48" t="s">
        <v>47</v>
      </c>
      <c r="C1726" s="49"/>
      <c r="D1726" s="91">
        <f t="array" ref="D1726">iferror(vlookup(xlookup(B1715,'현황'!O:O,'현황'!O:O,,-1,-1),'현황'!O:S,4,false),0)</f>
        <v>0</v>
      </c>
      <c r="E1726" s="41"/>
      <c r="F1726" s="92" t="s">
        <v>40</v>
      </c>
      <c r="G1726" s="79"/>
      <c r="H1726" s="93"/>
      <c r="I1726" s="94"/>
      <c r="J1726" s="95"/>
      <c r="K1726" s="96"/>
      <c r="L1726" s="95"/>
      <c r="M1726" s="96"/>
      <c r="N1726" s="95"/>
      <c r="O1726" s="96"/>
      <c r="P1726" s="95"/>
      <c r="Q1726" s="96"/>
      <c r="R1726" s="95"/>
      <c r="S1726" s="96"/>
      <c r="T1726" s="95"/>
      <c r="U1726" s="96"/>
      <c r="V1726" s="95"/>
      <c r="W1726" s="96"/>
      <c r="X1726" s="95"/>
      <c r="Y1726" s="96"/>
      <c r="Z1726" s="97" t="b">
        <v>0</v>
      </c>
      <c r="AA1726" s="135">
        <f t="shared" si="685"/>
        <v>0</v>
      </c>
      <c r="AB1726" s="136">
        <f t="shared" si="686"/>
        <v>0</v>
      </c>
      <c r="AC1726" s="137">
        <f t="shared" si="687"/>
        <v>0</v>
      </c>
      <c r="AD1726" s="138">
        <f t="shared" si="688"/>
        <v>0</v>
      </c>
      <c r="AE1726" s="136">
        <f t="shared" si="689"/>
        <v>0</v>
      </c>
      <c r="AF1726" s="138">
        <f t="shared" si="690"/>
        <v>0</v>
      </c>
      <c r="AG1726" s="1"/>
    </row>
    <row r="1727" ht="21.0" customHeight="1">
      <c r="A1727" s="1"/>
      <c r="B1727" s="102" t="s">
        <v>48</v>
      </c>
      <c r="C1727" s="103"/>
      <c r="D1727" s="104">
        <f>iferror(D1726/D1724,0)</f>
        <v>0</v>
      </c>
      <c r="E1727" s="102" t="s">
        <v>49</v>
      </c>
      <c r="F1727" s="103"/>
      <c r="G1727" s="105"/>
      <c r="H1727" s="106" t="s">
        <v>50</v>
      </c>
      <c r="I1727" s="107"/>
      <c r="J1727" s="11"/>
      <c r="K1727" s="11"/>
      <c r="L1727" s="11"/>
      <c r="M1727" s="11"/>
      <c r="N1727" s="11"/>
      <c r="O1727" s="11"/>
      <c r="P1727" s="108" t="s">
        <v>51</v>
      </c>
      <c r="Q1727" s="12"/>
      <c r="R1727" s="109"/>
      <c r="S1727" s="11"/>
      <c r="T1727" s="11"/>
      <c r="U1727" s="11"/>
      <c r="V1727" s="11"/>
      <c r="W1727" s="11"/>
      <c r="X1727" s="11"/>
      <c r="Y1727" s="11"/>
      <c r="Z1727" s="12"/>
      <c r="AA1727" s="139">
        <f>SUM(AA1718:AA1726)</f>
        <v>0</v>
      </c>
      <c r="AB1727" s="140" t="s">
        <v>327</v>
      </c>
      <c r="AG1727" s="1"/>
    </row>
    <row r="1728" ht="21.0" customHeight="1">
      <c r="A1728" s="1"/>
      <c r="B1728" s="1"/>
      <c r="C1728" s="1"/>
      <c r="D1728" s="1"/>
      <c r="E1728" s="1"/>
      <c r="F1728" s="1"/>
      <c r="G1728" s="1"/>
      <c r="H1728" s="1"/>
      <c r="I1728" s="1"/>
      <c r="AA1728" s="1"/>
      <c r="AB1728" s="1"/>
      <c r="AC1728" s="3"/>
      <c r="AD1728" s="1"/>
      <c r="AE1728" s="1"/>
      <c r="AF1728" s="1"/>
      <c r="AG1728" s="1"/>
    </row>
    <row r="1729" ht="21.0" customHeight="1">
      <c r="A1729" s="1"/>
      <c r="B1729" s="4" t="s">
        <v>1</v>
      </c>
      <c r="C1729" s="5"/>
      <c r="D1729" s="6" t="s">
        <v>2</v>
      </c>
      <c r="E1729" s="7"/>
      <c r="F1729" s="7"/>
      <c r="G1729" s="5"/>
      <c r="H1729" s="8" t="s">
        <v>3</v>
      </c>
      <c r="I1729" s="8" t="s">
        <v>4</v>
      </c>
      <c r="J1729" s="9" t="s">
        <v>5</v>
      </c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5"/>
      <c r="AA1729" s="117" t="s">
        <v>6</v>
      </c>
      <c r="AB1729" s="11"/>
      <c r="AC1729" s="11"/>
      <c r="AD1729" s="11"/>
      <c r="AE1729" s="11"/>
      <c r="AF1729" s="12"/>
      <c r="AG1729" s="1"/>
    </row>
    <row r="1730" ht="21.0" customHeight="1">
      <c r="A1730" s="1"/>
      <c r="B1730" s="149" t="s">
        <v>138</v>
      </c>
      <c r="C1730" s="14" t="str">
        <f>if(B1730="0/0","",choose(weekday(B1730),"(일)","(월)","(화)","(수)","(목)","(금)","(토)"))</f>
        <v/>
      </c>
      <c r="D1730" s="15" t="s">
        <v>7</v>
      </c>
      <c r="E1730" s="16" t="s">
        <v>8</v>
      </c>
      <c r="F1730" s="17"/>
      <c r="G1730" s="18" t="s">
        <v>9</v>
      </c>
      <c r="H1730" s="150" t="s">
        <v>139</v>
      </c>
      <c r="I1730" s="151"/>
      <c r="J1730" s="21" t="s">
        <v>12</v>
      </c>
      <c r="K1730" s="22"/>
      <c r="L1730" s="21" t="s">
        <v>13</v>
      </c>
      <c r="M1730" s="22"/>
      <c r="N1730" s="21" t="s">
        <v>14</v>
      </c>
      <c r="O1730" s="22"/>
      <c r="P1730" s="21" t="s">
        <v>15</v>
      </c>
      <c r="Q1730" s="22"/>
      <c r="R1730" s="23" t="s">
        <v>16</v>
      </c>
      <c r="S1730" s="22"/>
      <c r="T1730" s="23" t="s">
        <v>17</v>
      </c>
      <c r="U1730" s="22"/>
      <c r="V1730" s="23" t="s">
        <v>18</v>
      </c>
      <c r="W1730" s="22"/>
      <c r="X1730" s="23" t="s">
        <v>19</v>
      </c>
      <c r="Y1730" s="22"/>
      <c r="Z1730" s="24" t="s">
        <v>328</v>
      </c>
      <c r="AA1730" s="118" t="s">
        <v>21</v>
      </c>
      <c r="AB1730" s="119" t="s">
        <v>22</v>
      </c>
      <c r="AC1730" s="7"/>
      <c r="AD1730" s="22"/>
      <c r="AE1730" s="120" t="s">
        <v>23</v>
      </c>
      <c r="AF1730" s="22"/>
      <c r="AG1730" s="1"/>
    </row>
    <row r="1731" ht="21.0" customHeight="1">
      <c r="A1731" s="1"/>
      <c r="B1731" s="27">
        <f>iferror(B1730-'현황'!$C$4+1,0)</f>
        <v>0</v>
      </c>
      <c r="C1731" s="28"/>
      <c r="D1731" s="29">
        <v>0.0</v>
      </c>
      <c r="E1731" s="30">
        <v>0.0</v>
      </c>
      <c r="F1731" s="31"/>
      <c r="G1731" s="32">
        <v>0.0</v>
      </c>
      <c r="H1731" s="33">
        <v>0.0</v>
      </c>
      <c r="I1731" s="34"/>
      <c r="J1731" s="35"/>
      <c r="K1731" s="36"/>
      <c r="L1731" s="35"/>
      <c r="M1731" s="36"/>
      <c r="N1731" s="35"/>
      <c r="O1731" s="36"/>
      <c r="P1731" s="35"/>
      <c r="Q1731" s="36"/>
      <c r="R1731" s="35"/>
      <c r="S1731" s="36"/>
      <c r="T1731" s="35"/>
      <c r="U1731" s="36"/>
      <c r="V1731" s="35"/>
      <c r="W1731" s="36"/>
      <c r="X1731" s="35"/>
      <c r="Y1731" s="36"/>
      <c r="Z1731" s="37"/>
      <c r="AA1731" s="37"/>
      <c r="AB1731" s="35"/>
      <c r="AC1731" s="38"/>
      <c r="AD1731" s="36"/>
      <c r="AE1731" s="35"/>
      <c r="AF1731" s="36"/>
      <c r="AG1731" s="1"/>
    </row>
    <row r="1732" ht="21.0" customHeight="1">
      <c r="A1732" s="1"/>
      <c r="B1732" s="39" t="s">
        <v>24</v>
      </c>
      <c r="C1732" s="40"/>
      <c r="D1732" s="41"/>
      <c r="E1732" s="42" t="s">
        <v>25</v>
      </c>
      <c r="F1732" s="40"/>
      <c r="G1732" s="41"/>
      <c r="H1732" s="43" t="s">
        <v>26</v>
      </c>
      <c r="J1732" s="44" t="s">
        <v>27</v>
      </c>
      <c r="K1732" s="45" t="s">
        <v>28</v>
      </c>
      <c r="L1732" s="44" t="s">
        <v>27</v>
      </c>
      <c r="M1732" s="45" t="s">
        <v>28</v>
      </c>
      <c r="N1732" s="44" t="s">
        <v>27</v>
      </c>
      <c r="O1732" s="45" t="s">
        <v>28</v>
      </c>
      <c r="P1732" s="44" t="s">
        <v>27</v>
      </c>
      <c r="Q1732" s="45" t="s">
        <v>28</v>
      </c>
      <c r="R1732" s="44" t="s">
        <v>27</v>
      </c>
      <c r="S1732" s="45" t="s">
        <v>28</v>
      </c>
      <c r="T1732" s="44" t="s">
        <v>27</v>
      </c>
      <c r="U1732" s="45" t="s">
        <v>28</v>
      </c>
      <c r="V1732" s="44" t="s">
        <v>27</v>
      </c>
      <c r="W1732" s="45" t="s">
        <v>28</v>
      </c>
      <c r="X1732" s="44" t="s">
        <v>27</v>
      </c>
      <c r="Y1732" s="45" t="s">
        <v>28</v>
      </c>
      <c r="Z1732" s="46"/>
      <c r="AA1732" s="46"/>
      <c r="AB1732" s="121" t="s">
        <v>29</v>
      </c>
      <c r="AC1732" s="122" t="s">
        <v>30</v>
      </c>
      <c r="AD1732" s="123" t="s">
        <v>31</v>
      </c>
      <c r="AE1732" s="121" t="s">
        <v>27</v>
      </c>
      <c r="AF1732" s="123" t="s">
        <v>28</v>
      </c>
      <c r="AG1732" s="1"/>
    </row>
    <row r="1733" ht="21.0" customHeight="1">
      <c r="A1733" s="1"/>
      <c r="B1733" s="48" t="s">
        <v>32</v>
      </c>
      <c r="C1733" s="49"/>
      <c r="D1733" s="50"/>
      <c r="E1733" s="51" t="s">
        <v>33</v>
      </c>
      <c r="F1733" s="52" t="s">
        <v>34</v>
      </c>
      <c r="G1733" s="53"/>
      <c r="H1733" s="148"/>
      <c r="I1733" s="55"/>
      <c r="J1733" s="58"/>
      <c r="K1733" s="59"/>
      <c r="L1733" s="58"/>
      <c r="M1733" s="59"/>
      <c r="N1733" s="58"/>
      <c r="O1733" s="59"/>
      <c r="P1733" s="58"/>
      <c r="Q1733" s="59"/>
      <c r="R1733" s="58"/>
      <c r="S1733" s="59"/>
      <c r="T1733" s="58"/>
      <c r="U1733" s="59"/>
      <c r="V1733" s="58"/>
      <c r="W1733" s="59"/>
      <c r="X1733" s="58"/>
      <c r="Y1733" s="59"/>
      <c r="Z1733" s="60" t="b">
        <v>0</v>
      </c>
      <c r="AA1733" s="125">
        <f t="shared" ref="AA1733:AA1741" si="691">(J1733*K1733+L1733*M1733+N1733*O1733+P1733*Q1733+R1733*S1733+T1733*U1733+V1733*W1733+X1733*Y1733)*if(Z1733=true,0.453592,1)</f>
        <v>0</v>
      </c>
      <c r="AB1733" s="126">
        <f t="shared" ref="AB1733:AB1741" si="692">SUM(AE1733*AF1733*0.025,AE1733)</f>
        <v>0</v>
      </c>
      <c r="AC1733" s="127">
        <f t="shared" ref="AC1733:AC1741" si="693">AB1733*87%</f>
        <v>0</v>
      </c>
      <c r="AD1733" s="128">
        <f t="shared" ref="AD1733:AD1741" si="694">AB1733*67%</f>
        <v>0</v>
      </c>
      <c r="AE1733" s="126">
        <f t="shared" ref="AE1733:AE1741" si="695">MAX(J1733,L1733,N1733,P1733,R1733,T1733,V1733,X1733)*if(Z1733=true,0.453592,1)</f>
        <v>0</v>
      </c>
      <c r="AF1733" s="128">
        <f t="shared" ref="AF1733:AF1741" si="696">MAX(IF(J1733*if(Z1733=true,0.453592,1)=$AE1733,K1733,0),IF(L1733*if(Z1733=true,0.453592,1)=$AE1733,M1733,0),IF(N1733*if(Z1733=true,0.453592,1)=$AE1733,O1733,0),IF(P1733*if(Z1733=true,0.453592,1)=$AE1733,Q1733,0),IF(R1733*if(Z1733=true,0.453592,1)=$AE1733,S1733,0),IF(T1733*if(Z1733=true,0.453592,1)=$AE1733,U1733,0),IF(V1733*if(Z1733=true,0.453592,1)=$AE1733,W1733,0),IF(X1733*if(Z1733=true,0.453592,1)=$AE1733,Y1733,0))</f>
        <v>0</v>
      </c>
      <c r="AG1733" s="1"/>
    </row>
    <row r="1734" ht="21.0" customHeight="1">
      <c r="A1734" s="1"/>
      <c r="B1734" s="48" t="s">
        <v>36</v>
      </c>
      <c r="C1734" s="49"/>
      <c r="D1734" s="65"/>
      <c r="E1734" s="66"/>
      <c r="F1734" s="52" t="s">
        <v>37</v>
      </c>
      <c r="G1734" s="67"/>
      <c r="H1734" s="129"/>
      <c r="I1734" s="69"/>
      <c r="J1734" s="72"/>
      <c r="K1734" s="73"/>
      <c r="L1734" s="72"/>
      <c r="M1734" s="73"/>
      <c r="N1734" s="72"/>
      <c r="O1734" s="73"/>
      <c r="P1734" s="72"/>
      <c r="Q1734" s="73"/>
      <c r="R1734" s="72"/>
      <c r="S1734" s="73"/>
      <c r="T1734" s="72"/>
      <c r="U1734" s="73"/>
      <c r="V1734" s="72"/>
      <c r="W1734" s="73"/>
      <c r="X1734" s="72"/>
      <c r="Y1734" s="73"/>
      <c r="Z1734" s="74" t="b">
        <v>0</v>
      </c>
      <c r="AA1734" s="130">
        <f t="shared" si="691"/>
        <v>0</v>
      </c>
      <c r="AB1734" s="131">
        <f t="shared" si="692"/>
        <v>0</v>
      </c>
      <c r="AC1734" s="132">
        <f t="shared" si="693"/>
        <v>0</v>
      </c>
      <c r="AD1734" s="133">
        <f t="shared" si="694"/>
        <v>0</v>
      </c>
      <c r="AE1734" s="131">
        <f t="shared" si="695"/>
        <v>0</v>
      </c>
      <c r="AF1734" s="133">
        <f t="shared" si="696"/>
        <v>0</v>
      </c>
      <c r="AG1734" s="1"/>
    </row>
    <row r="1735" ht="21.0" customHeight="1">
      <c r="A1735" s="1"/>
      <c r="B1735" s="48" t="s">
        <v>39</v>
      </c>
      <c r="C1735" s="49"/>
      <c r="D1735" s="65"/>
      <c r="E1735" s="41"/>
      <c r="F1735" s="52" t="s">
        <v>40</v>
      </c>
      <c r="G1735" s="79"/>
      <c r="H1735" s="80"/>
      <c r="I1735" s="69"/>
      <c r="J1735" s="72"/>
      <c r="K1735" s="73"/>
      <c r="L1735" s="72"/>
      <c r="M1735" s="73"/>
      <c r="N1735" s="72"/>
      <c r="O1735" s="73"/>
      <c r="P1735" s="72"/>
      <c r="Q1735" s="73"/>
      <c r="R1735" s="72"/>
      <c r="S1735" s="73"/>
      <c r="T1735" s="72"/>
      <c r="U1735" s="73"/>
      <c r="V1735" s="72"/>
      <c r="W1735" s="73"/>
      <c r="X1735" s="72"/>
      <c r="Y1735" s="73"/>
      <c r="Z1735" s="74" t="b">
        <v>0</v>
      </c>
      <c r="AA1735" s="130">
        <f t="shared" si="691"/>
        <v>0</v>
      </c>
      <c r="AB1735" s="131">
        <f t="shared" si="692"/>
        <v>0</v>
      </c>
      <c r="AC1735" s="132">
        <f t="shared" si="693"/>
        <v>0</v>
      </c>
      <c r="AD1735" s="133">
        <f t="shared" si="694"/>
        <v>0</v>
      </c>
      <c r="AE1735" s="131">
        <f t="shared" si="695"/>
        <v>0</v>
      </c>
      <c r="AF1735" s="133">
        <f t="shared" si="696"/>
        <v>0</v>
      </c>
      <c r="AG1735" s="1"/>
    </row>
    <row r="1736" ht="21.0" customHeight="1">
      <c r="A1736" s="1"/>
      <c r="B1736" s="48" t="s">
        <v>41</v>
      </c>
      <c r="C1736" s="81"/>
      <c r="D1736" s="82" t="b">
        <v>0</v>
      </c>
      <c r="E1736" s="51" t="s">
        <v>42</v>
      </c>
      <c r="F1736" s="52" t="s">
        <v>34</v>
      </c>
      <c r="G1736" s="83"/>
      <c r="H1736" s="84"/>
      <c r="I1736" s="85"/>
      <c r="J1736" s="72"/>
      <c r="K1736" s="73"/>
      <c r="L1736" s="72"/>
      <c r="M1736" s="73"/>
      <c r="N1736" s="72"/>
      <c r="O1736" s="73"/>
      <c r="P1736" s="72"/>
      <c r="Q1736" s="73"/>
      <c r="R1736" s="72"/>
      <c r="S1736" s="73"/>
      <c r="T1736" s="72"/>
      <c r="U1736" s="73"/>
      <c r="V1736" s="72"/>
      <c r="W1736" s="73"/>
      <c r="X1736" s="72"/>
      <c r="Y1736" s="73"/>
      <c r="Z1736" s="74" t="b">
        <v>0</v>
      </c>
      <c r="AA1736" s="130">
        <f t="shared" si="691"/>
        <v>0</v>
      </c>
      <c r="AB1736" s="131">
        <f t="shared" si="692"/>
        <v>0</v>
      </c>
      <c r="AC1736" s="132">
        <f t="shared" si="693"/>
        <v>0</v>
      </c>
      <c r="AD1736" s="133">
        <f t="shared" si="694"/>
        <v>0</v>
      </c>
      <c r="AE1736" s="131">
        <f t="shared" si="695"/>
        <v>0</v>
      </c>
      <c r="AF1736" s="133">
        <f t="shared" si="696"/>
        <v>0</v>
      </c>
      <c r="AG1736" s="1"/>
    </row>
    <row r="1737" ht="21.0" customHeight="1">
      <c r="A1737" s="1"/>
      <c r="B1737" s="48" t="s">
        <v>43</v>
      </c>
      <c r="C1737" s="49"/>
      <c r="D1737" s="86" t="b">
        <v>0</v>
      </c>
      <c r="E1737" s="66"/>
      <c r="F1737" s="52" t="s">
        <v>37</v>
      </c>
      <c r="G1737" s="67"/>
      <c r="H1737" s="80"/>
      <c r="I1737" s="69"/>
      <c r="J1737" s="72"/>
      <c r="K1737" s="73"/>
      <c r="L1737" s="72"/>
      <c r="M1737" s="73"/>
      <c r="N1737" s="72"/>
      <c r="O1737" s="73"/>
      <c r="P1737" s="72"/>
      <c r="Q1737" s="73"/>
      <c r="R1737" s="72"/>
      <c r="S1737" s="73"/>
      <c r="T1737" s="72"/>
      <c r="U1737" s="73"/>
      <c r="V1737" s="72"/>
      <c r="W1737" s="73"/>
      <c r="X1737" s="72"/>
      <c r="Y1737" s="73"/>
      <c r="Z1737" s="74" t="b">
        <v>0</v>
      </c>
      <c r="AA1737" s="130">
        <f t="shared" si="691"/>
        <v>0</v>
      </c>
      <c r="AB1737" s="131">
        <f t="shared" si="692"/>
        <v>0</v>
      </c>
      <c r="AC1737" s="132">
        <f t="shared" si="693"/>
        <v>0</v>
      </c>
      <c r="AD1737" s="133">
        <f t="shared" si="694"/>
        <v>0</v>
      </c>
      <c r="AE1737" s="131">
        <f t="shared" si="695"/>
        <v>0</v>
      </c>
      <c r="AF1737" s="133">
        <f t="shared" si="696"/>
        <v>0</v>
      </c>
      <c r="AG1737" s="1"/>
    </row>
    <row r="1738" ht="21.0" customHeight="1">
      <c r="A1738" s="1"/>
      <c r="B1738" s="87" t="str">
        <f t="array" ref="B1738">"📌최근 인바디 결과 : "&amp;text(xlookup(B1730,'현황'!O:O,'현황'!O:O,,-1,-1),"m/d(ddd)")</f>
        <v>#REF!</v>
      </c>
      <c r="C1738" s="88"/>
      <c r="D1738" s="49"/>
      <c r="E1738" s="41"/>
      <c r="F1738" s="52" t="s">
        <v>40</v>
      </c>
      <c r="G1738" s="79"/>
      <c r="H1738" s="80"/>
      <c r="I1738" s="69"/>
      <c r="J1738" s="72"/>
      <c r="K1738" s="73"/>
      <c r="L1738" s="72"/>
      <c r="M1738" s="73"/>
      <c r="N1738" s="72"/>
      <c r="O1738" s="73"/>
      <c r="P1738" s="72"/>
      <c r="Q1738" s="73"/>
      <c r="R1738" s="72"/>
      <c r="S1738" s="73"/>
      <c r="T1738" s="72"/>
      <c r="U1738" s="73"/>
      <c r="V1738" s="72"/>
      <c r="W1738" s="73"/>
      <c r="X1738" s="72"/>
      <c r="Y1738" s="73"/>
      <c r="Z1738" s="74" t="b">
        <v>0</v>
      </c>
      <c r="AA1738" s="130">
        <f t="shared" si="691"/>
        <v>0</v>
      </c>
      <c r="AB1738" s="131">
        <f t="shared" si="692"/>
        <v>0</v>
      </c>
      <c r="AC1738" s="132">
        <f t="shared" si="693"/>
        <v>0</v>
      </c>
      <c r="AD1738" s="133">
        <f t="shared" si="694"/>
        <v>0</v>
      </c>
      <c r="AE1738" s="131">
        <f t="shared" si="695"/>
        <v>0</v>
      </c>
      <c r="AF1738" s="133">
        <f t="shared" si="696"/>
        <v>0</v>
      </c>
      <c r="AG1738" s="1"/>
    </row>
    <row r="1739" ht="21.0" customHeight="1">
      <c r="A1739" s="1"/>
      <c r="B1739" s="89" t="s">
        <v>44</v>
      </c>
      <c r="C1739" s="49"/>
      <c r="D1739" s="90">
        <f t="array" ref="D1739">iferror(vlookup(xlookup(B1730,'현황'!O:O,'현황'!O:O,,-1,-1),'현황'!O:S,2,false),0)</f>
        <v>0</v>
      </c>
      <c r="E1739" s="51" t="s">
        <v>45</v>
      </c>
      <c r="F1739" s="52" t="s">
        <v>34</v>
      </c>
      <c r="G1739" s="83"/>
      <c r="H1739" s="84"/>
      <c r="I1739" s="85"/>
      <c r="J1739" s="72"/>
      <c r="K1739" s="73"/>
      <c r="L1739" s="72"/>
      <c r="M1739" s="73"/>
      <c r="N1739" s="72"/>
      <c r="O1739" s="73"/>
      <c r="P1739" s="72"/>
      <c r="Q1739" s="73"/>
      <c r="R1739" s="72"/>
      <c r="S1739" s="73"/>
      <c r="T1739" s="72"/>
      <c r="U1739" s="73"/>
      <c r="V1739" s="72"/>
      <c r="W1739" s="73"/>
      <c r="X1739" s="72"/>
      <c r="Y1739" s="73"/>
      <c r="Z1739" s="74" t="b">
        <v>0</v>
      </c>
      <c r="AA1739" s="130">
        <f t="shared" si="691"/>
        <v>0</v>
      </c>
      <c r="AB1739" s="131">
        <f t="shared" si="692"/>
        <v>0</v>
      </c>
      <c r="AC1739" s="132">
        <f t="shared" si="693"/>
        <v>0</v>
      </c>
      <c r="AD1739" s="133">
        <f t="shared" si="694"/>
        <v>0</v>
      </c>
      <c r="AE1739" s="131">
        <f t="shared" si="695"/>
        <v>0</v>
      </c>
      <c r="AF1739" s="133">
        <f t="shared" si="696"/>
        <v>0</v>
      </c>
      <c r="AG1739" s="1"/>
    </row>
    <row r="1740" ht="21.0" customHeight="1">
      <c r="A1740" s="1"/>
      <c r="B1740" s="48" t="s">
        <v>46</v>
      </c>
      <c r="C1740" s="49"/>
      <c r="D1740" s="91">
        <f t="array" ref="D1740">iferror(vlookup(xlookup(B1730,'현황'!O:O,'현황'!O:O,,-1,-1),'현황'!O:S,3,false),0)</f>
        <v>0</v>
      </c>
      <c r="E1740" s="66"/>
      <c r="F1740" s="52" t="s">
        <v>37</v>
      </c>
      <c r="G1740" s="67"/>
      <c r="H1740" s="80"/>
      <c r="I1740" s="69"/>
      <c r="J1740" s="72"/>
      <c r="K1740" s="73"/>
      <c r="L1740" s="72"/>
      <c r="M1740" s="73"/>
      <c r="N1740" s="72"/>
      <c r="O1740" s="73"/>
      <c r="P1740" s="72"/>
      <c r="Q1740" s="73"/>
      <c r="R1740" s="72"/>
      <c r="S1740" s="73"/>
      <c r="T1740" s="72"/>
      <c r="U1740" s="73"/>
      <c r="V1740" s="72"/>
      <c r="W1740" s="73"/>
      <c r="X1740" s="72"/>
      <c r="Y1740" s="73"/>
      <c r="Z1740" s="74" t="b">
        <v>0</v>
      </c>
      <c r="AA1740" s="130">
        <f t="shared" si="691"/>
        <v>0</v>
      </c>
      <c r="AB1740" s="131">
        <f t="shared" si="692"/>
        <v>0</v>
      </c>
      <c r="AC1740" s="132">
        <f t="shared" si="693"/>
        <v>0</v>
      </c>
      <c r="AD1740" s="133">
        <f t="shared" si="694"/>
        <v>0</v>
      </c>
      <c r="AE1740" s="131">
        <f t="shared" si="695"/>
        <v>0</v>
      </c>
      <c r="AF1740" s="133">
        <f t="shared" si="696"/>
        <v>0</v>
      </c>
      <c r="AG1740" s="1"/>
    </row>
    <row r="1741" ht="21.0" customHeight="1">
      <c r="A1741" s="1"/>
      <c r="B1741" s="48" t="s">
        <v>47</v>
      </c>
      <c r="C1741" s="49"/>
      <c r="D1741" s="91">
        <f t="array" ref="D1741">iferror(vlookup(xlookup(B1730,'현황'!O:O,'현황'!O:O,,-1,-1),'현황'!O:S,4,false),0)</f>
        <v>0</v>
      </c>
      <c r="E1741" s="41"/>
      <c r="F1741" s="92" t="s">
        <v>40</v>
      </c>
      <c r="G1741" s="79"/>
      <c r="H1741" s="93"/>
      <c r="I1741" s="94"/>
      <c r="J1741" s="95"/>
      <c r="K1741" s="96"/>
      <c r="L1741" s="95"/>
      <c r="M1741" s="96"/>
      <c r="N1741" s="95"/>
      <c r="O1741" s="96"/>
      <c r="P1741" s="95"/>
      <c r="Q1741" s="96"/>
      <c r="R1741" s="95"/>
      <c r="S1741" s="96"/>
      <c r="T1741" s="95"/>
      <c r="U1741" s="96"/>
      <c r="V1741" s="95"/>
      <c r="W1741" s="96"/>
      <c r="X1741" s="95"/>
      <c r="Y1741" s="96"/>
      <c r="Z1741" s="97" t="b">
        <v>0</v>
      </c>
      <c r="AA1741" s="135">
        <f t="shared" si="691"/>
        <v>0</v>
      </c>
      <c r="AB1741" s="136">
        <f t="shared" si="692"/>
        <v>0</v>
      </c>
      <c r="AC1741" s="137">
        <f t="shared" si="693"/>
        <v>0</v>
      </c>
      <c r="AD1741" s="138">
        <f t="shared" si="694"/>
        <v>0</v>
      </c>
      <c r="AE1741" s="136">
        <f t="shared" si="695"/>
        <v>0</v>
      </c>
      <c r="AF1741" s="138">
        <f t="shared" si="696"/>
        <v>0</v>
      </c>
      <c r="AG1741" s="1"/>
    </row>
    <row r="1742" ht="21.0" customHeight="1">
      <c r="A1742" s="1"/>
      <c r="B1742" s="102" t="s">
        <v>48</v>
      </c>
      <c r="C1742" s="103"/>
      <c r="D1742" s="104">
        <f>iferror(D1741/D1739,0)</f>
        <v>0</v>
      </c>
      <c r="E1742" s="102" t="s">
        <v>49</v>
      </c>
      <c r="F1742" s="103"/>
      <c r="G1742" s="105"/>
      <c r="H1742" s="143" t="s">
        <v>50</v>
      </c>
      <c r="I1742" s="144"/>
      <c r="J1742" s="11"/>
      <c r="K1742" s="11"/>
      <c r="L1742" s="11"/>
      <c r="M1742" s="11"/>
      <c r="N1742" s="11"/>
      <c r="O1742" s="11"/>
      <c r="P1742" s="145" t="s">
        <v>51</v>
      </c>
      <c r="Q1742" s="12"/>
      <c r="R1742" s="146"/>
      <c r="S1742" s="11"/>
      <c r="T1742" s="11"/>
      <c r="U1742" s="11"/>
      <c r="V1742" s="11"/>
      <c r="W1742" s="11"/>
      <c r="X1742" s="11"/>
      <c r="Y1742" s="11"/>
      <c r="Z1742" s="12"/>
      <c r="AA1742" s="139">
        <f>SUM(AA1733:AA1741)</f>
        <v>0</v>
      </c>
      <c r="AB1742" s="140" t="s">
        <v>329</v>
      </c>
      <c r="AG1742" s="1"/>
    </row>
    <row r="1743" ht="21.0" customHeight="1">
      <c r="A1743" s="1"/>
      <c r="B1743" s="1"/>
      <c r="C1743" s="1"/>
      <c r="D1743" s="1"/>
      <c r="E1743" s="1"/>
      <c r="F1743" s="1"/>
      <c r="G1743" s="1"/>
      <c r="H1743" s="1"/>
      <c r="I1743" s="1"/>
      <c r="AA1743" s="1"/>
      <c r="AB1743" s="1"/>
      <c r="AC1743" s="3"/>
      <c r="AD1743" s="1"/>
      <c r="AE1743" s="1"/>
      <c r="AF1743" s="1"/>
      <c r="AG1743" s="1"/>
    </row>
    <row r="1744" ht="21.0" customHeight="1">
      <c r="A1744" s="1"/>
      <c r="B1744" s="4" t="s">
        <v>1</v>
      </c>
      <c r="C1744" s="5"/>
      <c r="D1744" s="6" t="s">
        <v>2</v>
      </c>
      <c r="E1744" s="7"/>
      <c r="F1744" s="7"/>
      <c r="G1744" s="5"/>
      <c r="H1744" s="8" t="s">
        <v>3</v>
      </c>
      <c r="I1744" s="8" t="s">
        <v>4</v>
      </c>
      <c r="J1744" s="9" t="s">
        <v>5</v>
      </c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5"/>
      <c r="AA1744" s="117" t="s">
        <v>6</v>
      </c>
      <c r="AB1744" s="11"/>
      <c r="AC1744" s="11"/>
      <c r="AD1744" s="11"/>
      <c r="AE1744" s="11"/>
      <c r="AF1744" s="12"/>
      <c r="AG1744" s="1"/>
    </row>
    <row r="1745" ht="21.0" customHeight="1">
      <c r="A1745" s="1"/>
      <c r="B1745" s="149" t="s">
        <v>138</v>
      </c>
      <c r="C1745" s="14" t="str">
        <f>if(B1745="0/0","",choose(weekday(B1745),"(일)","(월)","(화)","(수)","(목)","(금)","(토)"))</f>
        <v/>
      </c>
      <c r="D1745" s="15" t="s">
        <v>7</v>
      </c>
      <c r="E1745" s="16" t="s">
        <v>8</v>
      </c>
      <c r="F1745" s="17"/>
      <c r="G1745" s="18" t="s">
        <v>9</v>
      </c>
      <c r="H1745" s="150" t="s">
        <v>139</v>
      </c>
      <c r="I1745" s="151"/>
      <c r="J1745" s="21" t="s">
        <v>12</v>
      </c>
      <c r="K1745" s="22"/>
      <c r="L1745" s="21" t="s">
        <v>13</v>
      </c>
      <c r="M1745" s="22"/>
      <c r="N1745" s="21" t="s">
        <v>14</v>
      </c>
      <c r="O1745" s="22"/>
      <c r="P1745" s="21" t="s">
        <v>15</v>
      </c>
      <c r="Q1745" s="22"/>
      <c r="R1745" s="23" t="s">
        <v>16</v>
      </c>
      <c r="S1745" s="22"/>
      <c r="T1745" s="23" t="s">
        <v>17</v>
      </c>
      <c r="U1745" s="22"/>
      <c r="V1745" s="23" t="s">
        <v>18</v>
      </c>
      <c r="W1745" s="22"/>
      <c r="X1745" s="23" t="s">
        <v>19</v>
      </c>
      <c r="Y1745" s="22"/>
      <c r="Z1745" s="24" t="s">
        <v>330</v>
      </c>
      <c r="AA1745" s="118" t="s">
        <v>21</v>
      </c>
      <c r="AB1745" s="119" t="s">
        <v>22</v>
      </c>
      <c r="AC1745" s="7"/>
      <c r="AD1745" s="22"/>
      <c r="AE1745" s="120" t="s">
        <v>23</v>
      </c>
      <c r="AF1745" s="22"/>
      <c r="AG1745" s="1"/>
    </row>
    <row r="1746" ht="21.0" customHeight="1">
      <c r="A1746" s="1"/>
      <c r="B1746" s="27">
        <f>iferror(B1745-'현황'!$C$4+1,0)</f>
        <v>0</v>
      </c>
      <c r="C1746" s="28"/>
      <c r="D1746" s="29">
        <v>0.0</v>
      </c>
      <c r="E1746" s="30">
        <v>0.0</v>
      </c>
      <c r="F1746" s="31"/>
      <c r="G1746" s="32">
        <v>0.0</v>
      </c>
      <c r="H1746" s="33">
        <v>0.0</v>
      </c>
      <c r="I1746" s="34"/>
      <c r="J1746" s="35"/>
      <c r="K1746" s="36"/>
      <c r="L1746" s="35"/>
      <c r="M1746" s="36"/>
      <c r="N1746" s="35"/>
      <c r="O1746" s="36"/>
      <c r="P1746" s="35"/>
      <c r="Q1746" s="36"/>
      <c r="R1746" s="35"/>
      <c r="S1746" s="36"/>
      <c r="T1746" s="35"/>
      <c r="U1746" s="36"/>
      <c r="V1746" s="35"/>
      <c r="W1746" s="36"/>
      <c r="X1746" s="35"/>
      <c r="Y1746" s="36"/>
      <c r="Z1746" s="37"/>
      <c r="AA1746" s="37"/>
      <c r="AB1746" s="35"/>
      <c r="AC1746" s="38"/>
      <c r="AD1746" s="36"/>
      <c r="AE1746" s="35"/>
      <c r="AF1746" s="36"/>
      <c r="AG1746" s="1"/>
    </row>
    <row r="1747" ht="21.0" customHeight="1">
      <c r="A1747" s="1"/>
      <c r="B1747" s="39" t="s">
        <v>24</v>
      </c>
      <c r="C1747" s="40"/>
      <c r="D1747" s="41"/>
      <c r="E1747" s="42" t="s">
        <v>25</v>
      </c>
      <c r="F1747" s="40"/>
      <c r="G1747" s="41"/>
      <c r="H1747" s="43" t="s">
        <v>26</v>
      </c>
      <c r="J1747" s="44" t="s">
        <v>27</v>
      </c>
      <c r="K1747" s="45" t="s">
        <v>28</v>
      </c>
      <c r="L1747" s="44" t="s">
        <v>27</v>
      </c>
      <c r="M1747" s="45" t="s">
        <v>28</v>
      </c>
      <c r="N1747" s="44" t="s">
        <v>27</v>
      </c>
      <c r="O1747" s="45" t="s">
        <v>28</v>
      </c>
      <c r="P1747" s="44" t="s">
        <v>27</v>
      </c>
      <c r="Q1747" s="45" t="s">
        <v>28</v>
      </c>
      <c r="R1747" s="44" t="s">
        <v>27</v>
      </c>
      <c r="S1747" s="45" t="s">
        <v>28</v>
      </c>
      <c r="T1747" s="44" t="s">
        <v>27</v>
      </c>
      <c r="U1747" s="45" t="s">
        <v>28</v>
      </c>
      <c r="V1747" s="44" t="s">
        <v>27</v>
      </c>
      <c r="W1747" s="45" t="s">
        <v>28</v>
      </c>
      <c r="X1747" s="44" t="s">
        <v>27</v>
      </c>
      <c r="Y1747" s="45" t="s">
        <v>28</v>
      </c>
      <c r="Z1747" s="46"/>
      <c r="AA1747" s="46"/>
      <c r="AB1747" s="121" t="s">
        <v>29</v>
      </c>
      <c r="AC1747" s="122" t="s">
        <v>30</v>
      </c>
      <c r="AD1747" s="123" t="s">
        <v>31</v>
      </c>
      <c r="AE1747" s="121" t="s">
        <v>27</v>
      </c>
      <c r="AF1747" s="123" t="s">
        <v>28</v>
      </c>
      <c r="AG1747" s="1"/>
    </row>
    <row r="1748" ht="21.0" customHeight="1">
      <c r="A1748" s="1"/>
      <c r="B1748" s="48" t="s">
        <v>32</v>
      </c>
      <c r="C1748" s="49"/>
      <c r="D1748" s="50"/>
      <c r="E1748" s="51" t="s">
        <v>33</v>
      </c>
      <c r="F1748" s="52" t="s">
        <v>34</v>
      </c>
      <c r="G1748" s="53"/>
      <c r="H1748" s="148"/>
      <c r="I1748" s="55"/>
      <c r="J1748" s="58"/>
      <c r="K1748" s="59"/>
      <c r="L1748" s="58"/>
      <c r="M1748" s="59"/>
      <c r="N1748" s="58"/>
      <c r="O1748" s="59"/>
      <c r="P1748" s="58"/>
      <c r="Q1748" s="59"/>
      <c r="R1748" s="58"/>
      <c r="S1748" s="59"/>
      <c r="T1748" s="58"/>
      <c r="U1748" s="59"/>
      <c r="V1748" s="58"/>
      <c r="W1748" s="59"/>
      <c r="X1748" s="58"/>
      <c r="Y1748" s="59"/>
      <c r="Z1748" s="60" t="b">
        <v>0</v>
      </c>
      <c r="AA1748" s="125">
        <f t="shared" ref="AA1748:AA1756" si="697">(J1748*K1748+L1748*M1748+N1748*O1748+P1748*Q1748+R1748*S1748+T1748*U1748+V1748*W1748+X1748*Y1748)*if(Z1748=true,0.453592,1)</f>
        <v>0</v>
      </c>
      <c r="AB1748" s="126">
        <f t="shared" ref="AB1748:AB1756" si="698">SUM(AE1748*AF1748*0.025,AE1748)</f>
        <v>0</v>
      </c>
      <c r="AC1748" s="127">
        <f t="shared" ref="AC1748:AC1756" si="699">AB1748*87%</f>
        <v>0</v>
      </c>
      <c r="AD1748" s="128">
        <f t="shared" ref="AD1748:AD1756" si="700">AB1748*67%</f>
        <v>0</v>
      </c>
      <c r="AE1748" s="126">
        <f t="shared" ref="AE1748:AE1756" si="701">MAX(J1748,L1748,N1748,P1748,R1748,T1748,V1748,X1748)*if(Z1748=true,0.453592,1)</f>
        <v>0</v>
      </c>
      <c r="AF1748" s="128">
        <f t="shared" ref="AF1748:AF1756" si="702">MAX(IF(J1748*if(Z1748=true,0.453592,1)=$AE1748,K1748,0),IF(L1748*if(Z1748=true,0.453592,1)=$AE1748,M1748,0),IF(N1748*if(Z1748=true,0.453592,1)=$AE1748,O1748,0),IF(P1748*if(Z1748=true,0.453592,1)=$AE1748,Q1748,0),IF(R1748*if(Z1748=true,0.453592,1)=$AE1748,S1748,0),IF(T1748*if(Z1748=true,0.453592,1)=$AE1748,U1748,0),IF(V1748*if(Z1748=true,0.453592,1)=$AE1748,W1748,0),IF(X1748*if(Z1748=true,0.453592,1)=$AE1748,Y1748,0))</f>
        <v>0</v>
      </c>
      <c r="AG1748" s="1"/>
    </row>
    <row r="1749" ht="21.0" customHeight="1">
      <c r="A1749" s="1"/>
      <c r="B1749" s="48" t="s">
        <v>36</v>
      </c>
      <c r="C1749" s="49"/>
      <c r="D1749" s="65"/>
      <c r="E1749" s="66"/>
      <c r="F1749" s="52" t="s">
        <v>37</v>
      </c>
      <c r="G1749" s="67"/>
      <c r="H1749" s="129"/>
      <c r="I1749" s="69"/>
      <c r="J1749" s="72"/>
      <c r="K1749" s="73"/>
      <c r="L1749" s="72"/>
      <c r="M1749" s="73"/>
      <c r="N1749" s="72"/>
      <c r="O1749" s="73"/>
      <c r="P1749" s="72"/>
      <c r="Q1749" s="73"/>
      <c r="R1749" s="72"/>
      <c r="S1749" s="73"/>
      <c r="T1749" s="72"/>
      <c r="U1749" s="73"/>
      <c r="V1749" s="72"/>
      <c r="W1749" s="73"/>
      <c r="X1749" s="72"/>
      <c r="Y1749" s="73"/>
      <c r="Z1749" s="74" t="b">
        <v>0</v>
      </c>
      <c r="AA1749" s="130">
        <f t="shared" si="697"/>
        <v>0</v>
      </c>
      <c r="AB1749" s="131">
        <f t="shared" si="698"/>
        <v>0</v>
      </c>
      <c r="AC1749" s="132">
        <f t="shared" si="699"/>
        <v>0</v>
      </c>
      <c r="AD1749" s="133">
        <f t="shared" si="700"/>
        <v>0</v>
      </c>
      <c r="AE1749" s="131">
        <f t="shared" si="701"/>
        <v>0</v>
      </c>
      <c r="AF1749" s="133">
        <f t="shared" si="702"/>
        <v>0</v>
      </c>
      <c r="AG1749" s="1"/>
    </row>
    <row r="1750" ht="21.0" customHeight="1">
      <c r="A1750" s="1"/>
      <c r="B1750" s="48" t="s">
        <v>39</v>
      </c>
      <c r="C1750" s="49"/>
      <c r="D1750" s="65"/>
      <c r="E1750" s="41"/>
      <c r="F1750" s="52" t="s">
        <v>40</v>
      </c>
      <c r="G1750" s="79"/>
      <c r="H1750" s="80"/>
      <c r="I1750" s="69"/>
      <c r="J1750" s="72"/>
      <c r="K1750" s="73"/>
      <c r="L1750" s="72"/>
      <c r="M1750" s="73"/>
      <c r="N1750" s="72"/>
      <c r="O1750" s="73"/>
      <c r="P1750" s="72"/>
      <c r="Q1750" s="73"/>
      <c r="R1750" s="72"/>
      <c r="S1750" s="73"/>
      <c r="T1750" s="72"/>
      <c r="U1750" s="73"/>
      <c r="V1750" s="72"/>
      <c r="W1750" s="73"/>
      <c r="X1750" s="72"/>
      <c r="Y1750" s="73"/>
      <c r="Z1750" s="74" t="b">
        <v>0</v>
      </c>
      <c r="AA1750" s="130">
        <f t="shared" si="697"/>
        <v>0</v>
      </c>
      <c r="AB1750" s="131">
        <f t="shared" si="698"/>
        <v>0</v>
      </c>
      <c r="AC1750" s="132">
        <f t="shared" si="699"/>
        <v>0</v>
      </c>
      <c r="AD1750" s="133">
        <f t="shared" si="700"/>
        <v>0</v>
      </c>
      <c r="AE1750" s="131">
        <f t="shared" si="701"/>
        <v>0</v>
      </c>
      <c r="AF1750" s="133">
        <f t="shared" si="702"/>
        <v>0</v>
      </c>
      <c r="AG1750" s="1"/>
    </row>
    <row r="1751" ht="21.0" customHeight="1">
      <c r="A1751" s="1"/>
      <c r="B1751" s="48" t="s">
        <v>41</v>
      </c>
      <c r="C1751" s="81"/>
      <c r="D1751" s="82" t="b">
        <v>0</v>
      </c>
      <c r="E1751" s="51" t="s">
        <v>42</v>
      </c>
      <c r="F1751" s="52" t="s">
        <v>34</v>
      </c>
      <c r="G1751" s="83"/>
      <c r="H1751" s="84"/>
      <c r="I1751" s="85"/>
      <c r="J1751" s="72"/>
      <c r="K1751" s="73"/>
      <c r="L1751" s="72"/>
      <c r="M1751" s="73"/>
      <c r="N1751" s="72"/>
      <c r="O1751" s="73"/>
      <c r="P1751" s="72"/>
      <c r="Q1751" s="73"/>
      <c r="R1751" s="72"/>
      <c r="S1751" s="73"/>
      <c r="T1751" s="72"/>
      <c r="U1751" s="73"/>
      <c r="V1751" s="72"/>
      <c r="W1751" s="73"/>
      <c r="X1751" s="72"/>
      <c r="Y1751" s="73"/>
      <c r="Z1751" s="74" t="b">
        <v>0</v>
      </c>
      <c r="AA1751" s="130">
        <f t="shared" si="697"/>
        <v>0</v>
      </c>
      <c r="AB1751" s="131">
        <f t="shared" si="698"/>
        <v>0</v>
      </c>
      <c r="AC1751" s="132">
        <f t="shared" si="699"/>
        <v>0</v>
      </c>
      <c r="AD1751" s="133">
        <f t="shared" si="700"/>
        <v>0</v>
      </c>
      <c r="AE1751" s="131">
        <f t="shared" si="701"/>
        <v>0</v>
      </c>
      <c r="AF1751" s="133">
        <f t="shared" si="702"/>
        <v>0</v>
      </c>
      <c r="AG1751" s="1"/>
    </row>
    <row r="1752" ht="21.0" customHeight="1">
      <c r="A1752" s="1"/>
      <c r="B1752" s="48" t="s">
        <v>43</v>
      </c>
      <c r="C1752" s="49"/>
      <c r="D1752" s="86" t="b">
        <v>0</v>
      </c>
      <c r="E1752" s="66"/>
      <c r="F1752" s="52" t="s">
        <v>37</v>
      </c>
      <c r="G1752" s="67"/>
      <c r="H1752" s="80"/>
      <c r="I1752" s="69"/>
      <c r="J1752" s="72"/>
      <c r="K1752" s="73"/>
      <c r="L1752" s="72"/>
      <c r="M1752" s="73"/>
      <c r="N1752" s="72"/>
      <c r="O1752" s="73"/>
      <c r="P1752" s="72"/>
      <c r="Q1752" s="73"/>
      <c r="R1752" s="72"/>
      <c r="S1752" s="73"/>
      <c r="T1752" s="72"/>
      <c r="U1752" s="73"/>
      <c r="V1752" s="72"/>
      <c r="W1752" s="73"/>
      <c r="X1752" s="72"/>
      <c r="Y1752" s="73"/>
      <c r="Z1752" s="74" t="b">
        <v>0</v>
      </c>
      <c r="AA1752" s="130">
        <f t="shared" si="697"/>
        <v>0</v>
      </c>
      <c r="AB1752" s="131">
        <f t="shared" si="698"/>
        <v>0</v>
      </c>
      <c r="AC1752" s="132">
        <f t="shared" si="699"/>
        <v>0</v>
      </c>
      <c r="AD1752" s="133">
        <f t="shared" si="700"/>
        <v>0</v>
      </c>
      <c r="AE1752" s="131">
        <f t="shared" si="701"/>
        <v>0</v>
      </c>
      <c r="AF1752" s="133">
        <f t="shared" si="702"/>
        <v>0</v>
      </c>
      <c r="AG1752" s="1"/>
    </row>
    <row r="1753" ht="21.0" customHeight="1">
      <c r="A1753" s="1"/>
      <c r="B1753" s="87" t="str">
        <f t="array" ref="B1753">"📌최근 인바디 결과 : "&amp;text(xlookup(B1745,'현황'!O:O,'현황'!O:O,,-1,-1),"m/d(ddd)")</f>
        <v>#REF!</v>
      </c>
      <c r="C1753" s="88"/>
      <c r="D1753" s="49"/>
      <c r="E1753" s="41"/>
      <c r="F1753" s="52" t="s">
        <v>40</v>
      </c>
      <c r="G1753" s="79"/>
      <c r="H1753" s="80"/>
      <c r="I1753" s="69"/>
      <c r="J1753" s="72"/>
      <c r="K1753" s="73"/>
      <c r="L1753" s="72"/>
      <c r="M1753" s="73"/>
      <c r="N1753" s="72"/>
      <c r="O1753" s="73"/>
      <c r="P1753" s="72"/>
      <c r="Q1753" s="73"/>
      <c r="R1753" s="72"/>
      <c r="S1753" s="73"/>
      <c r="T1753" s="72"/>
      <c r="U1753" s="73"/>
      <c r="V1753" s="72"/>
      <c r="W1753" s="73"/>
      <c r="X1753" s="72"/>
      <c r="Y1753" s="73"/>
      <c r="Z1753" s="74" t="b">
        <v>0</v>
      </c>
      <c r="AA1753" s="130">
        <f t="shared" si="697"/>
        <v>0</v>
      </c>
      <c r="AB1753" s="131">
        <f t="shared" si="698"/>
        <v>0</v>
      </c>
      <c r="AC1753" s="132">
        <f t="shared" si="699"/>
        <v>0</v>
      </c>
      <c r="AD1753" s="133">
        <f t="shared" si="700"/>
        <v>0</v>
      </c>
      <c r="AE1753" s="131">
        <f t="shared" si="701"/>
        <v>0</v>
      </c>
      <c r="AF1753" s="133">
        <f t="shared" si="702"/>
        <v>0</v>
      </c>
      <c r="AG1753" s="1"/>
    </row>
    <row r="1754" ht="21.0" customHeight="1">
      <c r="A1754" s="1"/>
      <c r="B1754" s="89" t="s">
        <v>44</v>
      </c>
      <c r="C1754" s="49"/>
      <c r="D1754" s="90">
        <f t="array" ref="D1754">iferror(vlookup(xlookup(B1745,'현황'!O:O,'현황'!O:O,,-1,-1),'현황'!O:S,2,false),0)</f>
        <v>0</v>
      </c>
      <c r="E1754" s="51" t="s">
        <v>45</v>
      </c>
      <c r="F1754" s="52" t="s">
        <v>34</v>
      </c>
      <c r="G1754" s="83"/>
      <c r="H1754" s="84"/>
      <c r="I1754" s="85"/>
      <c r="J1754" s="72"/>
      <c r="K1754" s="73"/>
      <c r="L1754" s="72"/>
      <c r="M1754" s="73"/>
      <c r="N1754" s="72"/>
      <c r="O1754" s="73"/>
      <c r="P1754" s="72"/>
      <c r="Q1754" s="73"/>
      <c r="R1754" s="72"/>
      <c r="S1754" s="73"/>
      <c r="T1754" s="72"/>
      <c r="U1754" s="73"/>
      <c r="V1754" s="72"/>
      <c r="W1754" s="73"/>
      <c r="X1754" s="72"/>
      <c r="Y1754" s="73"/>
      <c r="Z1754" s="74" t="b">
        <v>0</v>
      </c>
      <c r="AA1754" s="130">
        <f t="shared" si="697"/>
        <v>0</v>
      </c>
      <c r="AB1754" s="131">
        <f t="shared" si="698"/>
        <v>0</v>
      </c>
      <c r="AC1754" s="132">
        <f t="shared" si="699"/>
        <v>0</v>
      </c>
      <c r="AD1754" s="133">
        <f t="shared" si="700"/>
        <v>0</v>
      </c>
      <c r="AE1754" s="131">
        <f t="shared" si="701"/>
        <v>0</v>
      </c>
      <c r="AF1754" s="133">
        <f t="shared" si="702"/>
        <v>0</v>
      </c>
      <c r="AG1754" s="1"/>
    </row>
    <row r="1755" ht="21.0" customHeight="1">
      <c r="A1755" s="1"/>
      <c r="B1755" s="48" t="s">
        <v>46</v>
      </c>
      <c r="C1755" s="49"/>
      <c r="D1755" s="91">
        <f t="array" ref="D1755">iferror(vlookup(xlookup(B1745,'현황'!O:O,'현황'!O:O,,-1,-1),'현황'!O:S,3,false),0)</f>
        <v>0</v>
      </c>
      <c r="E1755" s="66"/>
      <c r="F1755" s="52" t="s">
        <v>37</v>
      </c>
      <c r="G1755" s="67"/>
      <c r="H1755" s="80"/>
      <c r="I1755" s="69"/>
      <c r="J1755" s="72"/>
      <c r="K1755" s="73"/>
      <c r="L1755" s="72"/>
      <c r="M1755" s="73"/>
      <c r="N1755" s="72"/>
      <c r="O1755" s="73"/>
      <c r="P1755" s="72"/>
      <c r="Q1755" s="73"/>
      <c r="R1755" s="72"/>
      <c r="S1755" s="73"/>
      <c r="T1755" s="72"/>
      <c r="U1755" s="73"/>
      <c r="V1755" s="72"/>
      <c r="W1755" s="73"/>
      <c r="X1755" s="72"/>
      <c r="Y1755" s="73"/>
      <c r="Z1755" s="74" t="b">
        <v>0</v>
      </c>
      <c r="AA1755" s="130">
        <f t="shared" si="697"/>
        <v>0</v>
      </c>
      <c r="AB1755" s="131">
        <f t="shared" si="698"/>
        <v>0</v>
      </c>
      <c r="AC1755" s="132">
        <f t="shared" si="699"/>
        <v>0</v>
      </c>
      <c r="AD1755" s="133">
        <f t="shared" si="700"/>
        <v>0</v>
      </c>
      <c r="AE1755" s="131">
        <f t="shared" si="701"/>
        <v>0</v>
      </c>
      <c r="AF1755" s="133">
        <f t="shared" si="702"/>
        <v>0</v>
      </c>
      <c r="AG1755" s="1"/>
    </row>
    <row r="1756" ht="21.0" customHeight="1">
      <c r="A1756" s="1"/>
      <c r="B1756" s="48" t="s">
        <v>47</v>
      </c>
      <c r="C1756" s="49"/>
      <c r="D1756" s="91">
        <f t="array" ref="D1756">iferror(vlookup(xlookup(B1745,'현황'!O:O,'현황'!O:O,,-1,-1),'현황'!O:S,4,false),0)</f>
        <v>0</v>
      </c>
      <c r="E1756" s="41"/>
      <c r="F1756" s="92" t="s">
        <v>40</v>
      </c>
      <c r="G1756" s="79"/>
      <c r="H1756" s="93"/>
      <c r="I1756" s="94"/>
      <c r="J1756" s="95"/>
      <c r="K1756" s="96"/>
      <c r="L1756" s="95"/>
      <c r="M1756" s="96"/>
      <c r="N1756" s="95"/>
      <c r="O1756" s="96"/>
      <c r="P1756" s="95"/>
      <c r="Q1756" s="96"/>
      <c r="R1756" s="95"/>
      <c r="S1756" s="96"/>
      <c r="T1756" s="95"/>
      <c r="U1756" s="96"/>
      <c r="V1756" s="95"/>
      <c r="W1756" s="96"/>
      <c r="X1756" s="95"/>
      <c r="Y1756" s="96"/>
      <c r="Z1756" s="97" t="b">
        <v>0</v>
      </c>
      <c r="AA1756" s="135">
        <f t="shared" si="697"/>
        <v>0</v>
      </c>
      <c r="AB1756" s="136">
        <f t="shared" si="698"/>
        <v>0</v>
      </c>
      <c r="AC1756" s="137">
        <f t="shared" si="699"/>
        <v>0</v>
      </c>
      <c r="AD1756" s="138">
        <f t="shared" si="700"/>
        <v>0</v>
      </c>
      <c r="AE1756" s="136">
        <f t="shared" si="701"/>
        <v>0</v>
      </c>
      <c r="AF1756" s="138">
        <f t="shared" si="702"/>
        <v>0</v>
      </c>
      <c r="AG1756" s="1"/>
    </row>
    <row r="1757" ht="21.0" customHeight="1">
      <c r="A1757" s="1"/>
      <c r="B1757" s="102" t="s">
        <v>48</v>
      </c>
      <c r="C1757" s="103"/>
      <c r="D1757" s="104">
        <f>iferror(D1756/D1754,0)</f>
        <v>0</v>
      </c>
      <c r="E1757" s="102" t="s">
        <v>49</v>
      </c>
      <c r="F1757" s="103"/>
      <c r="G1757" s="105"/>
      <c r="H1757" s="106" t="s">
        <v>50</v>
      </c>
      <c r="I1757" s="107"/>
      <c r="J1757" s="11"/>
      <c r="K1757" s="11"/>
      <c r="L1757" s="11"/>
      <c r="M1757" s="11"/>
      <c r="N1757" s="11"/>
      <c r="O1757" s="11"/>
      <c r="P1757" s="108" t="s">
        <v>51</v>
      </c>
      <c r="Q1757" s="12"/>
      <c r="R1757" s="109"/>
      <c r="S1757" s="11"/>
      <c r="T1757" s="11"/>
      <c r="U1757" s="11"/>
      <c r="V1757" s="11"/>
      <c r="W1757" s="11"/>
      <c r="X1757" s="11"/>
      <c r="Y1757" s="11"/>
      <c r="Z1757" s="12"/>
      <c r="AA1757" s="139">
        <f>SUM(AA1748:AA1756)</f>
        <v>0</v>
      </c>
      <c r="AB1757" s="140" t="s">
        <v>331</v>
      </c>
      <c r="AG1757" s="1"/>
    </row>
    <row r="1758" ht="21.0" customHeight="1">
      <c r="A1758" s="1"/>
      <c r="B1758" s="1"/>
      <c r="C1758" s="1"/>
      <c r="D1758" s="1"/>
      <c r="E1758" s="1"/>
      <c r="F1758" s="1"/>
      <c r="G1758" s="1"/>
      <c r="H1758" s="1"/>
      <c r="I1758" s="1"/>
      <c r="AA1758" s="1"/>
      <c r="AB1758" s="1"/>
      <c r="AC1758" s="3"/>
      <c r="AD1758" s="1"/>
      <c r="AE1758" s="1"/>
      <c r="AF1758" s="1"/>
      <c r="AG1758" s="1"/>
    </row>
    <row r="1759" ht="21.0" customHeight="1">
      <c r="A1759" s="1"/>
      <c r="B1759" s="4" t="s">
        <v>1</v>
      </c>
      <c r="C1759" s="5"/>
      <c r="D1759" s="6" t="s">
        <v>2</v>
      </c>
      <c r="E1759" s="7"/>
      <c r="F1759" s="7"/>
      <c r="G1759" s="5"/>
      <c r="H1759" s="8" t="s">
        <v>3</v>
      </c>
      <c r="I1759" s="8" t="s">
        <v>4</v>
      </c>
      <c r="J1759" s="9" t="s">
        <v>5</v>
      </c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5"/>
      <c r="AA1759" s="117" t="s">
        <v>6</v>
      </c>
      <c r="AB1759" s="11"/>
      <c r="AC1759" s="11"/>
      <c r="AD1759" s="11"/>
      <c r="AE1759" s="11"/>
      <c r="AF1759" s="12"/>
      <c r="AG1759" s="1"/>
    </row>
    <row r="1760" ht="21.0" customHeight="1">
      <c r="A1760" s="1"/>
      <c r="B1760" s="149" t="s">
        <v>138</v>
      </c>
      <c r="C1760" s="14" t="str">
        <f>if(B1760="0/0","",choose(weekday(B1760),"(일)","(월)","(화)","(수)","(목)","(금)","(토)"))</f>
        <v/>
      </c>
      <c r="D1760" s="15" t="s">
        <v>7</v>
      </c>
      <c r="E1760" s="16" t="s">
        <v>8</v>
      </c>
      <c r="F1760" s="17"/>
      <c r="G1760" s="18" t="s">
        <v>9</v>
      </c>
      <c r="H1760" s="150" t="s">
        <v>139</v>
      </c>
      <c r="I1760" s="151"/>
      <c r="J1760" s="21" t="s">
        <v>12</v>
      </c>
      <c r="K1760" s="22"/>
      <c r="L1760" s="21" t="s">
        <v>13</v>
      </c>
      <c r="M1760" s="22"/>
      <c r="N1760" s="21" t="s">
        <v>14</v>
      </c>
      <c r="O1760" s="22"/>
      <c r="P1760" s="21" t="s">
        <v>15</v>
      </c>
      <c r="Q1760" s="22"/>
      <c r="R1760" s="23" t="s">
        <v>16</v>
      </c>
      <c r="S1760" s="22"/>
      <c r="T1760" s="23" t="s">
        <v>17</v>
      </c>
      <c r="U1760" s="22"/>
      <c r="V1760" s="23" t="s">
        <v>18</v>
      </c>
      <c r="W1760" s="22"/>
      <c r="X1760" s="23" t="s">
        <v>19</v>
      </c>
      <c r="Y1760" s="22"/>
      <c r="Z1760" s="24" t="s">
        <v>332</v>
      </c>
      <c r="AA1760" s="118" t="s">
        <v>21</v>
      </c>
      <c r="AB1760" s="119" t="s">
        <v>22</v>
      </c>
      <c r="AC1760" s="7"/>
      <c r="AD1760" s="22"/>
      <c r="AE1760" s="120" t="s">
        <v>23</v>
      </c>
      <c r="AF1760" s="22"/>
      <c r="AG1760" s="1"/>
    </row>
    <row r="1761" ht="21.0" customHeight="1">
      <c r="A1761" s="1"/>
      <c r="B1761" s="27">
        <f>iferror(B1760-'현황'!$C$4+1,0)</f>
        <v>0</v>
      </c>
      <c r="C1761" s="28"/>
      <c r="D1761" s="29">
        <v>0.0</v>
      </c>
      <c r="E1761" s="30">
        <v>0.0</v>
      </c>
      <c r="F1761" s="31"/>
      <c r="G1761" s="32">
        <v>0.0</v>
      </c>
      <c r="H1761" s="33">
        <v>0.0</v>
      </c>
      <c r="I1761" s="34"/>
      <c r="J1761" s="35"/>
      <c r="K1761" s="36"/>
      <c r="L1761" s="35"/>
      <c r="M1761" s="36"/>
      <c r="N1761" s="35"/>
      <c r="O1761" s="36"/>
      <c r="P1761" s="35"/>
      <c r="Q1761" s="36"/>
      <c r="R1761" s="35"/>
      <c r="S1761" s="36"/>
      <c r="T1761" s="35"/>
      <c r="U1761" s="36"/>
      <c r="V1761" s="35"/>
      <c r="W1761" s="36"/>
      <c r="X1761" s="35"/>
      <c r="Y1761" s="36"/>
      <c r="Z1761" s="37"/>
      <c r="AA1761" s="37"/>
      <c r="AB1761" s="35"/>
      <c r="AC1761" s="38"/>
      <c r="AD1761" s="36"/>
      <c r="AE1761" s="35"/>
      <c r="AF1761" s="36"/>
      <c r="AG1761" s="1"/>
    </row>
    <row r="1762" ht="21.0" customHeight="1">
      <c r="A1762" s="1"/>
      <c r="B1762" s="39" t="s">
        <v>24</v>
      </c>
      <c r="C1762" s="40"/>
      <c r="D1762" s="41"/>
      <c r="E1762" s="42" t="s">
        <v>25</v>
      </c>
      <c r="F1762" s="40"/>
      <c r="G1762" s="41"/>
      <c r="H1762" s="43" t="s">
        <v>26</v>
      </c>
      <c r="J1762" s="44" t="s">
        <v>27</v>
      </c>
      <c r="K1762" s="45" t="s">
        <v>28</v>
      </c>
      <c r="L1762" s="44" t="s">
        <v>27</v>
      </c>
      <c r="M1762" s="45" t="s">
        <v>28</v>
      </c>
      <c r="N1762" s="44" t="s">
        <v>27</v>
      </c>
      <c r="O1762" s="45" t="s">
        <v>28</v>
      </c>
      <c r="P1762" s="44" t="s">
        <v>27</v>
      </c>
      <c r="Q1762" s="45" t="s">
        <v>28</v>
      </c>
      <c r="R1762" s="44" t="s">
        <v>27</v>
      </c>
      <c r="S1762" s="45" t="s">
        <v>28</v>
      </c>
      <c r="T1762" s="44" t="s">
        <v>27</v>
      </c>
      <c r="U1762" s="45" t="s">
        <v>28</v>
      </c>
      <c r="V1762" s="44" t="s">
        <v>27</v>
      </c>
      <c r="W1762" s="45" t="s">
        <v>28</v>
      </c>
      <c r="X1762" s="44" t="s">
        <v>27</v>
      </c>
      <c r="Y1762" s="45" t="s">
        <v>28</v>
      </c>
      <c r="Z1762" s="46"/>
      <c r="AA1762" s="46"/>
      <c r="AB1762" s="121" t="s">
        <v>29</v>
      </c>
      <c r="AC1762" s="122" t="s">
        <v>30</v>
      </c>
      <c r="AD1762" s="123" t="s">
        <v>31</v>
      </c>
      <c r="AE1762" s="121" t="s">
        <v>27</v>
      </c>
      <c r="AF1762" s="123" t="s">
        <v>28</v>
      </c>
      <c r="AG1762" s="1"/>
    </row>
    <row r="1763" ht="21.0" customHeight="1">
      <c r="A1763" s="1"/>
      <c r="B1763" s="48" t="s">
        <v>32</v>
      </c>
      <c r="C1763" s="49"/>
      <c r="D1763" s="50"/>
      <c r="E1763" s="51" t="s">
        <v>33</v>
      </c>
      <c r="F1763" s="52" t="s">
        <v>34</v>
      </c>
      <c r="G1763" s="53"/>
      <c r="H1763" s="148"/>
      <c r="I1763" s="55"/>
      <c r="J1763" s="58"/>
      <c r="K1763" s="59"/>
      <c r="L1763" s="58"/>
      <c r="M1763" s="59"/>
      <c r="N1763" s="58"/>
      <c r="O1763" s="59"/>
      <c r="P1763" s="58"/>
      <c r="Q1763" s="59"/>
      <c r="R1763" s="58"/>
      <c r="S1763" s="59"/>
      <c r="T1763" s="58"/>
      <c r="U1763" s="59"/>
      <c r="V1763" s="58"/>
      <c r="W1763" s="59"/>
      <c r="X1763" s="58"/>
      <c r="Y1763" s="59"/>
      <c r="Z1763" s="60" t="b">
        <v>0</v>
      </c>
      <c r="AA1763" s="125">
        <f t="shared" ref="AA1763:AA1771" si="703">(J1763*K1763+L1763*M1763+N1763*O1763+P1763*Q1763+R1763*S1763+T1763*U1763+V1763*W1763+X1763*Y1763)*if(Z1763=true,0.453592,1)</f>
        <v>0</v>
      </c>
      <c r="AB1763" s="126">
        <f t="shared" ref="AB1763:AB1771" si="704">SUM(AE1763*AF1763*0.025,AE1763)</f>
        <v>0</v>
      </c>
      <c r="AC1763" s="127">
        <f t="shared" ref="AC1763:AC1771" si="705">AB1763*87%</f>
        <v>0</v>
      </c>
      <c r="AD1763" s="128">
        <f t="shared" ref="AD1763:AD1771" si="706">AB1763*67%</f>
        <v>0</v>
      </c>
      <c r="AE1763" s="126">
        <f t="shared" ref="AE1763:AE1771" si="707">MAX(J1763,L1763,N1763,P1763,R1763,T1763,V1763,X1763)*if(Z1763=true,0.453592,1)</f>
        <v>0</v>
      </c>
      <c r="AF1763" s="128">
        <f t="shared" ref="AF1763:AF1771" si="708">MAX(IF(J1763*if(Z1763=true,0.453592,1)=$AE1763,K1763,0),IF(L1763*if(Z1763=true,0.453592,1)=$AE1763,M1763,0),IF(N1763*if(Z1763=true,0.453592,1)=$AE1763,O1763,0),IF(P1763*if(Z1763=true,0.453592,1)=$AE1763,Q1763,0),IF(R1763*if(Z1763=true,0.453592,1)=$AE1763,S1763,0),IF(T1763*if(Z1763=true,0.453592,1)=$AE1763,U1763,0),IF(V1763*if(Z1763=true,0.453592,1)=$AE1763,W1763,0),IF(X1763*if(Z1763=true,0.453592,1)=$AE1763,Y1763,0))</f>
        <v>0</v>
      </c>
      <c r="AG1763" s="1"/>
    </row>
    <row r="1764" ht="21.0" customHeight="1">
      <c r="A1764" s="1"/>
      <c r="B1764" s="48" t="s">
        <v>36</v>
      </c>
      <c r="C1764" s="49"/>
      <c r="D1764" s="65"/>
      <c r="E1764" s="66"/>
      <c r="F1764" s="52" t="s">
        <v>37</v>
      </c>
      <c r="G1764" s="67"/>
      <c r="H1764" s="129"/>
      <c r="I1764" s="69"/>
      <c r="J1764" s="72"/>
      <c r="K1764" s="73"/>
      <c r="L1764" s="72"/>
      <c r="M1764" s="73"/>
      <c r="N1764" s="72"/>
      <c r="O1764" s="73"/>
      <c r="P1764" s="72"/>
      <c r="Q1764" s="73"/>
      <c r="R1764" s="72"/>
      <c r="S1764" s="73"/>
      <c r="T1764" s="72"/>
      <c r="U1764" s="73"/>
      <c r="V1764" s="72"/>
      <c r="W1764" s="73"/>
      <c r="X1764" s="72"/>
      <c r="Y1764" s="73"/>
      <c r="Z1764" s="74" t="b">
        <v>0</v>
      </c>
      <c r="AA1764" s="130">
        <f t="shared" si="703"/>
        <v>0</v>
      </c>
      <c r="AB1764" s="131">
        <f t="shared" si="704"/>
        <v>0</v>
      </c>
      <c r="AC1764" s="132">
        <f t="shared" si="705"/>
        <v>0</v>
      </c>
      <c r="AD1764" s="133">
        <f t="shared" si="706"/>
        <v>0</v>
      </c>
      <c r="AE1764" s="131">
        <f t="shared" si="707"/>
        <v>0</v>
      </c>
      <c r="AF1764" s="133">
        <f t="shared" si="708"/>
        <v>0</v>
      </c>
      <c r="AG1764" s="1"/>
    </row>
    <row r="1765" ht="21.0" customHeight="1">
      <c r="A1765" s="1"/>
      <c r="B1765" s="48" t="s">
        <v>39</v>
      </c>
      <c r="C1765" s="49"/>
      <c r="D1765" s="65"/>
      <c r="E1765" s="41"/>
      <c r="F1765" s="52" t="s">
        <v>40</v>
      </c>
      <c r="G1765" s="79"/>
      <c r="H1765" s="80"/>
      <c r="I1765" s="69"/>
      <c r="J1765" s="72"/>
      <c r="K1765" s="73"/>
      <c r="L1765" s="72"/>
      <c r="M1765" s="73"/>
      <c r="N1765" s="72"/>
      <c r="O1765" s="73"/>
      <c r="P1765" s="72"/>
      <c r="Q1765" s="73"/>
      <c r="R1765" s="72"/>
      <c r="S1765" s="73"/>
      <c r="T1765" s="72"/>
      <c r="U1765" s="73"/>
      <c r="V1765" s="72"/>
      <c r="W1765" s="73"/>
      <c r="X1765" s="72"/>
      <c r="Y1765" s="73"/>
      <c r="Z1765" s="74" t="b">
        <v>0</v>
      </c>
      <c r="AA1765" s="130">
        <f t="shared" si="703"/>
        <v>0</v>
      </c>
      <c r="AB1765" s="131">
        <f t="shared" si="704"/>
        <v>0</v>
      </c>
      <c r="AC1765" s="132">
        <f t="shared" si="705"/>
        <v>0</v>
      </c>
      <c r="AD1765" s="133">
        <f t="shared" si="706"/>
        <v>0</v>
      </c>
      <c r="AE1765" s="131">
        <f t="shared" si="707"/>
        <v>0</v>
      </c>
      <c r="AF1765" s="133">
        <f t="shared" si="708"/>
        <v>0</v>
      </c>
      <c r="AG1765" s="1"/>
    </row>
    <row r="1766" ht="21.0" customHeight="1">
      <c r="A1766" s="1"/>
      <c r="B1766" s="48" t="s">
        <v>41</v>
      </c>
      <c r="C1766" s="81"/>
      <c r="D1766" s="82" t="b">
        <v>0</v>
      </c>
      <c r="E1766" s="51" t="s">
        <v>42</v>
      </c>
      <c r="F1766" s="52" t="s">
        <v>34</v>
      </c>
      <c r="G1766" s="83"/>
      <c r="H1766" s="84"/>
      <c r="I1766" s="85"/>
      <c r="J1766" s="72"/>
      <c r="K1766" s="73"/>
      <c r="L1766" s="72"/>
      <c r="M1766" s="73"/>
      <c r="N1766" s="72"/>
      <c r="O1766" s="73"/>
      <c r="P1766" s="72"/>
      <c r="Q1766" s="73"/>
      <c r="R1766" s="72"/>
      <c r="S1766" s="73"/>
      <c r="T1766" s="72"/>
      <c r="U1766" s="73"/>
      <c r="V1766" s="72"/>
      <c r="W1766" s="73"/>
      <c r="X1766" s="72"/>
      <c r="Y1766" s="73"/>
      <c r="Z1766" s="74" t="b">
        <v>0</v>
      </c>
      <c r="AA1766" s="130">
        <f t="shared" si="703"/>
        <v>0</v>
      </c>
      <c r="AB1766" s="131">
        <f t="shared" si="704"/>
        <v>0</v>
      </c>
      <c r="AC1766" s="132">
        <f t="shared" si="705"/>
        <v>0</v>
      </c>
      <c r="AD1766" s="133">
        <f t="shared" si="706"/>
        <v>0</v>
      </c>
      <c r="AE1766" s="131">
        <f t="shared" si="707"/>
        <v>0</v>
      </c>
      <c r="AF1766" s="133">
        <f t="shared" si="708"/>
        <v>0</v>
      </c>
      <c r="AG1766" s="1"/>
    </row>
    <row r="1767" ht="21.0" customHeight="1">
      <c r="A1767" s="1"/>
      <c r="B1767" s="48" t="s">
        <v>43</v>
      </c>
      <c r="C1767" s="49"/>
      <c r="D1767" s="86" t="b">
        <v>0</v>
      </c>
      <c r="E1767" s="66"/>
      <c r="F1767" s="52" t="s">
        <v>37</v>
      </c>
      <c r="G1767" s="67"/>
      <c r="H1767" s="80"/>
      <c r="I1767" s="69"/>
      <c r="J1767" s="72"/>
      <c r="K1767" s="73"/>
      <c r="L1767" s="72"/>
      <c r="M1767" s="73"/>
      <c r="N1767" s="72"/>
      <c r="O1767" s="73"/>
      <c r="P1767" s="72"/>
      <c r="Q1767" s="73"/>
      <c r="R1767" s="72"/>
      <c r="S1767" s="73"/>
      <c r="T1767" s="72"/>
      <c r="U1767" s="73"/>
      <c r="V1767" s="72"/>
      <c r="W1767" s="73"/>
      <c r="X1767" s="72"/>
      <c r="Y1767" s="73"/>
      <c r="Z1767" s="74" t="b">
        <v>0</v>
      </c>
      <c r="AA1767" s="130">
        <f t="shared" si="703"/>
        <v>0</v>
      </c>
      <c r="AB1767" s="131">
        <f t="shared" si="704"/>
        <v>0</v>
      </c>
      <c r="AC1767" s="132">
        <f t="shared" si="705"/>
        <v>0</v>
      </c>
      <c r="AD1767" s="133">
        <f t="shared" si="706"/>
        <v>0</v>
      </c>
      <c r="AE1767" s="131">
        <f t="shared" si="707"/>
        <v>0</v>
      </c>
      <c r="AF1767" s="133">
        <f t="shared" si="708"/>
        <v>0</v>
      </c>
      <c r="AG1767" s="1"/>
    </row>
    <row r="1768" ht="21.0" customHeight="1">
      <c r="A1768" s="1"/>
      <c r="B1768" s="87" t="str">
        <f t="array" ref="B1768">"📌최근 인바디 결과 : "&amp;text(xlookup(B1760,'현황'!O:O,'현황'!O:O,,-1,-1),"m/d(ddd)")</f>
        <v>#REF!</v>
      </c>
      <c r="C1768" s="88"/>
      <c r="D1768" s="49"/>
      <c r="E1768" s="41"/>
      <c r="F1768" s="52" t="s">
        <v>40</v>
      </c>
      <c r="G1768" s="79"/>
      <c r="H1768" s="80"/>
      <c r="I1768" s="69"/>
      <c r="J1768" s="72"/>
      <c r="K1768" s="73"/>
      <c r="L1768" s="72"/>
      <c r="M1768" s="73"/>
      <c r="N1768" s="72"/>
      <c r="O1768" s="73"/>
      <c r="P1768" s="72"/>
      <c r="Q1768" s="73"/>
      <c r="R1768" s="72"/>
      <c r="S1768" s="73"/>
      <c r="T1768" s="72"/>
      <c r="U1768" s="73"/>
      <c r="V1768" s="72"/>
      <c r="W1768" s="73"/>
      <c r="X1768" s="72"/>
      <c r="Y1768" s="73"/>
      <c r="Z1768" s="74" t="b">
        <v>0</v>
      </c>
      <c r="AA1768" s="130">
        <f t="shared" si="703"/>
        <v>0</v>
      </c>
      <c r="AB1768" s="131">
        <f t="shared" si="704"/>
        <v>0</v>
      </c>
      <c r="AC1768" s="132">
        <f t="shared" si="705"/>
        <v>0</v>
      </c>
      <c r="AD1768" s="133">
        <f t="shared" si="706"/>
        <v>0</v>
      </c>
      <c r="AE1768" s="131">
        <f t="shared" si="707"/>
        <v>0</v>
      </c>
      <c r="AF1768" s="133">
        <f t="shared" si="708"/>
        <v>0</v>
      </c>
      <c r="AG1768" s="1"/>
    </row>
    <row r="1769" ht="21.0" customHeight="1">
      <c r="A1769" s="1"/>
      <c r="B1769" s="89" t="s">
        <v>44</v>
      </c>
      <c r="C1769" s="49"/>
      <c r="D1769" s="90">
        <f t="array" ref="D1769">iferror(vlookup(xlookup(B1760,'현황'!O:O,'현황'!O:O,,-1,-1),'현황'!O:S,2,false),0)</f>
        <v>0</v>
      </c>
      <c r="E1769" s="51" t="s">
        <v>45</v>
      </c>
      <c r="F1769" s="52" t="s">
        <v>34</v>
      </c>
      <c r="G1769" s="83"/>
      <c r="H1769" s="84"/>
      <c r="I1769" s="85"/>
      <c r="J1769" s="72"/>
      <c r="K1769" s="73"/>
      <c r="L1769" s="72"/>
      <c r="M1769" s="73"/>
      <c r="N1769" s="72"/>
      <c r="O1769" s="73"/>
      <c r="P1769" s="72"/>
      <c r="Q1769" s="73"/>
      <c r="R1769" s="72"/>
      <c r="S1769" s="73"/>
      <c r="T1769" s="72"/>
      <c r="U1769" s="73"/>
      <c r="V1769" s="72"/>
      <c r="W1769" s="73"/>
      <c r="X1769" s="72"/>
      <c r="Y1769" s="73"/>
      <c r="Z1769" s="74" t="b">
        <v>0</v>
      </c>
      <c r="AA1769" s="130">
        <f t="shared" si="703"/>
        <v>0</v>
      </c>
      <c r="AB1769" s="131">
        <f t="shared" si="704"/>
        <v>0</v>
      </c>
      <c r="AC1769" s="132">
        <f t="shared" si="705"/>
        <v>0</v>
      </c>
      <c r="AD1769" s="133">
        <f t="shared" si="706"/>
        <v>0</v>
      </c>
      <c r="AE1769" s="131">
        <f t="shared" si="707"/>
        <v>0</v>
      </c>
      <c r="AF1769" s="133">
        <f t="shared" si="708"/>
        <v>0</v>
      </c>
      <c r="AG1769" s="1"/>
    </row>
    <row r="1770" ht="21.0" customHeight="1">
      <c r="A1770" s="1"/>
      <c r="B1770" s="48" t="s">
        <v>46</v>
      </c>
      <c r="C1770" s="49"/>
      <c r="D1770" s="91">
        <f t="array" ref="D1770">iferror(vlookup(xlookup(B1760,'현황'!O:O,'현황'!O:O,,-1,-1),'현황'!O:S,3,false),0)</f>
        <v>0</v>
      </c>
      <c r="E1770" s="66"/>
      <c r="F1770" s="52" t="s">
        <v>37</v>
      </c>
      <c r="G1770" s="67"/>
      <c r="H1770" s="80"/>
      <c r="I1770" s="69"/>
      <c r="J1770" s="72"/>
      <c r="K1770" s="73"/>
      <c r="L1770" s="72"/>
      <c r="M1770" s="73"/>
      <c r="N1770" s="72"/>
      <c r="O1770" s="73"/>
      <c r="P1770" s="72"/>
      <c r="Q1770" s="73"/>
      <c r="R1770" s="72"/>
      <c r="S1770" s="73"/>
      <c r="T1770" s="72"/>
      <c r="U1770" s="73"/>
      <c r="V1770" s="72"/>
      <c r="W1770" s="73"/>
      <c r="X1770" s="72"/>
      <c r="Y1770" s="73"/>
      <c r="Z1770" s="74" t="b">
        <v>0</v>
      </c>
      <c r="AA1770" s="130">
        <f t="shared" si="703"/>
        <v>0</v>
      </c>
      <c r="AB1770" s="131">
        <f t="shared" si="704"/>
        <v>0</v>
      </c>
      <c r="AC1770" s="132">
        <f t="shared" si="705"/>
        <v>0</v>
      </c>
      <c r="AD1770" s="133">
        <f t="shared" si="706"/>
        <v>0</v>
      </c>
      <c r="AE1770" s="131">
        <f t="shared" si="707"/>
        <v>0</v>
      </c>
      <c r="AF1770" s="133">
        <f t="shared" si="708"/>
        <v>0</v>
      </c>
      <c r="AG1770" s="1"/>
    </row>
    <row r="1771" ht="21.0" customHeight="1">
      <c r="A1771" s="1"/>
      <c r="B1771" s="48" t="s">
        <v>47</v>
      </c>
      <c r="C1771" s="49"/>
      <c r="D1771" s="91">
        <f t="array" ref="D1771">iferror(vlookup(xlookup(B1760,'현황'!O:O,'현황'!O:O,,-1,-1),'현황'!O:S,4,false),0)</f>
        <v>0</v>
      </c>
      <c r="E1771" s="41"/>
      <c r="F1771" s="92" t="s">
        <v>40</v>
      </c>
      <c r="G1771" s="79"/>
      <c r="H1771" s="93"/>
      <c r="I1771" s="94"/>
      <c r="J1771" s="95"/>
      <c r="K1771" s="96"/>
      <c r="L1771" s="95"/>
      <c r="M1771" s="96"/>
      <c r="N1771" s="95"/>
      <c r="O1771" s="96"/>
      <c r="P1771" s="95"/>
      <c r="Q1771" s="96"/>
      <c r="R1771" s="95"/>
      <c r="S1771" s="96"/>
      <c r="T1771" s="95"/>
      <c r="U1771" s="96"/>
      <c r="V1771" s="95"/>
      <c r="W1771" s="96"/>
      <c r="X1771" s="95"/>
      <c r="Y1771" s="96"/>
      <c r="Z1771" s="97" t="b">
        <v>0</v>
      </c>
      <c r="AA1771" s="135">
        <f t="shared" si="703"/>
        <v>0</v>
      </c>
      <c r="AB1771" s="136">
        <f t="shared" si="704"/>
        <v>0</v>
      </c>
      <c r="AC1771" s="137">
        <f t="shared" si="705"/>
        <v>0</v>
      </c>
      <c r="AD1771" s="138">
        <f t="shared" si="706"/>
        <v>0</v>
      </c>
      <c r="AE1771" s="136">
        <f t="shared" si="707"/>
        <v>0</v>
      </c>
      <c r="AF1771" s="138">
        <f t="shared" si="708"/>
        <v>0</v>
      </c>
      <c r="AG1771" s="1"/>
    </row>
    <row r="1772" ht="21.0" customHeight="1">
      <c r="A1772" s="1"/>
      <c r="B1772" s="102" t="s">
        <v>48</v>
      </c>
      <c r="C1772" s="103"/>
      <c r="D1772" s="104">
        <f>iferror(D1771/D1769,0)</f>
        <v>0</v>
      </c>
      <c r="E1772" s="102" t="s">
        <v>49</v>
      </c>
      <c r="F1772" s="103"/>
      <c r="G1772" s="105"/>
      <c r="H1772" s="106" t="s">
        <v>50</v>
      </c>
      <c r="I1772" s="107"/>
      <c r="J1772" s="11"/>
      <c r="K1772" s="11"/>
      <c r="L1772" s="11"/>
      <c r="M1772" s="11"/>
      <c r="N1772" s="11"/>
      <c r="O1772" s="11"/>
      <c r="P1772" s="108" t="s">
        <v>51</v>
      </c>
      <c r="Q1772" s="12"/>
      <c r="R1772" s="109"/>
      <c r="S1772" s="11"/>
      <c r="T1772" s="11"/>
      <c r="U1772" s="11"/>
      <c r="V1772" s="11"/>
      <c r="W1772" s="11"/>
      <c r="X1772" s="11"/>
      <c r="Y1772" s="11"/>
      <c r="Z1772" s="12"/>
      <c r="AA1772" s="139">
        <f>SUM(AA1763:AA1771)</f>
        <v>0</v>
      </c>
      <c r="AB1772" s="140" t="s">
        <v>333</v>
      </c>
      <c r="AG1772" s="1"/>
    </row>
    <row r="1773" ht="21.0" customHeight="1">
      <c r="A1773" s="1"/>
      <c r="B1773" s="1"/>
      <c r="C1773" s="1"/>
      <c r="D1773" s="1"/>
      <c r="E1773" s="1"/>
      <c r="F1773" s="1"/>
      <c r="G1773" s="1"/>
      <c r="H1773" s="1"/>
      <c r="I1773" s="1"/>
      <c r="AA1773" s="1"/>
      <c r="AB1773" s="1"/>
      <c r="AC1773" s="3"/>
      <c r="AD1773" s="1"/>
      <c r="AE1773" s="1"/>
      <c r="AF1773" s="1"/>
      <c r="AG1773" s="1"/>
    </row>
    <row r="1774" ht="21.0" customHeight="1">
      <c r="A1774" s="1"/>
      <c r="B1774" s="4" t="s">
        <v>1</v>
      </c>
      <c r="C1774" s="5"/>
      <c r="D1774" s="6" t="s">
        <v>2</v>
      </c>
      <c r="E1774" s="7"/>
      <c r="F1774" s="7"/>
      <c r="G1774" s="5"/>
      <c r="H1774" s="8" t="s">
        <v>3</v>
      </c>
      <c r="I1774" s="8" t="s">
        <v>4</v>
      </c>
      <c r="J1774" s="9" t="s">
        <v>5</v>
      </c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5"/>
      <c r="AA1774" s="117" t="s">
        <v>6</v>
      </c>
      <c r="AB1774" s="11"/>
      <c r="AC1774" s="11"/>
      <c r="AD1774" s="11"/>
      <c r="AE1774" s="11"/>
      <c r="AF1774" s="12"/>
      <c r="AG1774" s="1"/>
    </row>
    <row r="1775" ht="21.0" customHeight="1">
      <c r="A1775" s="1"/>
      <c r="B1775" s="149" t="s">
        <v>138</v>
      </c>
      <c r="C1775" s="14" t="str">
        <f>if(B1775="0/0","",choose(weekday(B1775),"(일)","(월)","(화)","(수)","(목)","(금)","(토)"))</f>
        <v/>
      </c>
      <c r="D1775" s="15" t="s">
        <v>7</v>
      </c>
      <c r="E1775" s="16" t="s">
        <v>8</v>
      </c>
      <c r="F1775" s="17"/>
      <c r="G1775" s="18" t="s">
        <v>9</v>
      </c>
      <c r="H1775" s="150" t="s">
        <v>139</v>
      </c>
      <c r="I1775" s="151"/>
      <c r="J1775" s="21" t="s">
        <v>12</v>
      </c>
      <c r="K1775" s="22"/>
      <c r="L1775" s="21" t="s">
        <v>13</v>
      </c>
      <c r="M1775" s="22"/>
      <c r="N1775" s="21" t="s">
        <v>14</v>
      </c>
      <c r="O1775" s="22"/>
      <c r="P1775" s="21" t="s">
        <v>15</v>
      </c>
      <c r="Q1775" s="22"/>
      <c r="R1775" s="23" t="s">
        <v>16</v>
      </c>
      <c r="S1775" s="22"/>
      <c r="T1775" s="23" t="s">
        <v>17</v>
      </c>
      <c r="U1775" s="22"/>
      <c r="V1775" s="23" t="s">
        <v>18</v>
      </c>
      <c r="W1775" s="22"/>
      <c r="X1775" s="23" t="s">
        <v>19</v>
      </c>
      <c r="Y1775" s="22"/>
      <c r="Z1775" s="24" t="s">
        <v>334</v>
      </c>
      <c r="AA1775" s="118" t="s">
        <v>21</v>
      </c>
      <c r="AB1775" s="119" t="s">
        <v>22</v>
      </c>
      <c r="AC1775" s="7"/>
      <c r="AD1775" s="22"/>
      <c r="AE1775" s="120" t="s">
        <v>23</v>
      </c>
      <c r="AF1775" s="22"/>
      <c r="AG1775" s="1"/>
    </row>
    <row r="1776" ht="21.0" customHeight="1">
      <c r="A1776" s="1"/>
      <c r="B1776" s="27">
        <f>iferror(B1775-'현황'!$C$4+1,0)</f>
        <v>0</v>
      </c>
      <c r="C1776" s="28"/>
      <c r="D1776" s="29">
        <v>0.0</v>
      </c>
      <c r="E1776" s="30">
        <v>0.0</v>
      </c>
      <c r="F1776" s="31"/>
      <c r="G1776" s="32">
        <v>0.0</v>
      </c>
      <c r="H1776" s="33">
        <v>0.0</v>
      </c>
      <c r="I1776" s="34"/>
      <c r="J1776" s="35"/>
      <c r="K1776" s="36"/>
      <c r="L1776" s="35"/>
      <c r="M1776" s="36"/>
      <c r="N1776" s="35"/>
      <c r="O1776" s="36"/>
      <c r="P1776" s="35"/>
      <c r="Q1776" s="36"/>
      <c r="R1776" s="35"/>
      <c r="S1776" s="36"/>
      <c r="T1776" s="35"/>
      <c r="U1776" s="36"/>
      <c r="V1776" s="35"/>
      <c r="W1776" s="36"/>
      <c r="X1776" s="35"/>
      <c r="Y1776" s="36"/>
      <c r="Z1776" s="37"/>
      <c r="AA1776" s="37"/>
      <c r="AB1776" s="35"/>
      <c r="AC1776" s="38"/>
      <c r="AD1776" s="36"/>
      <c r="AE1776" s="35"/>
      <c r="AF1776" s="36"/>
      <c r="AG1776" s="1"/>
    </row>
    <row r="1777" ht="21.0" customHeight="1">
      <c r="A1777" s="1"/>
      <c r="B1777" s="39" t="s">
        <v>24</v>
      </c>
      <c r="C1777" s="40"/>
      <c r="D1777" s="41"/>
      <c r="E1777" s="42" t="s">
        <v>25</v>
      </c>
      <c r="F1777" s="40"/>
      <c r="G1777" s="41"/>
      <c r="H1777" s="43" t="s">
        <v>26</v>
      </c>
      <c r="J1777" s="44" t="s">
        <v>27</v>
      </c>
      <c r="K1777" s="45" t="s">
        <v>28</v>
      </c>
      <c r="L1777" s="44" t="s">
        <v>27</v>
      </c>
      <c r="M1777" s="45" t="s">
        <v>28</v>
      </c>
      <c r="N1777" s="44" t="s">
        <v>27</v>
      </c>
      <c r="O1777" s="45" t="s">
        <v>28</v>
      </c>
      <c r="P1777" s="44" t="s">
        <v>27</v>
      </c>
      <c r="Q1777" s="45" t="s">
        <v>28</v>
      </c>
      <c r="R1777" s="44" t="s">
        <v>27</v>
      </c>
      <c r="S1777" s="45" t="s">
        <v>28</v>
      </c>
      <c r="T1777" s="44" t="s">
        <v>27</v>
      </c>
      <c r="U1777" s="45" t="s">
        <v>28</v>
      </c>
      <c r="V1777" s="44" t="s">
        <v>27</v>
      </c>
      <c r="W1777" s="45" t="s">
        <v>28</v>
      </c>
      <c r="X1777" s="44" t="s">
        <v>27</v>
      </c>
      <c r="Y1777" s="45" t="s">
        <v>28</v>
      </c>
      <c r="Z1777" s="46"/>
      <c r="AA1777" s="46"/>
      <c r="AB1777" s="121" t="s">
        <v>29</v>
      </c>
      <c r="AC1777" s="122" t="s">
        <v>30</v>
      </c>
      <c r="AD1777" s="123" t="s">
        <v>31</v>
      </c>
      <c r="AE1777" s="121" t="s">
        <v>27</v>
      </c>
      <c r="AF1777" s="123" t="s">
        <v>28</v>
      </c>
      <c r="AG1777" s="1"/>
    </row>
    <row r="1778" ht="21.0" customHeight="1">
      <c r="A1778" s="1"/>
      <c r="B1778" s="48" t="s">
        <v>32</v>
      </c>
      <c r="C1778" s="49"/>
      <c r="D1778" s="50"/>
      <c r="E1778" s="51" t="s">
        <v>33</v>
      </c>
      <c r="F1778" s="52" t="s">
        <v>34</v>
      </c>
      <c r="G1778" s="53"/>
      <c r="H1778" s="148"/>
      <c r="I1778" s="55"/>
      <c r="J1778" s="58"/>
      <c r="K1778" s="59"/>
      <c r="L1778" s="58"/>
      <c r="M1778" s="59"/>
      <c r="N1778" s="58"/>
      <c r="O1778" s="59"/>
      <c r="P1778" s="58"/>
      <c r="Q1778" s="59"/>
      <c r="R1778" s="58"/>
      <c r="S1778" s="59"/>
      <c r="T1778" s="58"/>
      <c r="U1778" s="59"/>
      <c r="V1778" s="58"/>
      <c r="W1778" s="59"/>
      <c r="X1778" s="58"/>
      <c r="Y1778" s="59"/>
      <c r="Z1778" s="60" t="b">
        <v>0</v>
      </c>
      <c r="AA1778" s="125">
        <f t="shared" ref="AA1778:AA1786" si="709">(J1778*K1778+L1778*M1778+N1778*O1778+P1778*Q1778+R1778*S1778+T1778*U1778+V1778*W1778+X1778*Y1778)*if(Z1778=true,0.453592,1)</f>
        <v>0</v>
      </c>
      <c r="AB1778" s="126">
        <f t="shared" ref="AB1778:AB1786" si="710">SUM(AE1778*AF1778*0.025,AE1778)</f>
        <v>0</v>
      </c>
      <c r="AC1778" s="127">
        <f t="shared" ref="AC1778:AC1786" si="711">AB1778*87%</f>
        <v>0</v>
      </c>
      <c r="AD1778" s="128">
        <f t="shared" ref="AD1778:AD1786" si="712">AB1778*67%</f>
        <v>0</v>
      </c>
      <c r="AE1778" s="126">
        <f t="shared" ref="AE1778:AE1786" si="713">MAX(J1778,L1778,N1778,P1778,R1778,T1778,V1778,X1778)*if(Z1778=true,0.453592,1)</f>
        <v>0</v>
      </c>
      <c r="AF1778" s="128">
        <f t="shared" ref="AF1778:AF1786" si="714">MAX(IF(J1778*if(Z1778=true,0.453592,1)=$AE1778,K1778,0),IF(L1778*if(Z1778=true,0.453592,1)=$AE1778,M1778,0),IF(N1778*if(Z1778=true,0.453592,1)=$AE1778,O1778,0),IF(P1778*if(Z1778=true,0.453592,1)=$AE1778,Q1778,0),IF(R1778*if(Z1778=true,0.453592,1)=$AE1778,S1778,0),IF(T1778*if(Z1778=true,0.453592,1)=$AE1778,U1778,0),IF(V1778*if(Z1778=true,0.453592,1)=$AE1778,W1778,0),IF(X1778*if(Z1778=true,0.453592,1)=$AE1778,Y1778,0))</f>
        <v>0</v>
      </c>
      <c r="AG1778" s="1"/>
    </row>
    <row r="1779" ht="21.0" customHeight="1">
      <c r="A1779" s="1"/>
      <c r="B1779" s="48" t="s">
        <v>36</v>
      </c>
      <c r="C1779" s="49"/>
      <c r="D1779" s="65"/>
      <c r="E1779" s="66"/>
      <c r="F1779" s="52" t="s">
        <v>37</v>
      </c>
      <c r="G1779" s="67"/>
      <c r="H1779" s="129"/>
      <c r="I1779" s="69"/>
      <c r="J1779" s="72"/>
      <c r="K1779" s="73"/>
      <c r="L1779" s="72"/>
      <c r="M1779" s="73"/>
      <c r="N1779" s="72"/>
      <c r="O1779" s="73"/>
      <c r="P1779" s="72"/>
      <c r="Q1779" s="73"/>
      <c r="R1779" s="72"/>
      <c r="S1779" s="73"/>
      <c r="T1779" s="72"/>
      <c r="U1779" s="73"/>
      <c r="V1779" s="72"/>
      <c r="W1779" s="73"/>
      <c r="X1779" s="72"/>
      <c r="Y1779" s="73"/>
      <c r="Z1779" s="74" t="b">
        <v>0</v>
      </c>
      <c r="AA1779" s="130">
        <f t="shared" si="709"/>
        <v>0</v>
      </c>
      <c r="AB1779" s="131">
        <f t="shared" si="710"/>
        <v>0</v>
      </c>
      <c r="AC1779" s="132">
        <f t="shared" si="711"/>
        <v>0</v>
      </c>
      <c r="AD1779" s="133">
        <f t="shared" si="712"/>
        <v>0</v>
      </c>
      <c r="AE1779" s="131">
        <f t="shared" si="713"/>
        <v>0</v>
      </c>
      <c r="AF1779" s="133">
        <f t="shared" si="714"/>
        <v>0</v>
      </c>
      <c r="AG1779" s="1"/>
    </row>
    <row r="1780" ht="21.0" customHeight="1">
      <c r="A1780" s="1"/>
      <c r="B1780" s="48" t="s">
        <v>39</v>
      </c>
      <c r="C1780" s="49"/>
      <c r="D1780" s="65"/>
      <c r="E1780" s="41"/>
      <c r="F1780" s="52" t="s">
        <v>40</v>
      </c>
      <c r="G1780" s="79"/>
      <c r="H1780" s="80"/>
      <c r="I1780" s="69"/>
      <c r="J1780" s="72"/>
      <c r="K1780" s="73"/>
      <c r="L1780" s="72"/>
      <c r="M1780" s="73"/>
      <c r="N1780" s="72"/>
      <c r="O1780" s="73"/>
      <c r="P1780" s="72"/>
      <c r="Q1780" s="73"/>
      <c r="R1780" s="72"/>
      <c r="S1780" s="73"/>
      <c r="T1780" s="72"/>
      <c r="U1780" s="73"/>
      <c r="V1780" s="72"/>
      <c r="W1780" s="73"/>
      <c r="X1780" s="72"/>
      <c r="Y1780" s="73"/>
      <c r="Z1780" s="74" t="b">
        <v>0</v>
      </c>
      <c r="AA1780" s="130">
        <f t="shared" si="709"/>
        <v>0</v>
      </c>
      <c r="AB1780" s="131">
        <f t="shared" si="710"/>
        <v>0</v>
      </c>
      <c r="AC1780" s="132">
        <f t="shared" si="711"/>
        <v>0</v>
      </c>
      <c r="AD1780" s="133">
        <f t="shared" si="712"/>
        <v>0</v>
      </c>
      <c r="AE1780" s="131">
        <f t="shared" si="713"/>
        <v>0</v>
      </c>
      <c r="AF1780" s="133">
        <f t="shared" si="714"/>
        <v>0</v>
      </c>
      <c r="AG1780" s="1"/>
    </row>
    <row r="1781" ht="21.0" customHeight="1">
      <c r="A1781" s="1"/>
      <c r="B1781" s="48" t="s">
        <v>41</v>
      </c>
      <c r="C1781" s="81"/>
      <c r="D1781" s="82" t="b">
        <v>0</v>
      </c>
      <c r="E1781" s="51" t="s">
        <v>42</v>
      </c>
      <c r="F1781" s="52" t="s">
        <v>34</v>
      </c>
      <c r="G1781" s="83"/>
      <c r="H1781" s="84"/>
      <c r="I1781" s="85"/>
      <c r="J1781" s="72"/>
      <c r="K1781" s="73"/>
      <c r="L1781" s="72"/>
      <c r="M1781" s="73"/>
      <c r="N1781" s="72"/>
      <c r="O1781" s="73"/>
      <c r="P1781" s="72"/>
      <c r="Q1781" s="73"/>
      <c r="R1781" s="72"/>
      <c r="S1781" s="73"/>
      <c r="T1781" s="72"/>
      <c r="U1781" s="73"/>
      <c r="V1781" s="72"/>
      <c r="W1781" s="73"/>
      <c r="X1781" s="72"/>
      <c r="Y1781" s="73"/>
      <c r="Z1781" s="74" t="b">
        <v>0</v>
      </c>
      <c r="AA1781" s="130">
        <f t="shared" si="709"/>
        <v>0</v>
      </c>
      <c r="AB1781" s="131">
        <f t="shared" si="710"/>
        <v>0</v>
      </c>
      <c r="AC1781" s="132">
        <f t="shared" si="711"/>
        <v>0</v>
      </c>
      <c r="AD1781" s="133">
        <f t="shared" si="712"/>
        <v>0</v>
      </c>
      <c r="AE1781" s="131">
        <f t="shared" si="713"/>
        <v>0</v>
      </c>
      <c r="AF1781" s="133">
        <f t="shared" si="714"/>
        <v>0</v>
      </c>
      <c r="AG1781" s="1"/>
    </row>
    <row r="1782" ht="21.0" customHeight="1">
      <c r="A1782" s="1"/>
      <c r="B1782" s="48" t="s">
        <v>43</v>
      </c>
      <c r="C1782" s="49"/>
      <c r="D1782" s="86" t="b">
        <v>0</v>
      </c>
      <c r="E1782" s="66"/>
      <c r="F1782" s="52" t="s">
        <v>37</v>
      </c>
      <c r="G1782" s="67"/>
      <c r="H1782" s="80"/>
      <c r="I1782" s="69"/>
      <c r="J1782" s="72"/>
      <c r="K1782" s="73"/>
      <c r="L1782" s="72"/>
      <c r="M1782" s="73"/>
      <c r="N1782" s="72"/>
      <c r="O1782" s="73"/>
      <c r="P1782" s="72"/>
      <c r="Q1782" s="73"/>
      <c r="R1782" s="72"/>
      <c r="S1782" s="73"/>
      <c r="T1782" s="72"/>
      <c r="U1782" s="73"/>
      <c r="V1782" s="72"/>
      <c r="W1782" s="73"/>
      <c r="X1782" s="72"/>
      <c r="Y1782" s="73"/>
      <c r="Z1782" s="74" t="b">
        <v>0</v>
      </c>
      <c r="AA1782" s="130">
        <f t="shared" si="709"/>
        <v>0</v>
      </c>
      <c r="AB1782" s="131">
        <f t="shared" si="710"/>
        <v>0</v>
      </c>
      <c r="AC1782" s="132">
        <f t="shared" si="711"/>
        <v>0</v>
      </c>
      <c r="AD1782" s="133">
        <f t="shared" si="712"/>
        <v>0</v>
      </c>
      <c r="AE1782" s="131">
        <f t="shared" si="713"/>
        <v>0</v>
      </c>
      <c r="AF1782" s="133">
        <f t="shared" si="714"/>
        <v>0</v>
      </c>
      <c r="AG1782" s="1"/>
    </row>
    <row r="1783" ht="21.0" customHeight="1">
      <c r="A1783" s="1"/>
      <c r="B1783" s="87" t="str">
        <f t="array" ref="B1783">"📌최근 인바디 결과 : "&amp;text(xlookup(B1775,'현황'!O:O,'현황'!O:O,,-1,-1),"m/d(ddd)")</f>
        <v>#REF!</v>
      </c>
      <c r="C1783" s="88"/>
      <c r="D1783" s="49"/>
      <c r="E1783" s="41"/>
      <c r="F1783" s="52" t="s">
        <v>40</v>
      </c>
      <c r="G1783" s="79"/>
      <c r="H1783" s="80"/>
      <c r="I1783" s="69"/>
      <c r="J1783" s="72"/>
      <c r="K1783" s="73"/>
      <c r="L1783" s="72"/>
      <c r="M1783" s="73"/>
      <c r="N1783" s="72"/>
      <c r="O1783" s="73"/>
      <c r="P1783" s="72"/>
      <c r="Q1783" s="73"/>
      <c r="R1783" s="72"/>
      <c r="S1783" s="73"/>
      <c r="T1783" s="72"/>
      <c r="U1783" s="73"/>
      <c r="V1783" s="72"/>
      <c r="W1783" s="73"/>
      <c r="X1783" s="72"/>
      <c r="Y1783" s="73"/>
      <c r="Z1783" s="74" t="b">
        <v>0</v>
      </c>
      <c r="AA1783" s="130">
        <f t="shared" si="709"/>
        <v>0</v>
      </c>
      <c r="AB1783" s="131">
        <f t="shared" si="710"/>
        <v>0</v>
      </c>
      <c r="AC1783" s="132">
        <f t="shared" si="711"/>
        <v>0</v>
      </c>
      <c r="AD1783" s="133">
        <f t="shared" si="712"/>
        <v>0</v>
      </c>
      <c r="AE1783" s="131">
        <f t="shared" si="713"/>
        <v>0</v>
      </c>
      <c r="AF1783" s="133">
        <f t="shared" si="714"/>
        <v>0</v>
      </c>
      <c r="AG1783" s="1"/>
    </row>
    <row r="1784" ht="21.0" customHeight="1">
      <c r="A1784" s="1"/>
      <c r="B1784" s="89" t="s">
        <v>44</v>
      </c>
      <c r="C1784" s="49"/>
      <c r="D1784" s="90">
        <f t="array" ref="D1784">iferror(vlookup(xlookup(B1775,'현황'!O:O,'현황'!O:O,,-1,-1),'현황'!O:S,2,false),0)</f>
        <v>0</v>
      </c>
      <c r="E1784" s="51" t="s">
        <v>45</v>
      </c>
      <c r="F1784" s="52" t="s">
        <v>34</v>
      </c>
      <c r="G1784" s="83"/>
      <c r="H1784" s="84"/>
      <c r="I1784" s="85"/>
      <c r="J1784" s="72"/>
      <c r="K1784" s="73"/>
      <c r="L1784" s="72"/>
      <c r="M1784" s="73"/>
      <c r="N1784" s="72"/>
      <c r="O1784" s="73"/>
      <c r="P1784" s="72"/>
      <c r="Q1784" s="73"/>
      <c r="R1784" s="72"/>
      <c r="S1784" s="73"/>
      <c r="T1784" s="72"/>
      <c r="U1784" s="73"/>
      <c r="V1784" s="72"/>
      <c r="W1784" s="73"/>
      <c r="X1784" s="72"/>
      <c r="Y1784" s="73"/>
      <c r="Z1784" s="74" t="b">
        <v>0</v>
      </c>
      <c r="AA1784" s="130">
        <f t="shared" si="709"/>
        <v>0</v>
      </c>
      <c r="AB1784" s="131">
        <f t="shared" si="710"/>
        <v>0</v>
      </c>
      <c r="AC1784" s="132">
        <f t="shared" si="711"/>
        <v>0</v>
      </c>
      <c r="AD1784" s="133">
        <f t="shared" si="712"/>
        <v>0</v>
      </c>
      <c r="AE1784" s="131">
        <f t="shared" si="713"/>
        <v>0</v>
      </c>
      <c r="AF1784" s="133">
        <f t="shared" si="714"/>
        <v>0</v>
      </c>
      <c r="AG1784" s="1"/>
    </row>
    <row r="1785" ht="21.0" customHeight="1">
      <c r="A1785" s="1"/>
      <c r="B1785" s="48" t="s">
        <v>46</v>
      </c>
      <c r="C1785" s="49"/>
      <c r="D1785" s="91">
        <f t="array" ref="D1785">iferror(vlookup(xlookup(B1775,'현황'!O:O,'현황'!O:O,,-1,-1),'현황'!O:S,3,false),0)</f>
        <v>0</v>
      </c>
      <c r="E1785" s="66"/>
      <c r="F1785" s="52" t="s">
        <v>37</v>
      </c>
      <c r="G1785" s="67"/>
      <c r="H1785" s="80"/>
      <c r="I1785" s="69"/>
      <c r="J1785" s="72"/>
      <c r="K1785" s="73"/>
      <c r="L1785" s="72"/>
      <c r="M1785" s="73"/>
      <c r="N1785" s="72"/>
      <c r="O1785" s="73"/>
      <c r="P1785" s="72"/>
      <c r="Q1785" s="73"/>
      <c r="R1785" s="72"/>
      <c r="S1785" s="73"/>
      <c r="T1785" s="72"/>
      <c r="U1785" s="73"/>
      <c r="V1785" s="72"/>
      <c r="W1785" s="73"/>
      <c r="X1785" s="72"/>
      <c r="Y1785" s="73"/>
      <c r="Z1785" s="74" t="b">
        <v>0</v>
      </c>
      <c r="AA1785" s="130">
        <f t="shared" si="709"/>
        <v>0</v>
      </c>
      <c r="AB1785" s="131">
        <f t="shared" si="710"/>
        <v>0</v>
      </c>
      <c r="AC1785" s="132">
        <f t="shared" si="711"/>
        <v>0</v>
      </c>
      <c r="AD1785" s="133">
        <f t="shared" si="712"/>
        <v>0</v>
      </c>
      <c r="AE1785" s="131">
        <f t="shared" si="713"/>
        <v>0</v>
      </c>
      <c r="AF1785" s="133">
        <f t="shared" si="714"/>
        <v>0</v>
      </c>
      <c r="AG1785" s="1"/>
    </row>
    <row r="1786" ht="21.0" customHeight="1">
      <c r="A1786" s="1"/>
      <c r="B1786" s="48" t="s">
        <v>47</v>
      </c>
      <c r="C1786" s="49"/>
      <c r="D1786" s="91">
        <f t="array" ref="D1786">iferror(vlookup(xlookup(B1775,'현황'!O:O,'현황'!O:O,,-1,-1),'현황'!O:S,4,false),0)</f>
        <v>0</v>
      </c>
      <c r="E1786" s="41"/>
      <c r="F1786" s="92" t="s">
        <v>40</v>
      </c>
      <c r="G1786" s="79"/>
      <c r="H1786" s="93"/>
      <c r="I1786" s="94"/>
      <c r="J1786" s="95"/>
      <c r="K1786" s="96"/>
      <c r="L1786" s="95"/>
      <c r="M1786" s="96"/>
      <c r="N1786" s="95"/>
      <c r="O1786" s="96"/>
      <c r="P1786" s="95"/>
      <c r="Q1786" s="96"/>
      <c r="R1786" s="95"/>
      <c r="S1786" s="96"/>
      <c r="T1786" s="95"/>
      <c r="U1786" s="96"/>
      <c r="V1786" s="95"/>
      <c r="W1786" s="96"/>
      <c r="X1786" s="95"/>
      <c r="Y1786" s="96"/>
      <c r="Z1786" s="97" t="b">
        <v>0</v>
      </c>
      <c r="AA1786" s="135">
        <f t="shared" si="709"/>
        <v>0</v>
      </c>
      <c r="AB1786" s="136">
        <f t="shared" si="710"/>
        <v>0</v>
      </c>
      <c r="AC1786" s="137">
        <f t="shared" si="711"/>
        <v>0</v>
      </c>
      <c r="AD1786" s="138">
        <f t="shared" si="712"/>
        <v>0</v>
      </c>
      <c r="AE1786" s="136">
        <f t="shared" si="713"/>
        <v>0</v>
      </c>
      <c r="AF1786" s="138">
        <f t="shared" si="714"/>
        <v>0</v>
      </c>
      <c r="AG1786" s="1"/>
    </row>
    <row r="1787" ht="21.0" customHeight="1">
      <c r="A1787" s="1"/>
      <c r="B1787" s="102" t="s">
        <v>48</v>
      </c>
      <c r="C1787" s="103"/>
      <c r="D1787" s="104">
        <f>iferror(D1786/D1784,0)</f>
        <v>0</v>
      </c>
      <c r="E1787" s="102" t="s">
        <v>49</v>
      </c>
      <c r="F1787" s="103"/>
      <c r="G1787" s="105"/>
      <c r="H1787" s="106" t="s">
        <v>50</v>
      </c>
      <c r="I1787" s="107"/>
      <c r="J1787" s="11"/>
      <c r="K1787" s="11"/>
      <c r="L1787" s="11"/>
      <c r="M1787" s="11"/>
      <c r="N1787" s="11"/>
      <c r="O1787" s="11"/>
      <c r="P1787" s="108" t="s">
        <v>51</v>
      </c>
      <c r="Q1787" s="12"/>
      <c r="R1787" s="109"/>
      <c r="S1787" s="11"/>
      <c r="T1787" s="11"/>
      <c r="U1787" s="11"/>
      <c r="V1787" s="11"/>
      <c r="W1787" s="11"/>
      <c r="X1787" s="11"/>
      <c r="Y1787" s="11"/>
      <c r="Z1787" s="12"/>
      <c r="AA1787" s="139">
        <f>SUM(AA1778:AA1786)</f>
        <v>0</v>
      </c>
      <c r="AB1787" s="140" t="s">
        <v>335</v>
      </c>
      <c r="AG1787" s="1"/>
    </row>
    <row r="1788" ht="21.0" customHeight="1">
      <c r="A1788" s="1"/>
      <c r="B1788" s="1"/>
      <c r="C1788" s="1"/>
      <c r="D1788" s="1"/>
      <c r="E1788" s="1"/>
      <c r="F1788" s="1"/>
      <c r="G1788" s="1"/>
      <c r="H1788" s="1"/>
      <c r="I1788" s="1"/>
      <c r="AA1788" s="1"/>
      <c r="AB1788" s="1"/>
      <c r="AC1788" s="3"/>
      <c r="AD1788" s="1"/>
      <c r="AE1788" s="1"/>
      <c r="AF1788" s="1"/>
      <c r="AG1788" s="1"/>
    </row>
    <row r="1789" ht="21.0" customHeight="1">
      <c r="A1789" s="1"/>
      <c r="B1789" s="4" t="s">
        <v>1</v>
      </c>
      <c r="C1789" s="5"/>
      <c r="D1789" s="6" t="s">
        <v>2</v>
      </c>
      <c r="E1789" s="7"/>
      <c r="F1789" s="7"/>
      <c r="G1789" s="5"/>
      <c r="H1789" s="8" t="s">
        <v>3</v>
      </c>
      <c r="I1789" s="8" t="s">
        <v>4</v>
      </c>
      <c r="J1789" s="9" t="s">
        <v>5</v>
      </c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5"/>
      <c r="AA1789" s="117" t="s">
        <v>6</v>
      </c>
      <c r="AB1789" s="11"/>
      <c r="AC1789" s="11"/>
      <c r="AD1789" s="11"/>
      <c r="AE1789" s="11"/>
      <c r="AF1789" s="12"/>
      <c r="AG1789" s="1"/>
    </row>
    <row r="1790" ht="21.0" customHeight="1">
      <c r="A1790" s="1"/>
      <c r="B1790" s="149" t="s">
        <v>138</v>
      </c>
      <c r="C1790" s="14" t="str">
        <f>if(B1790="0/0","",choose(weekday(B1790),"(일)","(월)","(화)","(수)","(목)","(금)","(토)"))</f>
        <v/>
      </c>
      <c r="D1790" s="15" t="s">
        <v>7</v>
      </c>
      <c r="E1790" s="16" t="s">
        <v>8</v>
      </c>
      <c r="F1790" s="17"/>
      <c r="G1790" s="18" t="s">
        <v>9</v>
      </c>
      <c r="H1790" s="150" t="s">
        <v>139</v>
      </c>
      <c r="I1790" s="151"/>
      <c r="J1790" s="21" t="s">
        <v>12</v>
      </c>
      <c r="K1790" s="22"/>
      <c r="L1790" s="21" t="s">
        <v>13</v>
      </c>
      <c r="M1790" s="22"/>
      <c r="N1790" s="21" t="s">
        <v>14</v>
      </c>
      <c r="O1790" s="22"/>
      <c r="P1790" s="21" t="s">
        <v>15</v>
      </c>
      <c r="Q1790" s="22"/>
      <c r="R1790" s="23" t="s">
        <v>16</v>
      </c>
      <c r="S1790" s="22"/>
      <c r="T1790" s="23" t="s">
        <v>17</v>
      </c>
      <c r="U1790" s="22"/>
      <c r="V1790" s="23" t="s">
        <v>18</v>
      </c>
      <c r="W1790" s="22"/>
      <c r="X1790" s="23" t="s">
        <v>19</v>
      </c>
      <c r="Y1790" s="22"/>
      <c r="Z1790" s="24" t="s">
        <v>336</v>
      </c>
      <c r="AA1790" s="118" t="s">
        <v>21</v>
      </c>
      <c r="AB1790" s="119" t="s">
        <v>22</v>
      </c>
      <c r="AC1790" s="7"/>
      <c r="AD1790" s="22"/>
      <c r="AE1790" s="120" t="s">
        <v>23</v>
      </c>
      <c r="AF1790" s="22"/>
      <c r="AG1790" s="1"/>
    </row>
    <row r="1791" ht="21.0" customHeight="1">
      <c r="A1791" s="1"/>
      <c r="B1791" s="27">
        <f>iferror(B1790-'현황'!$C$4+1,0)</f>
        <v>0</v>
      </c>
      <c r="C1791" s="28"/>
      <c r="D1791" s="29">
        <v>0.0</v>
      </c>
      <c r="E1791" s="30">
        <v>0.0</v>
      </c>
      <c r="F1791" s="31"/>
      <c r="G1791" s="32">
        <v>0.0</v>
      </c>
      <c r="H1791" s="33">
        <v>0.0</v>
      </c>
      <c r="I1791" s="34"/>
      <c r="J1791" s="35"/>
      <c r="K1791" s="36"/>
      <c r="L1791" s="35"/>
      <c r="M1791" s="36"/>
      <c r="N1791" s="35"/>
      <c r="O1791" s="36"/>
      <c r="P1791" s="35"/>
      <c r="Q1791" s="36"/>
      <c r="R1791" s="35"/>
      <c r="S1791" s="36"/>
      <c r="T1791" s="35"/>
      <c r="U1791" s="36"/>
      <c r="V1791" s="35"/>
      <c r="W1791" s="36"/>
      <c r="X1791" s="35"/>
      <c r="Y1791" s="36"/>
      <c r="Z1791" s="37"/>
      <c r="AA1791" s="37"/>
      <c r="AB1791" s="35"/>
      <c r="AC1791" s="38"/>
      <c r="AD1791" s="36"/>
      <c r="AE1791" s="35"/>
      <c r="AF1791" s="36"/>
      <c r="AG1791" s="1"/>
    </row>
    <row r="1792" ht="21.0" customHeight="1">
      <c r="A1792" s="1"/>
      <c r="B1792" s="39" t="s">
        <v>24</v>
      </c>
      <c r="C1792" s="40"/>
      <c r="D1792" s="41"/>
      <c r="E1792" s="42" t="s">
        <v>25</v>
      </c>
      <c r="F1792" s="40"/>
      <c r="G1792" s="41"/>
      <c r="H1792" s="43" t="s">
        <v>26</v>
      </c>
      <c r="J1792" s="44" t="s">
        <v>27</v>
      </c>
      <c r="K1792" s="45" t="s">
        <v>28</v>
      </c>
      <c r="L1792" s="44" t="s">
        <v>27</v>
      </c>
      <c r="M1792" s="45" t="s">
        <v>28</v>
      </c>
      <c r="N1792" s="44" t="s">
        <v>27</v>
      </c>
      <c r="O1792" s="45" t="s">
        <v>28</v>
      </c>
      <c r="P1792" s="44" t="s">
        <v>27</v>
      </c>
      <c r="Q1792" s="45" t="s">
        <v>28</v>
      </c>
      <c r="R1792" s="44" t="s">
        <v>27</v>
      </c>
      <c r="S1792" s="45" t="s">
        <v>28</v>
      </c>
      <c r="T1792" s="44" t="s">
        <v>27</v>
      </c>
      <c r="U1792" s="45" t="s">
        <v>28</v>
      </c>
      <c r="V1792" s="44" t="s">
        <v>27</v>
      </c>
      <c r="W1792" s="45" t="s">
        <v>28</v>
      </c>
      <c r="X1792" s="44" t="s">
        <v>27</v>
      </c>
      <c r="Y1792" s="45" t="s">
        <v>28</v>
      </c>
      <c r="Z1792" s="46"/>
      <c r="AA1792" s="46"/>
      <c r="AB1792" s="121" t="s">
        <v>29</v>
      </c>
      <c r="AC1792" s="122" t="s">
        <v>30</v>
      </c>
      <c r="AD1792" s="123" t="s">
        <v>31</v>
      </c>
      <c r="AE1792" s="121" t="s">
        <v>27</v>
      </c>
      <c r="AF1792" s="123" t="s">
        <v>28</v>
      </c>
      <c r="AG1792" s="1"/>
    </row>
    <row r="1793" ht="21.0" customHeight="1">
      <c r="A1793" s="1"/>
      <c r="B1793" s="48" t="s">
        <v>32</v>
      </c>
      <c r="C1793" s="49"/>
      <c r="D1793" s="50"/>
      <c r="E1793" s="51" t="s">
        <v>33</v>
      </c>
      <c r="F1793" s="52" t="s">
        <v>34</v>
      </c>
      <c r="G1793" s="53"/>
      <c r="H1793" s="148"/>
      <c r="I1793" s="55"/>
      <c r="J1793" s="58"/>
      <c r="K1793" s="59"/>
      <c r="L1793" s="58"/>
      <c r="M1793" s="59"/>
      <c r="N1793" s="58"/>
      <c r="O1793" s="59"/>
      <c r="P1793" s="58"/>
      <c r="Q1793" s="59"/>
      <c r="R1793" s="58"/>
      <c r="S1793" s="59"/>
      <c r="T1793" s="58"/>
      <c r="U1793" s="59"/>
      <c r="V1793" s="58"/>
      <c r="W1793" s="59"/>
      <c r="X1793" s="58"/>
      <c r="Y1793" s="59"/>
      <c r="Z1793" s="60" t="b">
        <v>0</v>
      </c>
      <c r="AA1793" s="125">
        <f t="shared" ref="AA1793:AA1801" si="715">(J1793*K1793+L1793*M1793+N1793*O1793+P1793*Q1793+R1793*S1793+T1793*U1793+V1793*W1793+X1793*Y1793)*if(Z1793=true,0.453592,1)</f>
        <v>0</v>
      </c>
      <c r="AB1793" s="126">
        <f t="shared" ref="AB1793:AB1801" si="716">SUM(AE1793*AF1793*0.025,AE1793)</f>
        <v>0</v>
      </c>
      <c r="AC1793" s="127">
        <f t="shared" ref="AC1793:AC1801" si="717">AB1793*87%</f>
        <v>0</v>
      </c>
      <c r="AD1793" s="128">
        <f t="shared" ref="AD1793:AD1801" si="718">AB1793*67%</f>
        <v>0</v>
      </c>
      <c r="AE1793" s="126">
        <f t="shared" ref="AE1793:AE1801" si="719">MAX(J1793,L1793,N1793,P1793,R1793,T1793,V1793,X1793)*if(Z1793=true,0.453592,1)</f>
        <v>0</v>
      </c>
      <c r="AF1793" s="128">
        <f t="shared" ref="AF1793:AF1801" si="720">MAX(IF(J1793*if(Z1793=true,0.453592,1)=$AE1793,K1793,0),IF(L1793*if(Z1793=true,0.453592,1)=$AE1793,M1793,0),IF(N1793*if(Z1793=true,0.453592,1)=$AE1793,O1793,0),IF(P1793*if(Z1793=true,0.453592,1)=$AE1793,Q1793,0),IF(R1793*if(Z1793=true,0.453592,1)=$AE1793,S1793,0),IF(T1793*if(Z1793=true,0.453592,1)=$AE1793,U1793,0),IF(V1793*if(Z1793=true,0.453592,1)=$AE1793,W1793,0),IF(X1793*if(Z1793=true,0.453592,1)=$AE1793,Y1793,0))</f>
        <v>0</v>
      </c>
      <c r="AG1793" s="1"/>
    </row>
    <row r="1794" ht="21.0" customHeight="1">
      <c r="A1794" s="1"/>
      <c r="B1794" s="48" t="s">
        <v>36</v>
      </c>
      <c r="C1794" s="49"/>
      <c r="D1794" s="65"/>
      <c r="E1794" s="66"/>
      <c r="F1794" s="52" t="s">
        <v>37</v>
      </c>
      <c r="G1794" s="67"/>
      <c r="H1794" s="129"/>
      <c r="I1794" s="69"/>
      <c r="J1794" s="72"/>
      <c r="K1794" s="73"/>
      <c r="L1794" s="72"/>
      <c r="M1794" s="73"/>
      <c r="N1794" s="72"/>
      <c r="O1794" s="73"/>
      <c r="P1794" s="72"/>
      <c r="Q1794" s="73"/>
      <c r="R1794" s="72"/>
      <c r="S1794" s="73"/>
      <c r="T1794" s="72"/>
      <c r="U1794" s="73"/>
      <c r="V1794" s="72"/>
      <c r="W1794" s="73"/>
      <c r="X1794" s="72"/>
      <c r="Y1794" s="73"/>
      <c r="Z1794" s="74" t="b">
        <v>0</v>
      </c>
      <c r="AA1794" s="130">
        <f t="shared" si="715"/>
        <v>0</v>
      </c>
      <c r="AB1794" s="131">
        <f t="shared" si="716"/>
        <v>0</v>
      </c>
      <c r="AC1794" s="132">
        <f t="shared" si="717"/>
        <v>0</v>
      </c>
      <c r="AD1794" s="133">
        <f t="shared" si="718"/>
        <v>0</v>
      </c>
      <c r="AE1794" s="131">
        <f t="shared" si="719"/>
        <v>0</v>
      </c>
      <c r="AF1794" s="133">
        <f t="shared" si="720"/>
        <v>0</v>
      </c>
      <c r="AG1794" s="1"/>
    </row>
    <row r="1795" ht="21.0" customHeight="1">
      <c r="A1795" s="1"/>
      <c r="B1795" s="48" t="s">
        <v>39</v>
      </c>
      <c r="C1795" s="49"/>
      <c r="D1795" s="65"/>
      <c r="E1795" s="41"/>
      <c r="F1795" s="52" t="s">
        <v>40</v>
      </c>
      <c r="G1795" s="79"/>
      <c r="H1795" s="80"/>
      <c r="I1795" s="69"/>
      <c r="J1795" s="72"/>
      <c r="K1795" s="73"/>
      <c r="L1795" s="72"/>
      <c r="M1795" s="73"/>
      <c r="N1795" s="72"/>
      <c r="O1795" s="73"/>
      <c r="P1795" s="72"/>
      <c r="Q1795" s="73"/>
      <c r="R1795" s="72"/>
      <c r="S1795" s="73"/>
      <c r="T1795" s="72"/>
      <c r="U1795" s="73"/>
      <c r="V1795" s="72"/>
      <c r="W1795" s="73"/>
      <c r="X1795" s="72"/>
      <c r="Y1795" s="73"/>
      <c r="Z1795" s="74" t="b">
        <v>0</v>
      </c>
      <c r="AA1795" s="130">
        <f t="shared" si="715"/>
        <v>0</v>
      </c>
      <c r="AB1795" s="131">
        <f t="shared" si="716"/>
        <v>0</v>
      </c>
      <c r="AC1795" s="132">
        <f t="shared" si="717"/>
        <v>0</v>
      </c>
      <c r="AD1795" s="133">
        <f t="shared" si="718"/>
        <v>0</v>
      </c>
      <c r="AE1795" s="131">
        <f t="shared" si="719"/>
        <v>0</v>
      </c>
      <c r="AF1795" s="133">
        <f t="shared" si="720"/>
        <v>0</v>
      </c>
      <c r="AG1795" s="1"/>
    </row>
    <row r="1796" ht="21.0" customHeight="1">
      <c r="A1796" s="1"/>
      <c r="B1796" s="48" t="s">
        <v>41</v>
      </c>
      <c r="C1796" s="81"/>
      <c r="D1796" s="82" t="b">
        <v>0</v>
      </c>
      <c r="E1796" s="51" t="s">
        <v>42</v>
      </c>
      <c r="F1796" s="52" t="s">
        <v>34</v>
      </c>
      <c r="G1796" s="83"/>
      <c r="H1796" s="84"/>
      <c r="I1796" s="85"/>
      <c r="J1796" s="72"/>
      <c r="K1796" s="73"/>
      <c r="L1796" s="72"/>
      <c r="M1796" s="73"/>
      <c r="N1796" s="72"/>
      <c r="O1796" s="73"/>
      <c r="P1796" s="72"/>
      <c r="Q1796" s="73"/>
      <c r="R1796" s="72"/>
      <c r="S1796" s="73"/>
      <c r="T1796" s="72"/>
      <c r="U1796" s="73"/>
      <c r="V1796" s="72"/>
      <c r="W1796" s="73"/>
      <c r="X1796" s="72"/>
      <c r="Y1796" s="73"/>
      <c r="Z1796" s="74" t="b">
        <v>0</v>
      </c>
      <c r="AA1796" s="130">
        <f t="shared" si="715"/>
        <v>0</v>
      </c>
      <c r="AB1796" s="131">
        <f t="shared" si="716"/>
        <v>0</v>
      </c>
      <c r="AC1796" s="132">
        <f t="shared" si="717"/>
        <v>0</v>
      </c>
      <c r="AD1796" s="133">
        <f t="shared" si="718"/>
        <v>0</v>
      </c>
      <c r="AE1796" s="131">
        <f t="shared" si="719"/>
        <v>0</v>
      </c>
      <c r="AF1796" s="133">
        <f t="shared" si="720"/>
        <v>0</v>
      </c>
      <c r="AG1796" s="1"/>
    </row>
    <row r="1797" ht="21.0" customHeight="1">
      <c r="A1797" s="1"/>
      <c r="B1797" s="48" t="s">
        <v>43</v>
      </c>
      <c r="C1797" s="49"/>
      <c r="D1797" s="86" t="b">
        <v>0</v>
      </c>
      <c r="E1797" s="66"/>
      <c r="F1797" s="52" t="s">
        <v>37</v>
      </c>
      <c r="G1797" s="67"/>
      <c r="H1797" s="80"/>
      <c r="I1797" s="69"/>
      <c r="J1797" s="72"/>
      <c r="K1797" s="73"/>
      <c r="L1797" s="72"/>
      <c r="M1797" s="73"/>
      <c r="N1797" s="72"/>
      <c r="O1797" s="73"/>
      <c r="P1797" s="72"/>
      <c r="Q1797" s="73"/>
      <c r="R1797" s="72"/>
      <c r="S1797" s="73"/>
      <c r="T1797" s="72"/>
      <c r="U1797" s="73"/>
      <c r="V1797" s="72"/>
      <c r="W1797" s="73"/>
      <c r="X1797" s="72"/>
      <c r="Y1797" s="73"/>
      <c r="Z1797" s="74" t="b">
        <v>0</v>
      </c>
      <c r="AA1797" s="130">
        <f t="shared" si="715"/>
        <v>0</v>
      </c>
      <c r="AB1797" s="131">
        <f t="shared" si="716"/>
        <v>0</v>
      </c>
      <c r="AC1797" s="132">
        <f t="shared" si="717"/>
        <v>0</v>
      </c>
      <c r="AD1797" s="133">
        <f t="shared" si="718"/>
        <v>0</v>
      </c>
      <c r="AE1797" s="131">
        <f t="shared" si="719"/>
        <v>0</v>
      </c>
      <c r="AF1797" s="133">
        <f t="shared" si="720"/>
        <v>0</v>
      </c>
      <c r="AG1797" s="1"/>
    </row>
    <row r="1798" ht="21.0" customHeight="1">
      <c r="A1798" s="1"/>
      <c r="B1798" s="87" t="str">
        <f t="array" ref="B1798">"📌최근 인바디 결과 : "&amp;text(xlookup(B1790,'현황'!O:O,'현황'!O:O,,-1,-1),"m/d(ddd)")</f>
        <v>#REF!</v>
      </c>
      <c r="C1798" s="88"/>
      <c r="D1798" s="49"/>
      <c r="E1798" s="41"/>
      <c r="F1798" s="52" t="s">
        <v>40</v>
      </c>
      <c r="G1798" s="79"/>
      <c r="H1798" s="80"/>
      <c r="I1798" s="69"/>
      <c r="J1798" s="72"/>
      <c r="K1798" s="73"/>
      <c r="L1798" s="72"/>
      <c r="M1798" s="73"/>
      <c r="N1798" s="72"/>
      <c r="O1798" s="73"/>
      <c r="P1798" s="72"/>
      <c r="Q1798" s="73"/>
      <c r="R1798" s="72"/>
      <c r="S1798" s="73"/>
      <c r="T1798" s="72"/>
      <c r="U1798" s="73"/>
      <c r="V1798" s="72"/>
      <c r="W1798" s="73"/>
      <c r="X1798" s="72"/>
      <c r="Y1798" s="73"/>
      <c r="Z1798" s="74" t="b">
        <v>0</v>
      </c>
      <c r="AA1798" s="130">
        <f t="shared" si="715"/>
        <v>0</v>
      </c>
      <c r="AB1798" s="131">
        <f t="shared" si="716"/>
        <v>0</v>
      </c>
      <c r="AC1798" s="132">
        <f t="shared" si="717"/>
        <v>0</v>
      </c>
      <c r="AD1798" s="133">
        <f t="shared" si="718"/>
        <v>0</v>
      </c>
      <c r="AE1798" s="131">
        <f t="shared" si="719"/>
        <v>0</v>
      </c>
      <c r="AF1798" s="133">
        <f t="shared" si="720"/>
        <v>0</v>
      </c>
      <c r="AG1798" s="1"/>
    </row>
    <row r="1799" ht="21.0" customHeight="1">
      <c r="A1799" s="1"/>
      <c r="B1799" s="89" t="s">
        <v>44</v>
      </c>
      <c r="C1799" s="49"/>
      <c r="D1799" s="90">
        <f t="array" ref="D1799">iferror(vlookup(xlookup(B1790,'현황'!O:O,'현황'!O:O,,-1,-1),'현황'!O:S,2,false),0)</f>
        <v>0</v>
      </c>
      <c r="E1799" s="51" t="s">
        <v>45</v>
      </c>
      <c r="F1799" s="52" t="s">
        <v>34</v>
      </c>
      <c r="G1799" s="83"/>
      <c r="H1799" s="84"/>
      <c r="I1799" s="85"/>
      <c r="J1799" s="72"/>
      <c r="K1799" s="73"/>
      <c r="L1799" s="72"/>
      <c r="M1799" s="73"/>
      <c r="N1799" s="72"/>
      <c r="O1799" s="73"/>
      <c r="P1799" s="72"/>
      <c r="Q1799" s="73"/>
      <c r="R1799" s="72"/>
      <c r="S1799" s="73"/>
      <c r="T1799" s="72"/>
      <c r="U1799" s="73"/>
      <c r="V1799" s="72"/>
      <c r="W1799" s="73"/>
      <c r="X1799" s="72"/>
      <c r="Y1799" s="73"/>
      <c r="Z1799" s="74" t="b">
        <v>0</v>
      </c>
      <c r="AA1799" s="130">
        <f t="shared" si="715"/>
        <v>0</v>
      </c>
      <c r="AB1799" s="131">
        <f t="shared" si="716"/>
        <v>0</v>
      </c>
      <c r="AC1799" s="132">
        <f t="shared" si="717"/>
        <v>0</v>
      </c>
      <c r="AD1799" s="133">
        <f t="shared" si="718"/>
        <v>0</v>
      </c>
      <c r="AE1799" s="131">
        <f t="shared" si="719"/>
        <v>0</v>
      </c>
      <c r="AF1799" s="133">
        <f t="shared" si="720"/>
        <v>0</v>
      </c>
      <c r="AG1799" s="1"/>
    </row>
    <row r="1800" ht="21.0" customHeight="1">
      <c r="A1800" s="1"/>
      <c r="B1800" s="48" t="s">
        <v>46</v>
      </c>
      <c r="C1800" s="49"/>
      <c r="D1800" s="91">
        <f t="array" ref="D1800">iferror(vlookup(xlookup(B1790,'현황'!O:O,'현황'!O:O,,-1,-1),'현황'!O:S,3,false),0)</f>
        <v>0</v>
      </c>
      <c r="E1800" s="66"/>
      <c r="F1800" s="52" t="s">
        <v>37</v>
      </c>
      <c r="G1800" s="67"/>
      <c r="H1800" s="80"/>
      <c r="I1800" s="69"/>
      <c r="J1800" s="72"/>
      <c r="K1800" s="73"/>
      <c r="L1800" s="72"/>
      <c r="M1800" s="73"/>
      <c r="N1800" s="72"/>
      <c r="O1800" s="73"/>
      <c r="P1800" s="72"/>
      <c r="Q1800" s="73"/>
      <c r="R1800" s="72"/>
      <c r="S1800" s="73"/>
      <c r="T1800" s="72"/>
      <c r="U1800" s="73"/>
      <c r="V1800" s="72"/>
      <c r="W1800" s="73"/>
      <c r="X1800" s="72"/>
      <c r="Y1800" s="73"/>
      <c r="Z1800" s="74" t="b">
        <v>0</v>
      </c>
      <c r="AA1800" s="130">
        <f t="shared" si="715"/>
        <v>0</v>
      </c>
      <c r="AB1800" s="131">
        <f t="shared" si="716"/>
        <v>0</v>
      </c>
      <c r="AC1800" s="132">
        <f t="shared" si="717"/>
        <v>0</v>
      </c>
      <c r="AD1800" s="133">
        <f t="shared" si="718"/>
        <v>0</v>
      </c>
      <c r="AE1800" s="131">
        <f t="shared" si="719"/>
        <v>0</v>
      </c>
      <c r="AF1800" s="133">
        <f t="shared" si="720"/>
        <v>0</v>
      </c>
      <c r="AG1800" s="1"/>
    </row>
    <row r="1801" ht="21.0" customHeight="1">
      <c r="A1801" s="1"/>
      <c r="B1801" s="48" t="s">
        <v>47</v>
      </c>
      <c r="C1801" s="49"/>
      <c r="D1801" s="91">
        <f t="array" ref="D1801">iferror(vlookup(xlookup(B1790,'현황'!O:O,'현황'!O:O,,-1,-1),'현황'!O:S,4,false),0)</f>
        <v>0</v>
      </c>
      <c r="E1801" s="41"/>
      <c r="F1801" s="92" t="s">
        <v>40</v>
      </c>
      <c r="G1801" s="79"/>
      <c r="H1801" s="93"/>
      <c r="I1801" s="94"/>
      <c r="J1801" s="95"/>
      <c r="K1801" s="96"/>
      <c r="L1801" s="95"/>
      <c r="M1801" s="96"/>
      <c r="N1801" s="95"/>
      <c r="O1801" s="96"/>
      <c r="P1801" s="95"/>
      <c r="Q1801" s="96"/>
      <c r="R1801" s="95"/>
      <c r="S1801" s="96"/>
      <c r="T1801" s="95"/>
      <c r="U1801" s="96"/>
      <c r="V1801" s="95"/>
      <c r="W1801" s="96"/>
      <c r="X1801" s="95"/>
      <c r="Y1801" s="96"/>
      <c r="Z1801" s="97" t="b">
        <v>0</v>
      </c>
      <c r="AA1801" s="135">
        <f t="shared" si="715"/>
        <v>0</v>
      </c>
      <c r="AB1801" s="136">
        <f t="shared" si="716"/>
        <v>0</v>
      </c>
      <c r="AC1801" s="137">
        <f t="shared" si="717"/>
        <v>0</v>
      </c>
      <c r="AD1801" s="138">
        <f t="shared" si="718"/>
        <v>0</v>
      </c>
      <c r="AE1801" s="136">
        <f t="shared" si="719"/>
        <v>0</v>
      </c>
      <c r="AF1801" s="138">
        <f t="shared" si="720"/>
        <v>0</v>
      </c>
      <c r="AG1801" s="1"/>
    </row>
    <row r="1802" ht="21.0" customHeight="1">
      <c r="A1802" s="1"/>
      <c r="B1802" s="102" t="s">
        <v>48</v>
      </c>
      <c r="C1802" s="103"/>
      <c r="D1802" s="104">
        <f>iferror(D1801/D1799,0)</f>
        <v>0</v>
      </c>
      <c r="E1802" s="102" t="s">
        <v>49</v>
      </c>
      <c r="F1802" s="103"/>
      <c r="G1802" s="105"/>
      <c r="H1802" s="143" t="s">
        <v>50</v>
      </c>
      <c r="I1802" s="144"/>
      <c r="J1802" s="11"/>
      <c r="K1802" s="11"/>
      <c r="L1802" s="11"/>
      <c r="M1802" s="11"/>
      <c r="N1802" s="11"/>
      <c r="O1802" s="11"/>
      <c r="P1802" s="145" t="s">
        <v>51</v>
      </c>
      <c r="Q1802" s="12"/>
      <c r="R1802" s="146"/>
      <c r="S1802" s="11"/>
      <c r="T1802" s="11"/>
      <c r="U1802" s="11"/>
      <c r="V1802" s="11"/>
      <c r="W1802" s="11"/>
      <c r="X1802" s="11"/>
      <c r="Y1802" s="11"/>
      <c r="Z1802" s="12"/>
      <c r="AA1802" s="139">
        <f>SUM(AA1793:AA1801)</f>
        <v>0</v>
      </c>
      <c r="AB1802" s="140" t="s">
        <v>337</v>
      </c>
      <c r="AG1802" s="1"/>
    </row>
    <row r="1803" ht="21.0" customHeight="1">
      <c r="A1803" s="1"/>
      <c r="B1803" s="1"/>
      <c r="C1803" s="1"/>
      <c r="D1803" s="1"/>
      <c r="E1803" s="1"/>
      <c r="F1803" s="1"/>
      <c r="G1803" s="1"/>
      <c r="H1803" s="1"/>
      <c r="I1803" s="1"/>
      <c r="AA1803" s="1"/>
      <c r="AB1803" s="1"/>
      <c r="AC1803" s="3"/>
      <c r="AD1803" s="1"/>
      <c r="AE1803" s="1"/>
      <c r="AF1803" s="1"/>
      <c r="AG1803" s="1"/>
    </row>
    <row r="1804" ht="21.0" customHeight="1">
      <c r="A1804" s="1"/>
      <c r="B1804" s="4" t="s">
        <v>1</v>
      </c>
      <c r="C1804" s="5"/>
      <c r="D1804" s="6" t="s">
        <v>2</v>
      </c>
      <c r="E1804" s="7"/>
      <c r="F1804" s="7"/>
      <c r="G1804" s="5"/>
      <c r="H1804" s="8" t="s">
        <v>3</v>
      </c>
      <c r="I1804" s="8" t="s">
        <v>4</v>
      </c>
      <c r="J1804" s="9" t="s">
        <v>5</v>
      </c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5"/>
      <c r="AA1804" s="117" t="s">
        <v>6</v>
      </c>
      <c r="AB1804" s="11"/>
      <c r="AC1804" s="11"/>
      <c r="AD1804" s="11"/>
      <c r="AE1804" s="11"/>
      <c r="AF1804" s="12"/>
      <c r="AG1804" s="1"/>
    </row>
    <row r="1805" ht="21.0" customHeight="1">
      <c r="A1805" s="1"/>
      <c r="B1805" s="149" t="s">
        <v>138</v>
      </c>
      <c r="C1805" s="14" t="str">
        <f>if(B1805="0/0","",choose(weekday(B1805),"(일)","(월)","(화)","(수)","(목)","(금)","(토)"))</f>
        <v/>
      </c>
      <c r="D1805" s="15" t="s">
        <v>7</v>
      </c>
      <c r="E1805" s="16" t="s">
        <v>8</v>
      </c>
      <c r="F1805" s="17"/>
      <c r="G1805" s="18" t="s">
        <v>9</v>
      </c>
      <c r="H1805" s="150" t="s">
        <v>139</v>
      </c>
      <c r="I1805" s="151"/>
      <c r="J1805" s="21" t="s">
        <v>12</v>
      </c>
      <c r="K1805" s="22"/>
      <c r="L1805" s="21" t="s">
        <v>13</v>
      </c>
      <c r="M1805" s="22"/>
      <c r="N1805" s="21" t="s">
        <v>14</v>
      </c>
      <c r="O1805" s="22"/>
      <c r="P1805" s="21" t="s">
        <v>15</v>
      </c>
      <c r="Q1805" s="22"/>
      <c r="R1805" s="23" t="s">
        <v>16</v>
      </c>
      <c r="S1805" s="22"/>
      <c r="T1805" s="23" t="s">
        <v>17</v>
      </c>
      <c r="U1805" s="22"/>
      <c r="V1805" s="23" t="s">
        <v>18</v>
      </c>
      <c r="W1805" s="22"/>
      <c r="X1805" s="23" t="s">
        <v>19</v>
      </c>
      <c r="Y1805" s="22"/>
      <c r="Z1805" s="24" t="s">
        <v>338</v>
      </c>
      <c r="AA1805" s="118" t="s">
        <v>21</v>
      </c>
      <c r="AB1805" s="119" t="s">
        <v>22</v>
      </c>
      <c r="AC1805" s="7"/>
      <c r="AD1805" s="22"/>
      <c r="AE1805" s="120" t="s">
        <v>23</v>
      </c>
      <c r="AF1805" s="22"/>
      <c r="AG1805" s="1"/>
    </row>
    <row r="1806" ht="21.0" customHeight="1">
      <c r="A1806" s="1"/>
      <c r="B1806" s="27">
        <f>iferror(B1805-'현황'!$C$4+1,0)</f>
        <v>0</v>
      </c>
      <c r="C1806" s="28"/>
      <c r="D1806" s="29">
        <v>0.0</v>
      </c>
      <c r="E1806" s="30">
        <v>0.0</v>
      </c>
      <c r="F1806" s="31"/>
      <c r="G1806" s="32">
        <v>0.0</v>
      </c>
      <c r="H1806" s="33">
        <v>0.0</v>
      </c>
      <c r="I1806" s="34"/>
      <c r="J1806" s="35"/>
      <c r="K1806" s="36"/>
      <c r="L1806" s="35"/>
      <c r="M1806" s="36"/>
      <c r="N1806" s="35"/>
      <c r="O1806" s="36"/>
      <c r="P1806" s="35"/>
      <c r="Q1806" s="36"/>
      <c r="R1806" s="35"/>
      <c r="S1806" s="36"/>
      <c r="T1806" s="35"/>
      <c r="U1806" s="36"/>
      <c r="V1806" s="35"/>
      <c r="W1806" s="36"/>
      <c r="X1806" s="35"/>
      <c r="Y1806" s="36"/>
      <c r="Z1806" s="37"/>
      <c r="AA1806" s="37"/>
      <c r="AB1806" s="35"/>
      <c r="AC1806" s="38"/>
      <c r="AD1806" s="36"/>
      <c r="AE1806" s="35"/>
      <c r="AF1806" s="36"/>
      <c r="AG1806" s="1"/>
    </row>
    <row r="1807" ht="21.0" customHeight="1">
      <c r="A1807" s="1"/>
      <c r="B1807" s="39" t="s">
        <v>24</v>
      </c>
      <c r="C1807" s="40"/>
      <c r="D1807" s="41"/>
      <c r="E1807" s="42" t="s">
        <v>25</v>
      </c>
      <c r="F1807" s="40"/>
      <c r="G1807" s="41"/>
      <c r="H1807" s="43" t="s">
        <v>26</v>
      </c>
      <c r="J1807" s="44" t="s">
        <v>27</v>
      </c>
      <c r="K1807" s="45" t="s">
        <v>28</v>
      </c>
      <c r="L1807" s="44" t="s">
        <v>27</v>
      </c>
      <c r="M1807" s="45" t="s">
        <v>28</v>
      </c>
      <c r="N1807" s="44" t="s">
        <v>27</v>
      </c>
      <c r="O1807" s="45" t="s">
        <v>28</v>
      </c>
      <c r="P1807" s="44" t="s">
        <v>27</v>
      </c>
      <c r="Q1807" s="45" t="s">
        <v>28</v>
      </c>
      <c r="R1807" s="44" t="s">
        <v>27</v>
      </c>
      <c r="S1807" s="45" t="s">
        <v>28</v>
      </c>
      <c r="T1807" s="44" t="s">
        <v>27</v>
      </c>
      <c r="U1807" s="45" t="s">
        <v>28</v>
      </c>
      <c r="V1807" s="44" t="s">
        <v>27</v>
      </c>
      <c r="W1807" s="45" t="s">
        <v>28</v>
      </c>
      <c r="X1807" s="44" t="s">
        <v>27</v>
      </c>
      <c r="Y1807" s="45" t="s">
        <v>28</v>
      </c>
      <c r="Z1807" s="46"/>
      <c r="AA1807" s="46"/>
      <c r="AB1807" s="121" t="s">
        <v>29</v>
      </c>
      <c r="AC1807" s="122" t="s">
        <v>30</v>
      </c>
      <c r="AD1807" s="123" t="s">
        <v>31</v>
      </c>
      <c r="AE1807" s="121" t="s">
        <v>27</v>
      </c>
      <c r="AF1807" s="123" t="s">
        <v>28</v>
      </c>
      <c r="AG1807" s="1"/>
    </row>
    <row r="1808" ht="21.0" customHeight="1">
      <c r="A1808" s="1"/>
      <c r="B1808" s="48" t="s">
        <v>32</v>
      </c>
      <c r="C1808" s="49"/>
      <c r="D1808" s="50"/>
      <c r="E1808" s="51" t="s">
        <v>33</v>
      </c>
      <c r="F1808" s="52" t="s">
        <v>34</v>
      </c>
      <c r="G1808" s="53"/>
      <c r="H1808" s="148"/>
      <c r="I1808" s="55"/>
      <c r="J1808" s="58"/>
      <c r="K1808" s="59"/>
      <c r="L1808" s="58"/>
      <c r="M1808" s="59"/>
      <c r="N1808" s="58"/>
      <c r="O1808" s="59"/>
      <c r="P1808" s="58"/>
      <c r="Q1808" s="59"/>
      <c r="R1808" s="58"/>
      <c r="S1808" s="59"/>
      <c r="T1808" s="58"/>
      <c r="U1808" s="59"/>
      <c r="V1808" s="58"/>
      <c r="W1808" s="59"/>
      <c r="X1808" s="58"/>
      <c r="Y1808" s="59"/>
      <c r="Z1808" s="60" t="b">
        <v>0</v>
      </c>
      <c r="AA1808" s="125">
        <f t="shared" ref="AA1808:AA1816" si="721">(J1808*K1808+L1808*M1808+N1808*O1808+P1808*Q1808+R1808*S1808+T1808*U1808+V1808*W1808+X1808*Y1808)*if(Z1808=true,0.453592,1)</f>
        <v>0</v>
      </c>
      <c r="AB1808" s="126">
        <f t="shared" ref="AB1808:AB1816" si="722">SUM(AE1808*AF1808*0.025,AE1808)</f>
        <v>0</v>
      </c>
      <c r="AC1808" s="127">
        <f t="shared" ref="AC1808:AC1816" si="723">AB1808*87%</f>
        <v>0</v>
      </c>
      <c r="AD1808" s="128">
        <f t="shared" ref="AD1808:AD1816" si="724">AB1808*67%</f>
        <v>0</v>
      </c>
      <c r="AE1808" s="126">
        <f t="shared" ref="AE1808:AE1816" si="725">MAX(J1808,L1808,N1808,P1808,R1808,T1808,V1808,X1808)*if(Z1808=true,0.453592,1)</f>
        <v>0</v>
      </c>
      <c r="AF1808" s="128">
        <f t="shared" ref="AF1808:AF1816" si="726">MAX(IF(J1808*if(Z1808=true,0.453592,1)=$AE1808,K1808,0),IF(L1808*if(Z1808=true,0.453592,1)=$AE1808,M1808,0),IF(N1808*if(Z1808=true,0.453592,1)=$AE1808,O1808,0),IF(P1808*if(Z1808=true,0.453592,1)=$AE1808,Q1808,0),IF(R1808*if(Z1808=true,0.453592,1)=$AE1808,S1808,0),IF(T1808*if(Z1808=true,0.453592,1)=$AE1808,U1808,0),IF(V1808*if(Z1808=true,0.453592,1)=$AE1808,W1808,0),IF(X1808*if(Z1808=true,0.453592,1)=$AE1808,Y1808,0))</f>
        <v>0</v>
      </c>
      <c r="AG1808" s="1"/>
    </row>
    <row r="1809" ht="21.0" customHeight="1">
      <c r="A1809" s="1"/>
      <c r="B1809" s="48" t="s">
        <v>36</v>
      </c>
      <c r="C1809" s="49"/>
      <c r="D1809" s="65"/>
      <c r="E1809" s="66"/>
      <c r="F1809" s="52" t="s">
        <v>37</v>
      </c>
      <c r="G1809" s="67"/>
      <c r="H1809" s="129"/>
      <c r="I1809" s="69"/>
      <c r="J1809" s="72"/>
      <c r="K1809" s="73"/>
      <c r="L1809" s="72"/>
      <c r="M1809" s="73"/>
      <c r="N1809" s="72"/>
      <c r="O1809" s="73"/>
      <c r="P1809" s="72"/>
      <c r="Q1809" s="73"/>
      <c r="R1809" s="72"/>
      <c r="S1809" s="73"/>
      <c r="T1809" s="72"/>
      <c r="U1809" s="73"/>
      <c r="V1809" s="72"/>
      <c r="W1809" s="73"/>
      <c r="X1809" s="72"/>
      <c r="Y1809" s="73"/>
      <c r="Z1809" s="74" t="b">
        <v>0</v>
      </c>
      <c r="AA1809" s="130">
        <f t="shared" si="721"/>
        <v>0</v>
      </c>
      <c r="AB1809" s="131">
        <f t="shared" si="722"/>
        <v>0</v>
      </c>
      <c r="AC1809" s="132">
        <f t="shared" si="723"/>
        <v>0</v>
      </c>
      <c r="AD1809" s="133">
        <f t="shared" si="724"/>
        <v>0</v>
      </c>
      <c r="AE1809" s="131">
        <f t="shared" si="725"/>
        <v>0</v>
      </c>
      <c r="AF1809" s="133">
        <f t="shared" si="726"/>
        <v>0</v>
      </c>
      <c r="AG1809" s="1"/>
    </row>
    <row r="1810" ht="21.0" customHeight="1">
      <c r="A1810" s="1"/>
      <c r="B1810" s="48" t="s">
        <v>39</v>
      </c>
      <c r="C1810" s="49"/>
      <c r="D1810" s="65"/>
      <c r="E1810" s="41"/>
      <c r="F1810" s="52" t="s">
        <v>40</v>
      </c>
      <c r="G1810" s="79"/>
      <c r="H1810" s="80"/>
      <c r="I1810" s="69"/>
      <c r="J1810" s="72"/>
      <c r="K1810" s="73"/>
      <c r="L1810" s="72"/>
      <c r="M1810" s="73"/>
      <c r="N1810" s="72"/>
      <c r="O1810" s="73"/>
      <c r="P1810" s="72"/>
      <c r="Q1810" s="73"/>
      <c r="R1810" s="72"/>
      <c r="S1810" s="73"/>
      <c r="T1810" s="72"/>
      <c r="U1810" s="73"/>
      <c r="V1810" s="72"/>
      <c r="W1810" s="73"/>
      <c r="X1810" s="72"/>
      <c r="Y1810" s="73"/>
      <c r="Z1810" s="74" t="b">
        <v>0</v>
      </c>
      <c r="AA1810" s="130">
        <f t="shared" si="721"/>
        <v>0</v>
      </c>
      <c r="AB1810" s="131">
        <f t="shared" si="722"/>
        <v>0</v>
      </c>
      <c r="AC1810" s="132">
        <f t="shared" si="723"/>
        <v>0</v>
      </c>
      <c r="AD1810" s="133">
        <f t="shared" si="724"/>
        <v>0</v>
      </c>
      <c r="AE1810" s="131">
        <f t="shared" si="725"/>
        <v>0</v>
      </c>
      <c r="AF1810" s="133">
        <f t="shared" si="726"/>
        <v>0</v>
      </c>
      <c r="AG1810" s="1"/>
    </row>
    <row r="1811" ht="21.0" customHeight="1">
      <c r="A1811" s="1"/>
      <c r="B1811" s="48" t="s">
        <v>41</v>
      </c>
      <c r="C1811" s="81"/>
      <c r="D1811" s="82" t="b">
        <v>0</v>
      </c>
      <c r="E1811" s="51" t="s">
        <v>42</v>
      </c>
      <c r="F1811" s="52" t="s">
        <v>34</v>
      </c>
      <c r="G1811" s="83"/>
      <c r="H1811" s="84"/>
      <c r="I1811" s="85"/>
      <c r="J1811" s="72"/>
      <c r="K1811" s="73"/>
      <c r="L1811" s="72"/>
      <c r="M1811" s="73"/>
      <c r="N1811" s="72"/>
      <c r="O1811" s="73"/>
      <c r="P1811" s="72"/>
      <c r="Q1811" s="73"/>
      <c r="R1811" s="72"/>
      <c r="S1811" s="73"/>
      <c r="T1811" s="72"/>
      <c r="U1811" s="73"/>
      <c r="V1811" s="72"/>
      <c r="W1811" s="73"/>
      <c r="X1811" s="72"/>
      <c r="Y1811" s="73"/>
      <c r="Z1811" s="74" t="b">
        <v>0</v>
      </c>
      <c r="AA1811" s="130">
        <f t="shared" si="721"/>
        <v>0</v>
      </c>
      <c r="AB1811" s="131">
        <f t="shared" si="722"/>
        <v>0</v>
      </c>
      <c r="AC1811" s="132">
        <f t="shared" si="723"/>
        <v>0</v>
      </c>
      <c r="AD1811" s="133">
        <f t="shared" si="724"/>
        <v>0</v>
      </c>
      <c r="AE1811" s="131">
        <f t="shared" si="725"/>
        <v>0</v>
      </c>
      <c r="AF1811" s="133">
        <f t="shared" si="726"/>
        <v>0</v>
      </c>
      <c r="AG1811" s="1"/>
    </row>
    <row r="1812" ht="21.0" customHeight="1">
      <c r="A1812" s="1"/>
      <c r="B1812" s="48" t="s">
        <v>43</v>
      </c>
      <c r="C1812" s="49"/>
      <c r="D1812" s="86" t="b">
        <v>0</v>
      </c>
      <c r="E1812" s="66"/>
      <c r="F1812" s="52" t="s">
        <v>37</v>
      </c>
      <c r="G1812" s="67"/>
      <c r="H1812" s="80"/>
      <c r="I1812" s="69"/>
      <c r="J1812" s="72"/>
      <c r="K1812" s="73"/>
      <c r="L1812" s="72"/>
      <c r="M1812" s="73"/>
      <c r="N1812" s="72"/>
      <c r="O1812" s="73"/>
      <c r="P1812" s="72"/>
      <c r="Q1812" s="73"/>
      <c r="R1812" s="72"/>
      <c r="S1812" s="73"/>
      <c r="T1812" s="72"/>
      <c r="U1812" s="73"/>
      <c r="V1812" s="72"/>
      <c r="W1812" s="73"/>
      <c r="X1812" s="72"/>
      <c r="Y1812" s="73"/>
      <c r="Z1812" s="74" t="b">
        <v>0</v>
      </c>
      <c r="AA1812" s="130">
        <f t="shared" si="721"/>
        <v>0</v>
      </c>
      <c r="AB1812" s="131">
        <f t="shared" si="722"/>
        <v>0</v>
      </c>
      <c r="AC1812" s="132">
        <f t="shared" si="723"/>
        <v>0</v>
      </c>
      <c r="AD1812" s="133">
        <f t="shared" si="724"/>
        <v>0</v>
      </c>
      <c r="AE1812" s="131">
        <f t="shared" si="725"/>
        <v>0</v>
      </c>
      <c r="AF1812" s="133">
        <f t="shared" si="726"/>
        <v>0</v>
      </c>
      <c r="AG1812" s="1"/>
    </row>
    <row r="1813" ht="21.0" customHeight="1">
      <c r="A1813" s="1"/>
      <c r="B1813" s="87" t="str">
        <f t="array" ref="B1813">"📌최근 인바디 결과 : "&amp;text(xlookup(B1805,'현황'!O:O,'현황'!O:O,,-1,-1),"m/d(ddd)")</f>
        <v>#REF!</v>
      </c>
      <c r="C1813" s="88"/>
      <c r="D1813" s="49"/>
      <c r="E1813" s="41"/>
      <c r="F1813" s="52" t="s">
        <v>40</v>
      </c>
      <c r="G1813" s="79"/>
      <c r="H1813" s="80"/>
      <c r="I1813" s="69"/>
      <c r="J1813" s="72"/>
      <c r="K1813" s="73"/>
      <c r="L1813" s="72"/>
      <c r="M1813" s="73"/>
      <c r="N1813" s="72"/>
      <c r="O1813" s="73"/>
      <c r="P1813" s="72"/>
      <c r="Q1813" s="73"/>
      <c r="R1813" s="72"/>
      <c r="S1813" s="73"/>
      <c r="T1813" s="72"/>
      <c r="U1813" s="73"/>
      <c r="V1813" s="72"/>
      <c r="W1813" s="73"/>
      <c r="X1813" s="72"/>
      <c r="Y1813" s="73"/>
      <c r="Z1813" s="74" t="b">
        <v>0</v>
      </c>
      <c r="AA1813" s="130">
        <f t="shared" si="721"/>
        <v>0</v>
      </c>
      <c r="AB1813" s="131">
        <f t="shared" si="722"/>
        <v>0</v>
      </c>
      <c r="AC1813" s="132">
        <f t="shared" si="723"/>
        <v>0</v>
      </c>
      <c r="AD1813" s="133">
        <f t="shared" si="724"/>
        <v>0</v>
      </c>
      <c r="AE1813" s="131">
        <f t="shared" si="725"/>
        <v>0</v>
      </c>
      <c r="AF1813" s="133">
        <f t="shared" si="726"/>
        <v>0</v>
      </c>
      <c r="AG1813" s="1"/>
    </row>
    <row r="1814" ht="21.0" customHeight="1">
      <c r="A1814" s="1"/>
      <c r="B1814" s="89" t="s">
        <v>44</v>
      </c>
      <c r="C1814" s="49"/>
      <c r="D1814" s="90">
        <f t="array" ref="D1814">iferror(vlookup(xlookup(B1805,'현황'!O:O,'현황'!O:O,,-1,-1),'현황'!O:S,2,false),0)</f>
        <v>0</v>
      </c>
      <c r="E1814" s="51" t="s">
        <v>45</v>
      </c>
      <c r="F1814" s="52" t="s">
        <v>34</v>
      </c>
      <c r="G1814" s="83"/>
      <c r="H1814" s="84"/>
      <c r="I1814" s="85"/>
      <c r="J1814" s="72"/>
      <c r="K1814" s="73"/>
      <c r="L1814" s="72"/>
      <c r="M1814" s="73"/>
      <c r="N1814" s="72"/>
      <c r="O1814" s="73"/>
      <c r="P1814" s="72"/>
      <c r="Q1814" s="73"/>
      <c r="R1814" s="72"/>
      <c r="S1814" s="73"/>
      <c r="T1814" s="72"/>
      <c r="U1814" s="73"/>
      <c r="V1814" s="72"/>
      <c r="W1814" s="73"/>
      <c r="X1814" s="72"/>
      <c r="Y1814" s="73"/>
      <c r="Z1814" s="74" t="b">
        <v>0</v>
      </c>
      <c r="AA1814" s="130">
        <f t="shared" si="721"/>
        <v>0</v>
      </c>
      <c r="AB1814" s="131">
        <f t="shared" si="722"/>
        <v>0</v>
      </c>
      <c r="AC1814" s="132">
        <f t="shared" si="723"/>
        <v>0</v>
      </c>
      <c r="AD1814" s="133">
        <f t="shared" si="724"/>
        <v>0</v>
      </c>
      <c r="AE1814" s="131">
        <f t="shared" si="725"/>
        <v>0</v>
      </c>
      <c r="AF1814" s="133">
        <f t="shared" si="726"/>
        <v>0</v>
      </c>
      <c r="AG1814" s="1"/>
    </row>
    <row r="1815" ht="21.0" customHeight="1">
      <c r="A1815" s="1"/>
      <c r="B1815" s="48" t="s">
        <v>46</v>
      </c>
      <c r="C1815" s="49"/>
      <c r="D1815" s="91">
        <f t="array" ref="D1815">iferror(vlookup(xlookup(B1805,'현황'!O:O,'현황'!O:O,,-1,-1),'현황'!O:S,3,false),0)</f>
        <v>0</v>
      </c>
      <c r="E1815" s="66"/>
      <c r="F1815" s="52" t="s">
        <v>37</v>
      </c>
      <c r="G1815" s="67"/>
      <c r="H1815" s="80"/>
      <c r="I1815" s="69"/>
      <c r="J1815" s="72"/>
      <c r="K1815" s="73"/>
      <c r="L1815" s="72"/>
      <c r="M1815" s="73"/>
      <c r="N1815" s="72"/>
      <c r="O1815" s="73"/>
      <c r="P1815" s="72"/>
      <c r="Q1815" s="73"/>
      <c r="R1815" s="72"/>
      <c r="S1815" s="73"/>
      <c r="T1815" s="72"/>
      <c r="U1815" s="73"/>
      <c r="V1815" s="72"/>
      <c r="W1815" s="73"/>
      <c r="X1815" s="72"/>
      <c r="Y1815" s="73"/>
      <c r="Z1815" s="74" t="b">
        <v>0</v>
      </c>
      <c r="AA1815" s="130">
        <f t="shared" si="721"/>
        <v>0</v>
      </c>
      <c r="AB1815" s="131">
        <f t="shared" si="722"/>
        <v>0</v>
      </c>
      <c r="AC1815" s="132">
        <f t="shared" si="723"/>
        <v>0</v>
      </c>
      <c r="AD1815" s="133">
        <f t="shared" si="724"/>
        <v>0</v>
      </c>
      <c r="AE1815" s="131">
        <f t="shared" si="725"/>
        <v>0</v>
      </c>
      <c r="AF1815" s="133">
        <f t="shared" si="726"/>
        <v>0</v>
      </c>
      <c r="AG1815" s="1"/>
    </row>
    <row r="1816" ht="21.0" customHeight="1">
      <c r="A1816" s="1"/>
      <c r="B1816" s="48" t="s">
        <v>47</v>
      </c>
      <c r="C1816" s="49"/>
      <c r="D1816" s="91">
        <f t="array" ref="D1816">iferror(vlookup(xlookup(B1805,'현황'!O:O,'현황'!O:O,,-1,-1),'현황'!O:S,4,false),0)</f>
        <v>0</v>
      </c>
      <c r="E1816" s="41"/>
      <c r="F1816" s="92" t="s">
        <v>40</v>
      </c>
      <c r="G1816" s="79"/>
      <c r="H1816" s="93"/>
      <c r="I1816" s="94"/>
      <c r="J1816" s="95"/>
      <c r="K1816" s="96"/>
      <c r="L1816" s="95"/>
      <c r="M1816" s="96"/>
      <c r="N1816" s="95"/>
      <c r="O1816" s="96"/>
      <c r="P1816" s="95"/>
      <c r="Q1816" s="96"/>
      <c r="R1816" s="95"/>
      <c r="S1816" s="96"/>
      <c r="T1816" s="95"/>
      <c r="U1816" s="96"/>
      <c r="V1816" s="95"/>
      <c r="W1816" s="96"/>
      <c r="X1816" s="95"/>
      <c r="Y1816" s="96"/>
      <c r="Z1816" s="97" t="b">
        <v>0</v>
      </c>
      <c r="AA1816" s="135">
        <f t="shared" si="721"/>
        <v>0</v>
      </c>
      <c r="AB1816" s="136">
        <f t="shared" si="722"/>
        <v>0</v>
      </c>
      <c r="AC1816" s="137">
        <f t="shared" si="723"/>
        <v>0</v>
      </c>
      <c r="AD1816" s="138">
        <f t="shared" si="724"/>
        <v>0</v>
      </c>
      <c r="AE1816" s="136">
        <f t="shared" si="725"/>
        <v>0</v>
      </c>
      <c r="AF1816" s="138">
        <f t="shared" si="726"/>
        <v>0</v>
      </c>
      <c r="AG1816" s="1"/>
    </row>
    <row r="1817" ht="21.0" customHeight="1">
      <c r="A1817" s="1"/>
      <c r="B1817" s="102" t="s">
        <v>48</v>
      </c>
      <c r="C1817" s="103"/>
      <c r="D1817" s="104">
        <f>iferror(D1816/D1814,0)</f>
        <v>0</v>
      </c>
      <c r="E1817" s="102" t="s">
        <v>49</v>
      </c>
      <c r="F1817" s="103"/>
      <c r="G1817" s="105"/>
      <c r="H1817" s="106" t="s">
        <v>50</v>
      </c>
      <c r="I1817" s="107"/>
      <c r="J1817" s="11"/>
      <c r="K1817" s="11"/>
      <c r="L1817" s="11"/>
      <c r="M1817" s="11"/>
      <c r="N1817" s="11"/>
      <c r="O1817" s="11"/>
      <c r="P1817" s="108" t="s">
        <v>51</v>
      </c>
      <c r="Q1817" s="12"/>
      <c r="R1817" s="109"/>
      <c r="S1817" s="11"/>
      <c r="T1817" s="11"/>
      <c r="U1817" s="11"/>
      <c r="V1817" s="11"/>
      <c r="W1817" s="11"/>
      <c r="X1817" s="11"/>
      <c r="Y1817" s="11"/>
      <c r="Z1817" s="12"/>
      <c r="AA1817" s="139">
        <f>SUM(AA1808:AA1816)</f>
        <v>0</v>
      </c>
      <c r="AB1817" s="140" t="s">
        <v>339</v>
      </c>
      <c r="AG1817" s="1"/>
    </row>
    <row r="1818" ht="21.0" customHeight="1">
      <c r="A1818" s="1"/>
      <c r="B1818" s="1"/>
      <c r="C1818" s="1"/>
      <c r="D1818" s="1"/>
      <c r="E1818" s="1"/>
      <c r="F1818" s="1"/>
      <c r="G1818" s="1"/>
      <c r="H1818" s="1"/>
      <c r="I1818" s="1"/>
      <c r="AA1818" s="1"/>
      <c r="AB1818" s="1"/>
      <c r="AC1818" s="3"/>
      <c r="AD1818" s="1"/>
      <c r="AE1818" s="1"/>
      <c r="AF1818" s="1"/>
      <c r="AG1818" s="1"/>
    </row>
    <row r="1819" ht="21.0" customHeight="1">
      <c r="A1819" s="1"/>
      <c r="B1819" s="4" t="s">
        <v>1</v>
      </c>
      <c r="C1819" s="5"/>
      <c r="D1819" s="6" t="s">
        <v>2</v>
      </c>
      <c r="E1819" s="7"/>
      <c r="F1819" s="7"/>
      <c r="G1819" s="5"/>
      <c r="H1819" s="8" t="s">
        <v>3</v>
      </c>
      <c r="I1819" s="8" t="s">
        <v>4</v>
      </c>
      <c r="J1819" s="9" t="s">
        <v>5</v>
      </c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5"/>
      <c r="AA1819" s="117" t="s">
        <v>6</v>
      </c>
      <c r="AB1819" s="11"/>
      <c r="AC1819" s="11"/>
      <c r="AD1819" s="11"/>
      <c r="AE1819" s="11"/>
      <c r="AF1819" s="12"/>
      <c r="AG1819" s="1"/>
    </row>
    <row r="1820" ht="21.0" customHeight="1">
      <c r="A1820" s="1"/>
      <c r="B1820" s="149" t="s">
        <v>138</v>
      </c>
      <c r="C1820" s="14" t="str">
        <f>if(B1820="0/0","",choose(weekday(B1820),"(일)","(월)","(화)","(수)","(목)","(금)","(토)"))</f>
        <v/>
      </c>
      <c r="D1820" s="15" t="s">
        <v>7</v>
      </c>
      <c r="E1820" s="16" t="s">
        <v>8</v>
      </c>
      <c r="F1820" s="17"/>
      <c r="G1820" s="18" t="s">
        <v>9</v>
      </c>
      <c r="H1820" s="150" t="s">
        <v>139</v>
      </c>
      <c r="I1820" s="151"/>
      <c r="J1820" s="21" t="s">
        <v>12</v>
      </c>
      <c r="K1820" s="22"/>
      <c r="L1820" s="21" t="s">
        <v>13</v>
      </c>
      <c r="M1820" s="22"/>
      <c r="N1820" s="21" t="s">
        <v>14</v>
      </c>
      <c r="O1820" s="22"/>
      <c r="P1820" s="21" t="s">
        <v>15</v>
      </c>
      <c r="Q1820" s="22"/>
      <c r="R1820" s="23" t="s">
        <v>16</v>
      </c>
      <c r="S1820" s="22"/>
      <c r="T1820" s="23" t="s">
        <v>17</v>
      </c>
      <c r="U1820" s="22"/>
      <c r="V1820" s="23" t="s">
        <v>18</v>
      </c>
      <c r="W1820" s="22"/>
      <c r="X1820" s="23" t="s">
        <v>19</v>
      </c>
      <c r="Y1820" s="22"/>
      <c r="Z1820" s="24" t="s">
        <v>340</v>
      </c>
      <c r="AA1820" s="118" t="s">
        <v>21</v>
      </c>
      <c r="AB1820" s="119" t="s">
        <v>22</v>
      </c>
      <c r="AC1820" s="7"/>
      <c r="AD1820" s="22"/>
      <c r="AE1820" s="120" t="s">
        <v>23</v>
      </c>
      <c r="AF1820" s="22"/>
      <c r="AG1820" s="1"/>
    </row>
    <row r="1821" ht="21.0" customHeight="1">
      <c r="A1821" s="1"/>
      <c r="B1821" s="27">
        <f>iferror(B1820-'현황'!$C$4+1,0)</f>
        <v>0</v>
      </c>
      <c r="C1821" s="28"/>
      <c r="D1821" s="29">
        <v>0.0</v>
      </c>
      <c r="E1821" s="30">
        <v>0.0</v>
      </c>
      <c r="F1821" s="31"/>
      <c r="G1821" s="32">
        <v>0.0</v>
      </c>
      <c r="H1821" s="33">
        <v>0.0</v>
      </c>
      <c r="I1821" s="34"/>
      <c r="J1821" s="35"/>
      <c r="K1821" s="36"/>
      <c r="L1821" s="35"/>
      <c r="M1821" s="36"/>
      <c r="N1821" s="35"/>
      <c r="O1821" s="36"/>
      <c r="P1821" s="35"/>
      <c r="Q1821" s="36"/>
      <c r="R1821" s="35"/>
      <c r="S1821" s="36"/>
      <c r="T1821" s="35"/>
      <c r="U1821" s="36"/>
      <c r="V1821" s="35"/>
      <c r="W1821" s="36"/>
      <c r="X1821" s="35"/>
      <c r="Y1821" s="36"/>
      <c r="Z1821" s="37"/>
      <c r="AA1821" s="37"/>
      <c r="AB1821" s="35"/>
      <c r="AC1821" s="38"/>
      <c r="AD1821" s="36"/>
      <c r="AE1821" s="35"/>
      <c r="AF1821" s="36"/>
      <c r="AG1821" s="1"/>
    </row>
    <row r="1822" ht="21.0" customHeight="1">
      <c r="A1822" s="1"/>
      <c r="B1822" s="39" t="s">
        <v>24</v>
      </c>
      <c r="C1822" s="40"/>
      <c r="D1822" s="41"/>
      <c r="E1822" s="42" t="s">
        <v>25</v>
      </c>
      <c r="F1822" s="40"/>
      <c r="G1822" s="41"/>
      <c r="H1822" s="43" t="s">
        <v>26</v>
      </c>
      <c r="J1822" s="44" t="s">
        <v>27</v>
      </c>
      <c r="K1822" s="45" t="s">
        <v>28</v>
      </c>
      <c r="L1822" s="44" t="s">
        <v>27</v>
      </c>
      <c r="M1822" s="45" t="s">
        <v>28</v>
      </c>
      <c r="N1822" s="44" t="s">
        <v>27</v>
      </c>
      <c r="O1822" s="45" t="s">
        <v>28</v>
      </c>
      <c r="P1822" s="44" t="s">
        <v>27</v>
      </c>
      <c r="Q1822" s="45" t="s">
        <v>28</v>
      </c>
      <c r="R1822" s="44" t="s">
        <v>27</v>
      </c>
      <c r="S1822" s="45" t="s">
        <v>28</v>
      </c>
      <c r="T1822" s="44" t="s">
        <v>27</v>
      </c>
      <c r="U1822" s="45" t="s">
        <v>28</v>
      </c>
      <c r="V1822" s="44" t="s">
        <v>27</v>
      </c>
      <c r="W1822" s="45" t="s">
        <v>28</v>
      </c>
      <c r="X1822" s="44" t="s">
        <v>27</v>
      </c>
      <c r="Y1822" s="45" t="s">
        <v>28</v>
      </c>
      <c r="Z1822" s="46"/>
      <c r="AA1822" s="46"/>
      <c r="AB1822" s="121" t="s">
        <v>29</v>
      </c>
      <c r="AC1822" s="122" t="s">
        <v>30</v>
      </c>
      <c r="AD1822" s="123" t="s">
        <v>31</v>
      </c>
      <c r="AE1822" s="121" t="s">
        <v>27</v>
      </c>
      <c r="AF1822" s="123" t="s">
        <v>28</v>
      </c>
      <c r="AG1822" s="1"/>
    </row>
    <row r="1823" ht="21.0" customHeight="1">
      <c r="A1823" s="1"/>
      <c r="B1823" s="48" t="s">
        <v>32</v>
      </c>
      <c r="C1823" s="49"/>
      <c r="D1823" s="50"/>
      <c r="E1823" s="51" t="s">
        <v>33</v>
      </c>
      <c r="F1823" s="52" t="s">
        <v>34</v>
      </c>
      <c r="G1823" s="53"/>
      <c r="H1823" s="148"/>
      <c r="I1823" s="55"/>
      <c r="J1823" s="58"/>
      <c r="K1823" s="59"/>
      <c r="L1823" s="58"/>
      <c r="M1823" s="59"/>
      <c r="N1823" s="58"/>
      <c r="O1823" s="59"/>
      <c r="P1823" s="58"/>
      <c r="Q1823" s="59"/>
      <c r="R1823" s="58"/>
      <c r="S1823" s="59"/>
      <c r="T1823" s="58"/>
      <c r="U1823" s="59"/>
      <c r="V1823" s="58"/>
      <c r="W1823" s="59"/>
      <c r="X1823" s="58"/>
      <c r="Y1823" s="59"/>
      <c r="Z1823" s="60" t="b">
        <v>0</v>
      </c>
      <c r="AA1823" s="125">
        <f t="shared" ref="AA1823:AA1831" si="727">(J1823*K1823+L1823*M1823+N1823*O1823+P1823*Q1823+R1823*S1823+T1823*U1823+V1823*W1823+X1823*Y1823)*if(Z1823=true,0.453592,1)</f>
        <v>0</v>
      </c>
      <c r="AB1823" s="126">
        <f t="shared" ref="AB1823:AB1831" si="728">SUM(AE1823*AF1823*0.025,AE1823)</f>
        <v>0</v>
      </c>
      <c r="AC1823" s="127">
        <f t="shared" ref="AC1823:AC1831" si="729">AB1823*87%</f>
        <v>0</v>
      </c>
      <c r="AD1823" s="128">
        <f t="shared" ref="AD1823:AD1831" si="730">AB1823*67%</f>
        <v>0</v>
      </c>
      <c r="AE1823" s="126">
        <f t="shared" ref="AE1823:AE1831" si="731">MAX(J1823,L1823,N1823,P1823,R1823,T1823,V1823,X1823)*if(Z1823=true,0.453592,1)</f>
        <v>0</v>
      </c>
      <c r="AF1823" s="128">
        <f t="shared" ref="AF1823:AF1831" si="732">MAX(IF(J1823*if(Z1823=true,0.453592,1)=$AE1823,K1823,0),IF(L1823*if(Z1823=true,0.453592,1)=$AE1823,M1823,0),IF(N1823*if(Z1823=true,0.453592,1)=$AE1823,O1823,0),IF(P1823*if(Z1823=true,0.453592,1)=$AE1823,Q1823,0),IF(R1823*if(Z1823=true,0.453592,1)=$AE1823,S1823,0),IF(T1823*if(Z1823=true,0.453592,1)=$AE1823,U1823,0),IF(V1823*if(Z1823=true,0.453592,1)=$AE1823,W1823,0),IF(X1823*if(Z1823=true,0.453592,1)=$AE1823,Y1823,0))</f>
        <v>0</v>
      </c>
      <c r="AG1823" s="1"/>
    </row>
    <row r="1824" ht="21.0" customHeight="1">
      <c r="A1824" s="1"/>
      <c r="B1824" s="48" t="s">
        <v>36</v>
      </c>
      <c r="C1824" s="49"/>
      <c r="D1824" s="65"/>
      <c r="E1824" s="66"/>
      <c r="F1824" s="52" t="s">
        <v>37</v>
      </c>
      <c r="G1824" s="67"/>
      <c r="H1824" s="129"/>
      <c r="I1824" s="69"/>
      <c r="J1824" s="72"/>
      <c r="K1824" s="73"/>
      <c r="L1824" s="72"/>
      <c r="M1824" s="73"/>
      <c r="N1824" s="72"/>
      <c r="O1824" s="73"/>
      <c r="P1824" s="72"/>
      <c r="Q1824" s="73"/>
      <c r="R1824" s="72"/>
      <c r="S1824" s="73"/>
      <c r="T1824" s="72"/>
      <c r="U1824" s="73"/>
      <c r="V1824" s="72"/>
      <c r="W1824" s="73"/>
      <c r="X1824" s="72"/>
      <c r="Y1824" s="73"/>
      <c r="Z1824" s="74" t="b">
        <v>0</v>
      </c>
      <c r="AA1824" s="130">
        <f t="shared" si="727"/>
        <v>0</v>
      </c>
      <c r="AB1824" s="131">
        <f t="shared" si="728"/>
        <v>0</v>
      </c>
      <c r="AC1824" s="132">
        <f t="shared" si="729"/>
        <v>0</v>
      </c>
      <c r="AD1824" s="133">
        <f t="shared" si="730"/>
        <v>0</v>
      </c>
      <c r="AE1824" s="131">
        <f t="shared" si="731"/>
        <v>0</v>
      </c>
      <c r="AF1824" s="133">
        <f t="shared" si="732"/>
        <v>0</v>
      </c>
      <c r="AG1824" s="1"/>
    </row>
    <row r="1825" ht="21.0" customHeight="1">
      <c r="A1825" s="1"/>
      <c r="B1825" s="48" t="s">
        <v>39</v>
      </c>
      <c r="C1825" s="49"/>
      <c r="D1825" s="65"/>
      <c r="E1825" s="41"/>
      <c r="F1825" s="52" t="s">
        <v>40</v>
      </c>
      <c r="G1825" s="79"/>
      <c r="H1825" s="80"/>
      <c r="I1825" s="69"/>
      <c r="J1825" s="72"/>
      <c r="K1825" s="73"/>
      <c r="L1825" s="72"/>
      <c r="M1825" s="73"/>
      <c r="N1825" s="72"/>
      <c r="O1825" s="73"/>
      <c r="P1825" s="72"/>
      <c r="Q1825" s="73"/>
      <c r="R1825" s="72"/>
      <c r="S1825" s="73"/>
      <c r="T1825" s="72"/>
      <c r="U1825" s="73"/>
      <c r="V1825" s="72"/>
      <c r="W1825" s="73"/>
      <c r="X1825" s="72"/>
      <c r="Y1825" s="73"/>
      <c r="Z1825" s="74" t="b">
        <v>0</v>
      </c>
      <c r="AA1825" s="130">
        <f t="shared" si="727"/>
        <v>0</v>
      </c>
      <c r="AB1825" s="131">
        <f t="shared" si="728"/>
        <v>0</v>
      </c>
      <c r="AC1825" s="132">
        <f t="shared" si="729"/>
        <v>0</v>
      </c>
      <c r="AD1825" s="133">
        <f t="shared" si="730"/>
        <v>0</v>
      </c>
      <c r="AE1825" s="131">
        <f t="shared" si="731"/>
        <v>0</v>
      </c>
      <c r="AF1825" s="133">
        <f t="shared" si="732"/>
        <v>0</v>
      </c>
      <c r="AG1825" s="1"/>
    </row>
    <row r="1826" ht="21.0" customHeight="1">
      <c r="A1826" s="1"/>
      <c r="B1826" s="48" t="s">
        <v>41</v>
      </c>
      <c r="C1826" s="81"/>
      <c r="D1826" s="82" t="b">
        <v>0</v>
      </c>
      <c r="E1826" s="51" t="s">
        <v>42</v>
      </c>
      <c r="F1826" s="52" t="s">
        <v>34</v>
      </c>
      <c r="G1826" s="83"/>
      <c r="H1826" s="84"/>
      <c r="I1826" s="85"/>
      <c r="J1826" s="72"/>
      <c r="K1826" s="73"/>
      <c r="L1826" s="72"/>
      <c r="M1826" s="73"/>
      <c r="N1826" s="72"/>
      <c r="O1826" s="73"/>
      <c r="P1826" s="72"/>
      <c r="Q1826" s="73"/>
      <c r="R1826" s="72"/>
      <c r="S1826" s="73"/>
      <c r="T1826" s="72"/>
      <c r="U1826" s="73"/>
      <c r="V1826" s="72"/>
      <c r="W1826" s="73"/>
      <c r="X1826" s="72"/>
      <c r="Y1826" s="73"/>
      <c r="Z1826" s="74" t="b">
        <v>0</v>
      </c>
      <c r="AA1826" s="130">
        <f t="shared" si="727"/>
        <v>0</v>
      </c>
      <c r="AB1826" s="131">
        <f t="shared" si="728"/>
        <v>0</v>
      </c>
      <c r="AC1826" s="132">
        <f t="shared" si="729"/>
        <v>0</v>
      </c>
      <c r="AD1826" s="133">
        <f t="shared" si="730"/>
        <v>0</v>
      </c>
      <c r="AE1826" s="131">
        <f t="shared" si="731"/>
        <v>0</v>
      </c>
      <c r="AF1826" s="133">
        <f t="shared" si="732"/>
        <v>0</v>
      </c>
      <c r="AG1826" s="1"/>
    </row>
    <row r="1827" ht="21.0" customHeight="1">
      <c r="A1827" s="1"/>
      <c r="B1827" s="48" t="s">
        <v>43</v>
      </c>
      <c r="C1827" s="49"/>
      <c r="D1827" s="86" t="b">
        <v>0</v>
      </c>
      <c r="E1827" s="66"/>
      <c r="F1827" s="52" t="s">
        <v>37</v>
      </c>
      <c r="G1827" s="67"/>
      <c r="H1827" s="80"/>
      <c r="I1827" s="69"/>
      <c r="J1827" s="72"/>
      <c r="K1827" s="73"/>
      <c r="L1827" s="72"/>
      <c r="M1827" s="73"/>
      <c r="N1827" s="72"/>
      <c r="O1827" s="73"/>
      <c r="P1827" s="72"/>
      <c r="Q1827" s="73"/>
      <c r="R1827" s="72"/>
      <c r="S1827" s="73"/>
      <c r="T1827" s="72"/>
      <c r="U1827" s="73"/>
      <c r="V1827" s="72"/>
      <c r="W1827" s="73"/>
      <c r="X1827" s="72"/>
      <c r="Y1827" s="73"/>
      <c r="Z1827" s="74" t="b">
        <v>0</v>
      </c>
      <c r="AA1827" s="130">
        <f t="shared" si="727"/>
        <v>0</v>
      </c>
      <c r="AB1827" s="131">
        <f t="shared" si="728"/>
        <v>0</v>
      </c>
      <c r="AC1827" s="132">
        <f t="shared" si="729"/>
        <v>0</v>
      </c>
      <c r="AD1827" s="133">
        <f t="shared" si="730"/>
        <v>0</v>
      </c>
      <c r="AE1827" s="131">
        <f t="shared" si="731"/>
        <v>0</v>
      </c>
      <c r="AF1827" s="133">
        <f t="shared" si="732"/>
        <v>0</v>
      </c>
      <c r="AG1827" s="1"/>
    </row>
    <row r="1828" ht="21.0" customHeight="1">
      <c r="A1828" s="1"/>
      <c r="B1828" s="87" t="str">
        <f t="array" ref="B1828">"📌최근 인바디 결과 : "&amp;text(xlookup(B1820,'현황'!O:O,'현황'!O:O,,-1,-1),"m/d(ddd)")</f>
        <v>#REF!</v>
      </c>
      <c r="C1828" s="88"/>
      <c r="D1828" s="49"/>
      <c r="E1828" s="41"/>
      <c r="F1828" s="52" t="s">
        <v>40</v>
      </c>
      <c r="G1828" s="79"/>
      <c r="H1828" s="80"/>
      <c r="I1828" s="69"/>
      <c r="J1828" s="72"/>
      <c r="K1828" s="73"/>
      <c r="L1828" s="72"/>
      <c r="M1828" s="73"/>
      <c r="N1828" s="72"/>
      <c r="O1828" s="73"/>
      <c r="P1828" s="72"/>
      <c r="Q1828" s="73"/>
      <c r="R1828" s="72"/>
      <c r="S1828" s="73"/>
      <c r="T1828" s="72"/>
      <c r="U1828" s="73"/>
      <c r="V1828" s="72"/>
      <c r="W1828" s="73"/>
      <c r="X1828" s="72"/>
      <c r="Y1828" s="73"/>
      <c r="Z1828" s="74" t="b">
        <v>0</v>
      </c>
      <c r="AA1828" s="130">
        <f t="shared" si="727"/>
        <v>0</v>
      </c>
      <c r="AB1828" s="131">
        <f t="shared" si="728"/>
        <v>0</v>
      </c>
      <c r="AC1828" s="132">
        <f t="shared" si="729"/>
        <v>0</v>
      </c>
      <c r="AD1828" s="133">
        <f t="shared" si="730"/>
        <v>0</v>
      </c>
      <c r="AE1828" s="131">
        <f t="shared" si="731"/>
        <v>0</v>
      </c>
      <c r="AF1828" s="133">
        <f t="shared" si="732"/>
        <v>0</v>
      </c>
      <c r="AG1828" s="1"/>
    </row>
    <row r="1829" ht="21.0" customHeight="1">
      <c r="A1829" s="1"/>
      <c r="B1829" s="89" t="s">
        <v>44</v>
      </c>
      <c r="C1829" s="49"/>
      <c r="D1829" s="90">
        <f t="array" ref="D1829">iferror(vlookup(xlookup(B1820,'현황'!O:O,'현황'!O:O,,-1,-1),'현황'!O:S,2,false),0)</f>
        <v>0</v>
      </c>
      <c r="E1829" s="51" t="s">
        <v>45</v>
      </c>
      <c r="F1829" s="52" t="s">
        <v>34</v>
      </c>
      <c r="G1829" s="83"/>
      <c r="H1829" s="84"/>
      <c r="I1829" s="85"/>
      <c r="J1829" s="72"/>
      <c r="K1829" s="73"/>
      <c r="L1829" s="72"/>
      <c r="M1829" s="73"/>
      <c r="N1829" s="72"/>
      <c r="O1829" s="73"/>
      <c r="P1829" s="72"/>
      <c r="Q1829" s="73"/>
      <c r="R1829" s="72"/>
      <c r="S1829" s="73"/>
      <c r="T1829" s="72"/>
      <c r="U1829" s="73"/>
      <c r="V1829" s="72"/>
      <c r="W1829" s="73"/>
      <c r="X1829" s="72"/>
      <c r="Y1829" s="73"/>
      <c r="Z1829" s="74" t="b">
        <v>0</v>
      </c>
      <c r="AA1829" s="130">
        <f t="shared" si="727"/>
        <v>0</v>
      </c>
      <c r="AB1829" s="131">
        <f t="shared" si="728"/>
        <v>0</v>
      </c>
      <c r="AC1829" s="132">
        <f t="shared" si="729"/>
        <v>0</v>
      </c>
      <c r="AD1829" s="133">
        <f t="shared" si="730"/>
        <v>0</v>
      </c>
      <c r="AE1829" s="131">
        <f t="shared" si="731"/>
        <v>0</v>
      </c>
      <c r="AF1829" s="133">
        <f t="shared" si="732"/>
        <v>0</v>
      </c>
      <c r="AG1829" s="1"/>
    </row>
    <row r="1830" ht="21.0" customHeight="1">
      <c r="A1830" s="1"/>
      <c r="B1830" s="48" t="s">
        <v>46</v>
      </c>
      <c r="C1830" s="49"/>
      <c r="D1830" s="91">
        <f t="array" ref="D1830">iferror(vlookup(xlookup(B1820,'현황'!O:O,'현황'!O:O,,-1,-1),'현황'!O:S,3,false),0)</f>
        <v>0</v>
      </c>
      <c r="E1830" s="66"/>
      <c r="F1830" s="52" t="s">
        <v>37</v>
      </c>
      <c r="G1830" s="67"/>
      <c r="H1830" s="80"/>
      <c r="I1830" s="69"/>
      <c r="J1830" s="72"/>
      <c r="K1830" s="73"/>
      <c r="L1830" s="72"/>
      <c r="M1830" s="73"/>
      <c r="N1830" s="72"/>
      <c r="O1830" s="73"/>
      <c r="P1830" s="72"/>
      <c r="Q1830" s="73"/>
      <c r="R1830" s="72"/>
      <c r="S1830" s="73"/>
      <c r="T1830" s="72"/>
      <c r="U1830" s="73"/>
      <c r="V1830" s="72"/>
      <c r="W1830" s="73"/>
      <c r="X1830" s="72"/>
      <c r="Y1830" s="73"/>
      <c r="Z1830" s="74" t="b">
        <v>0</v>
      </c>
      <c r="AA1830" s="130">
        <f t="shared" si="727"/>
        <v>0</v>
      </c>
      <c r="AB1830" s="131">
        <f t="shared" si="728"/>
        <v>0</v>
      </c>
      <c r="AC1830" s="132">
        <f t="shared" si="729"/>
        <v>0</v>
      </c>
      <c r="AD1830" s="133">
        <f t="shared" si="730"/>
        <v>0</v>
      </c>
      <c r="AE1830" s="131">
        <f t="shared" si="731"/>
        <v>0</v>
      </c>
      <c r="AF1830" s="133">
        <f t="shared" si="732"/>
        <v>0</v>
      </c>
      <c r="AG1830" s="1"/>
    </row>
    <row r="1831" ht="21.0" customHeight="1">
      <c r="A1831" s="1"/>
      <c r="B1831" s="48" t="s">
        <v>47</v>
      </c>
      <c r="C1831" s="49"/>
      <c r="D1831" s="91">
        <f t="array" ref="D1831">iferror(vlookup(xlookup(B1820,'현황'!O:O,'현황'!O:O,,-1,-1),'현황'!O:S,4,false),0)</f>
        <v>0</v>
      </c>
      <c r="E1831" s="41"/>
      <c r="F1831" s="92" t="s">
        <v>40</v>
      </c>
      <c r="G1831" s="79"/>
      <c r="H1831" s="93"/>
      <c r="I1831" s="94"/>
      <c r="J1831" s="95"/>
      <c r="K1831" s="96"/>
      <c r="L1831" s="95"/>
      <c r="M1831" s="96"/>
      <c r="N1831" s="95"/>
      <c r="O1831" s="96"/>
      <c r="P1831" s="95"/>
      <c r="Q1831" s="96"/>
      <c r="R1831" s="95"/>
      <c r="S1831" s="96"/>
      <c r="T1831" s="95"/>
      <c r="U1831" s="96"/>
      <c r="V1831" s="95"/>
      <c r="W1831" s="96"/>
      <c r="X1831" s="95"/>
      <c r="Y1831" s="96"/>
      <c r="Z1831" s="97" t="b">
        <v>0</v>
      </c>
      <c r="AA1831" s="135">
        <f t="shared" si="727"/>
        <v>0</v>
      </c>
      <c r="AB1831" s="136">
        <f t="shared" si="728"/>
        <v>0</v>
      </c>
      <c r="AC1831" s="137">
        <f t="shared" si="729"/>
        <v>0</v>
      </c>
      <c r="AD1831" s="138">
        <f t="shared" si="730"/>
        <v>0</v>
      </c>
      <c r="AE1831" s="136">
        <f t="shared" si="731"/>
        <v>0</v>
      </c>
      <c r="AF1831" s="138">
        <f t="shared" si="732"/>
        <v>0</v>
      </c>
      <c r="AG1831" s="1"/>
    </row>
    <row r="1832" ht="21.0" customHeight="1">
      <c r="A1832" s="1"/>
      <c r="B1832" s="102" t="s">
        <v>48</v>
      </c>
      <c r="C1832" s="103"/>
      <c r="D1832" s="104">
        <f>iferror(D1831/D1829,0)</f>
        <v>0</v>
      </c>
      <c r="E1832" s="102" t="s">
        <v>49</v>
      </c>
      <c r="F1832" s="103"/>
      <c r="G1832" s="105"/>
      <c r="H1832" s="106" t="s">
        <v>50</v>
      </c>
      <c r="I1832" s="107"/>
      <c r="J1832" s="11"/>
      <c r="K1832" s="11"/>
      <c r="L1832" s="11"/>
      <c r="M1832" s="11"/>
      <c r="N1832" s="11"/>
      <c r="O1832" s="11"/>
      <c r="P1832" s="108" t="s">
        <v>51</v>
      </c>
      <c r="Q1832" s="12"/>
      <c r="R1832" s="109"/>
      <c r="S1832" s="11"/>
      <c r="T1832" s="11"/>
      <c r="U1832" s="11"/>
      <c r="V1832" s="11"/>
      <c r="W1832" s="11"/>
      <c r="X1832" s="11"/>
      <c r="Y1832" s="11"/>
      <c r="Z1832" s="12"/>
      <c r="AA1832" s="139">
        <f>SUM(AA1823:AA1831)</f>
        <v>0</v>
      </c>
      <c r="AB1832" s="140" t="s">
        <v>341</v>
      </c>
      <c r="AG1832" s="1"/>
    </row>
    <row r="1833" ht="21.0" customHeight="1">
      <c r="A1833" s="1"/>
      <c r="B1833" s="1"/>
      <c r="C1833" s="1"/>
      <c r="D1833" s="1"/>
      <c r="E1833" s="1"/>
      <c r="F1833" s="1"/>
      <c r="G1833" s="1"/>
      <c r="H1833" s="1"/>
      <c r="I1833" s="1"/>
      <c r="AA1833" s="1"/>
      <c r="AB1833" s="1"/>
      <c r="AC1833" s="3"/>
      <c r="AD1833" s="1"/>
      <c r="AE1833" s="1"/>
      <c r="AF1833" s="1"/>
      <c r="AG1833" s="1"/>
    </row>
    <row r="1834" ht="21.0" customHeight="1">
      <c r="A1834" s="1"/>
      <c r="B1834" s="4" t="s">
        <v>1</v>
      </c>
      <c r="C1834" s="5"/>
      <c r="D1834" s="6" t="s">
        <v>2</v>
      </c>
      <c r="E1834" s="7"/>
      <c r="F1834" s="7"/>
      <c r="G1834" s="5"/>
      <c r="H1834" s="8" t="s">
        <v>3</v>
      </c>
      <c r="I1834" s="8" t="s">
        <v>4</v>
      </c>
      <c r="J1834" s="9" t="s">
        <v>5</v>
      </c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5"/>
      <c r="AA1834" s="117" t="s">
        <v>6</v>
      </c>
      <c r="AB1834" s="11"/>
      <c r="AC1834" s="11"/>
      <c r="AD1834" s="11"/>
      <c r="AE1834" s="11"/>
      <c r="AF1834" s="12"/>
      <c r="AG1834" s="1"/>
    </row>
    <row r="1835" ht="21.0" customHeight="1">
      <c r="A1835" s="1"/>
      <c r="B1835" s="149" t="s">
        <v>138</v>
      </c>
      <c r="C1835" s="14" t="str">
        <f>if(B1835="0/0","",choose(weekday(B1835),"(일)","(월)","(화)","(수)","(목)","(금)","(토)"))</f>
        <v/>
      </c>
      <c r="D1835" s="15" t="s">
        <v>7</v>
      </c>
      <c r="E1835" s="16" t="s">
        <v>8</v>
      </c>
      <c r="F1835" s="17"/>
      <c r="G1835" s="18" t="s">
        <v>9</v>
      </c>
      <c r="H1835" s="150" t="s">
        <v>139</v>
      </c>
      <c r="I1835" s="151"/>
      <c r="J1835" s="21" t="s">
        <v>12</v>
      </c>
      <c r="K1835" s="22"/>
      <c r="L1835" s="21" t="s">
        <v>13</v>
      </c>
      <c r="M1835" s="22"/>
      <c r="N1835" s="21" t="s">
        <v>14</v>
      </c>
      <c r="O1835" s="22"/>
      <c r="P1835" s="21" t="s">
        <v>15</v>
      </c>
      <c r="Q1835" s="22"/>
      <c r="R1835" s="23" t="s">
        <v>16</v>
      </c>
      <c r="S1835" s="22"/>
      <c r="T1835" s="23" t="s">
        <v>17</v>
      </c>
      <c r="U1835" s="22"/>
      <c r="V1835" s="23" t="s">
        <v>18</v>
      </c>
      <c r="W1835" s="22"/>
      <c r="X1835" s="23" t="s">
        <v>19</v>
      </c>
      <c r="Y1835" s="22"/>
      <c r="Z1835" s="24" t="s">
        <v>342</v>
      </c>
      <c r="AA1835" s="118" t="s">
        <v>21</v>
      </c>
      <c r="AB1835" s="119" t="s">
        <v>22</v>
      </c>
      <c r="AC1835" s="7"/>
      <c r="AD1835" s="22"/>
      <c r="AE1835" s="120" t="s">
        <v>23</v>
      </c>
      <c r="AF1835" s="22"/>
      <c r="AG1835" s="1"/>
    </row>
    <row r="1836" ht="21.0" customHeight="1">
      <c r="A1836" s="1"/>
      <c r="B1836" s="27">
        <f>iferror(B1835-'현황'!$C$4+1,0)</f>
        <v>0</v>
      </c>
      <c r="C1836" s="28"/>
      <c r="D1836" s="29">
        <v>0.0</v>
      </c>
      <c r="E1836" s="30">
        <v>0.0</v>
      </c>
      <c r="F1836" s="31"/>
      <c r="G1836" s="32">
        <v>0.0</v>
      </c>
      <c r="H1836" s="33">
        <v>0.0</v>
      </c>
      <c r="I1836" s="34"/>
      <c r="J1836" s="35"/>
      <c r="K1836" s="36"/>
      <c r="L1836" s="35"/>
      <c r="M1836" s="36"/>
      <c r="N1836" s="35"/>
      <c r="O1836" s="36"/>
      <c r="P1836" s="35"/>
      <c r="Q1836" s="36"/>
      <c r="R1836" s="35"/>
      <c r="S1836" s="36"/>
      <c r="T1836" s="35"/>
      <c r="U1836" s="36"/>
      <c r="V1836" s="35"/>
      <c r="W1836" s="36"/>
      <c r="X1836" s="35"/>
      <c r="Y1836" s="36"/>
      <c r="Z1836" s="37"/>
      <c r="AA1836" s="37"/>
      <c r="AB1836" s="35"/>
      <c r="AC1836" s="38"/>
      <c r="AD1836" s="36"/>
      <c r="AE1836" s="35"/>
      <c r="AF1836" s="36"/>
      <c r="AG1836" s="1"/>
    </row>
    <row r="1837" ht="21.0" customHeight="1">
      <c r="A1837" s="1"/>
      <c r="B1837" s="39" t="s">
        <v>24</v>
      </c>
      <c r="C1837" s="40"/>
      <c r="D1837" s="41"/>
      <c r="E1837" s="42" t="s">
        <v>25</v>
      </c>
      <c r="F1837" s="40"/>
      <c r="G1837" s="41"/>
      <c r="H1837" s="43" t="s">
        <v>26</v>
      </c>
      <c r="J1837" s="44" t="s">
        <v>27</v>
      </c>
      <c r="K1837" s="45" t="s">
        <v>28</v>
      </c>
      <c r="L1837" s="44" t="s">
        <v>27</v>
      </c>
      <c r="M1837" s="45" t="s">
        <v>28</v>
      </c>
      <c r="N1837" s="44" t="s">
        <v>27</v>
      </c>
      <c r="O1837" s="45" t="s">
        <v>28</v>
      </c>
      <c r="P1837" s="44" t="s">
        <v>27</v>
      </c>
      <c r="Q1837" s="45" t="s">
        <v>28</v>
      </c>
      <c r="R1837" s="44" t="s">
        <v>27</v>
      </c>
      <c r="S1837" s="45" t="s">
        <v>28</v>
      </c>
      <c r="T1837" s="44" t="s">
        <v>27</v>
      </c>
      <c r="U1837" s="45" t="s">
        <v>28</v>
      </c>
      <c r="V1837" s="44" t="s">
        <v>27</v>
      </c>
      <c r="W1837" s="45" t="s">
        <v>28</v>
      </c>
      <c r="X1837" s="44" t="s">
        <v>27</v>
      </c>
      <c r="Y1837" s="45" t="s">
        <v>28</v>
      </c>
      <c r="Z1837" s="46"/>
      <c r="AA1837" s="46"/>
      <c r="AB1837" s="121" t="s">
        <v>29</v>
      </c>
      <c r="AC1837" s="122" t="s">
        <v>30</v>
      </c>
      <c r="AD1837" s="123" t="s">
        <v>31</v>
      </c>
      <c r="AE1837" s="121" t="s">
        <v>27</v>
      </c>
      <c r="AF1837" s="123" t="s">
        <v>28</v>
      </c>
      <c r="AG1837" s="1"/>
    </row>
    <row r="1838" ht="21.0" customHeight="1">
      <c r="A1838" s="1"/>
      <c r="B1838" s="48" t="s">
        <v>32</v>
      </c>
      <c r="C1838" s="49"/>
      <c r="D1838" s="50"/>
      <c r="E1838" s="51" t="s">
        <v>33</v>
      </c>
      <c r="F1838" s="52" t="s">
        <v>34</v>
      </c>
      <c r="G1838" s="53"/>
      <c r="H1838" s="148"/>
      <c r="I1838" s="55"/>
      <c r="J1838" s="58"/>
      <c r="K1838" s="59"/>
      <c r="L1838" s="58"/>
      <c r="M1838" s="59"/>
      <c r="N1838" s="58"/>
      <c r="O1838" s="59"/>
      <c r="P1838" s="58"/>
      <c r="Q1838" s="59"/>
      <c r="R1838" s="58"/>
      <c r="S1838" s="59"/>
      <c r="T1838" s="58"/>
      <c r="U1838" s="59"/>
      <c r="V1838" s="58"/>
      <c r="W1838" s="59"/>
      <c r="X1838" s="58"/>
      <c r="Y1838" s="59"/>
      <c r="Z1838" s="60" t="b">
        <v>0</v>
      </c>
      <c r="AA1838" s="125">
        <f t="shared" ref="AA1838:AA1846" si="733">(J1838*K1838+L1838*M1838+N1838*O1838+P1838*Q1838+R1838*S1838+T1838*U1838+V1838*W1838+X1838*Y1838)*if(Z1838=true,0.453592,1)</f>
        <v>0</v>
      </c>
      <c r="AB1838" s="126">
        <f t="shared" ref="AB1838:AB1846" si="734">SUM(AE1838*AF1838*0.025,AE1838)</f>
        <v>0</v>
      </c>
      <c r="AC1838" s="127">
        <f t="shared" ref="AC1838:AC1846" si="735">AB1838*87%</f>
        <v>0</v>
      </c>
      <c r="AD1838" s="128">
        <f t="shared" ref="AD1838:AD1846" si="736">AB1838*67%</f>
        <v>0</v>
      </c>
      <c r="AE1838" s="126">
        <f t="shared" ref="AE1838:AE1846" si="737">MAX(J1838,L1838,N1838,P1838,R1838,T1838,V1838,X1838)*if(Z1838=true,0.453592,1)</f>
        <v>0</v>
      </c>
      <c r="AF1838" s="128">
        <f t="shared" ref="AF1838:AF1846" si="738">MAX(IF(J1838*if(Z1838=true,0.453592,1)=$AE1838,K1838,0),IF(L1838*if(Z1838=true,0.453592,1)=$AE1838,M1838,0),IF(N1838*if(Z1838=true,0.453592,1)=$AE1838,O1838,0),IF(P1838*if(Z1838=true,0.453592,1)=$AE1838,Q1838,0),IF(R1838*if(Z1838=true,0.453592,1)=$AE1838,S1838,0),IF(T1838*if(Z1838=true,0.453592,1)=$AE1838,U1838,0),IF(V1838*if(Z1838=true,0.453592,1)=$AE1838,W1838,0),IF(X1838*if(Z1838=true,0.453592,1)=$AE1838,Y1838,0))</f>
        <v>0</v>
      </c>
      <c r="AG1838" s="1"/>
    </row>
    <row r="1839" ht="21.0" customHeight="1">
      <c r="A1839" s="1"/>
      <c r="B1839" s="48" t="s">
        <v>36</v>
      </c>
      <c r="C1839" s="49"/>
      <c r="D1839" s="65"/>
      <c r="E1839" s="66"/>
      <c r="F1839" s="52" t="s">
        <v>37</v>
      </c>
      <c r="G1839" s="67"/>
      <c r="H1839" s="129"/>
      <c r="I1839" s="69"/>
      <c r="J1839" s="72"/>
      <c r="K1839" s="73"/>
      <c r="L1839" s="72"/>
      <c r="M1839" s="73"/>
      <c r="N1839" s="72"/>
      <c r="O1839" s="73"/>
      <c r="P1839" s="72"/>
      <c r="Q1839" s="73"/>
      <c r="R1839" s="72"/>
      <c r="S1839" s="73"/>
      <c r="T1839" s="72"/>
      <c r="U1839" s="73"/>
      <c r="V1839" s="72"/>
      <c r="W1839" s="73"/>
      <c r="X1839" s="72"/>
      <c r="Y1839" s="73"/>
      <c r="Z1839" s="74" t="b">
        <v>0</v>
      </c>
      <c r="AA1839" s="130">
        <f t="shared" si="733"/>
        <v>0</v>
      </c>
      <c r="AB1839" s="131">
        <f t="shared" si="734"/>
        <v>0</v>
      </c>
      <c r="AC1839" s="132">
        <f t="shared" si="735"/>
        <v>0</v>
      </c>
      <c r="AD1839" s="133">
        <f t="shared" si="736"/>
        <v>0</v>
      </c>
      <c r="AE1839" s="131">
        <f t="shared" si="737"/>
        <v>0</v>
      </c>
      <c r="AF1839" s="133">
        <f t="shared" si="738"/>
        <v>0</v>
      </c>
      <c r="AG1839" s="1"/>
    </row>
    <row r="1840" ht="21.0" customHeight="1">
      <c r="A1840" s="1"/>
      <c r="B1840" s="48" t="s">
        <v>39</v>
      </c>
      <c r="C1840" s="49"/>
      <c r="D1840" s="65"/>
      <c r="E1840" s="41"/>
      <c r="F1840" s="52" t="s">
        <v>40</v>
      </c>
      <c r="G1840" s="79"/>
      <c r="H1840" s="80"/>
      <c r="I1840" s="69"/>
      <c r="J1840" s="72"/>
      <c r="K1840" s="73"/>
      <c r="L1840" s="72"/>
      <c r="M1840" s="73"/>
      <c r="N1840" s="72"/>
      <c r="O1840" s="73"/>
      <c r="P1840" s="72"/>
      <c r="Q1840" s="73"/>
      <c r="R1840" s="72"/>
      <c r="S1840" s="73"/>
      <c r="T1840" s="72"/>
      <c r="U1840" s="73"/>
      <c r="V1840" s="72"/>
      <c r="W1840" s="73"/>
      <c r="X1840" s="72"/>
      <c r="Y1840" s="73"/>
      <c r="Z1840" s="74" t="b">
        <v>0</v>
      </c>
      <c r="AA1840" s="130">
        <f t="shared" si="733"/>
        <v>0</v>
      </c>
      <c r="AB1840" s="131">
        <f t="shared" si="734"/>
        <v>0</v>
      </c>
      <c r="AC1840" s="132">
        <f t="shared" si="735"/>
        <v>0</v>
      </c>
      <c r="AD1840" s="133">
        <f t="shared" si="736"/>
        <v>0</v>
      </c>
      <c r="AE1840" s="131">
        <f t="shared" si="737"/>
        <v>0</v>
      </c>
      <c r="AF1840" s="133">
        <f t="shared" si="738"/>
        <v>0</v>
      </c>
      <c r="AG1840" s="1"/>
    </row>
    <row r="1841" ht="21.0" customHeight="1">
      <c r="A1841" s="1"/>
      <c r="B1841" s="48" t="s">
        <v>41</v>
      </c>
      <c r="C1841" s="81"/>
      <c r="D1841" s="82" t="b">
        <v>0</v>
      </c>
      <c r="E1841" s="51" t="s">
        <v>42</v>
      </c>
      <c r="F1841" s="52" t="s">
        <v>34</v>
      </c>
      <c r="G1841" s="83"/>
      <c r="H1841" s="84"/>
      <c r="I1841" s="85"/>
      <c r="J1841" s="72"/>
      <c r="K1841" s="73"/>
      <c r="L1841" s="72"/>
      <c r="M1841" s="73"/>
      <c r="N1841" s="72"/>
      <c r="O1841" s="73"/>
      <c r="P1841" s="72"/>
      <c r="Q1841" s="73"/>
      <c r="R1841" s="72"/>
      <c r="S1841" s="73"/>
      <c r="T1841" s="72"/>
      <c r="U1841" s="73"/>
      <c r="V1841" s="72"/>
      <c r="W1841" s="73"/>
      <c r="X1841" s="72"/>
      <c r="Y1841" s="73"/>
      <c r="Z1841" s="74" t="b">
        <v>0</v>
      </c>
      <c r="AA1841" s="130">
        <f t="shared" si="733"/>
        <v>0</v>
      </c>
      <c r="AB1841" s="131">
        <f t="shared" si="734"/>
        <v>0</v>
      </c>
      <c r="AC1841" s="132">
        <f t="shared" si="735"/>
        <v>0</v>
      </c>
      <c r="AD1841" s="133">
        <f t="shared" si="736"/>
        <v>0</v>
      </c>
      <c r="AE1841" s="131">
        <f t="shared" si="737"/>
        <v>0</v>
      </c>
      <c r="AF1841" s="133">
        <f t="shared" si="738"/>
        <v>0</v>
      </c>
      <c r="AG1841" s="1"/>
    </row>
    <row r="1842" ht="21.0" customHeight="1">
      <c r="A1842" s="1"/>
      <c r="B1842" s="48" t="s">
        <v>43</v>
      </c>
      <c r="C1842" s="49"/>
      <c r="D1842" s="86" t="b">
        <v>0</v>
      </c>
      <c r="E1842" s="66"/>
      <c r="F1842" s="52" t="s">
        <v>37</v>
      </c>
      <c r="G1842" s="67"/>
      <c r="H1842" s="80"/>
      <c r="I1842" s="69"/>
      <c r="J1842" s="72"/>
      <c r="K1842" s="73"/>
      <c r="L1842" s="72"/>
      <c r="M1842" s="73"/>
      <c r="N1842" s="72"/>
      <c r="O1842" s="73"/>
      <c r="P1842" s="72"/>
      <c r="Q1842" s="73"/>
      <c r="R1842" s="72"/>
      <c r="S1842" s="73"/>
      <c r="T1842" s="72"/>
      <c r="U1842" s="73"/>
      <c r="V1842" s="72"/>
      <c r="W1842" s="73"/>
      <c r="X1842" s="72"/>
      <c r="Y1842" s="73"/>
      <c r="Z1842" s="74" t="b">
        <v>0</v>
      </c>
      <c r="AA1842" s="130">
        <f t="shared" si="733"/>
        <v>0</v>
      </c>
      <c r="AB1842" s="131">
        <f t="shared" si="734"/>
        <v>0</v>
      </c>
      <c r="AC1842" s="132">
        <f t="shared" si="735"/>
        <v>0</v>
      </c>
      <c r="AD1842" s="133">
        <f t="shared" si="736"/>
        <v>0</v>
      </c>
      <c r="AE1842" s="131">
        <f t="shared" si="737"/>
        <v>0</v>
      </c>
      <c r="AF1842" s="133">
        <f t="shared" si="738"/>
        <v>0</v>
      </c>
      <c r="AG1842" s="1"/>
    </row>
    <row r="1843" ht="21.0" customHeight="1">
      <c r="A1843" s="1"/>
      <c r="B1843" s="87" t="str">
        <f t="array" ref="B1843">"📌최근 인바디 결과 : "&amp;text(xlookup(B1835,'현황'!O:O,'현황'!O:O,,-1,-1),"m/d(ddd)")</f>
        <v>#REF!</v>
      </c>
      <c r="C1843" s="88"/>
      <c r="D1843" s="49"/>
      <c r="E1843" s="41"/>
      <c r="F1843" s="52" t="s">
        <v>40</v>
      </c>
      <c r="G1843" s="79"/>
      <c r="H1843" s="80"/>
      <c r="I1843" s="69"/>
      <c r="J1843" s="72"/>
      <c r="K1843" s="73"/>
      <c r="L1843" s="72"/>
      <c r="M1843" s="73"/>
      <c r="N1843" s="72"/>
      <c r="O1843" s="73"/>
      <c r="P1843" s="72"/>
      <c r="Q1843" s="73"/>
      <c r="R1843" s="72"/>
      <c r="S1843" s="73"/>
      <c r="T1843" s="72"/>
      <c r="U1843" s="73"/>
      <c r="V1843" s="72"/>
      <c r="W1843" s="73"/>
      <c r="X1843" s="72"/>
      <c r="Y1843" s="73"/>
      <c r="Z1843" s="74" t="b">
        <v>0</v>
      </c>
      <c r="AA1843" s="130">
        <f t="shared" si="733"/>
        <v>0</v>
      </c>
      <c r="AB1843" s="131">
        <f t="shared" si="734"/>
        <v>0</v>
      </c>
      <c r="AC1843" s="132">
        <f t="shared" si="735"/>
        <v>0</v>
      </c>
      <c r="AD1843" s="133">
        <f t="shared" si="736"/>
        <v>0</v>
      </c>
      <c r="AE1843" s="131">
        <f t="shared" si="737"/>
        <v>0</v>
      </c>
      <c r="AF1843" s="133">
        <f t="shared" si="738"/>
        <v>0</v>
      </c>
      <c r="AG1843" s="1"/>
    </row>
    <row r="1844" ht="21.0" customHeight="1">
      <c r="A1844" s="1"/>
      <c r="B1844" s="89" t="s">
        <v>44</v>
      </c>
      <c r="C1844" s="49"/>
      <c r="D1844" s="90">
        <f t="array" ref="D1844">iferror(vlookup(xlookup(B1835,'현황'!O:O,'현황'!O:O,,-1,-1),'현황'!O:S,2,false),0)</f>
        <v>0</v>
      </c>
      <c r="E1844" s="51" t="s">
        <v>45</v>
      </c>
      <c r="F1844" s="52" t="s">
        <v>34</v>
      </c>
      <c r="G1844" s="83"/>
      <c r="H1844" s="84"/>
      <c r="I1844" s="85"/>
      <c r="J1844" s="72"/>
      <c r="K1844" s="73"/>
      <c r="L1844" s="72"/>
      <c r="M1844" s="73"/>
      <c r="N1844" s="72"/>
      <c r="O1844" s="73"/>
      <c r="P1844" s="72"/>
      <c r="Q1844" s="73"/>
      <c r="R1844" s="72"/>
      <c r="S1844" s="73"/>
      <c r="T1844" s="72"/>
      <c r="U1844" s="73"/>
      <c r="V1844" s="72"/>
      <c r="W1844" s="73"/>
      <c r="X1844" s="72"/>
      <c r="Y1844" s="73"/>
      <c r="Z1844" s="74" t="b">
        <v>0</v>
      </c>
      <c r="AA1844" s="130">
        <f t="shared" si="733"/>
        <v>0</v>
      </c>
      <c r="AB1844" s="131">
        <f t="shared" si="734"/>
        <v>0</v>
      </c>
      <c r="AC1844" s="132">
        <f t="shared" si="735"/>
        <v>0</v>
      </c>
      <c r="AD1844" s="133">
        <f t="shared" si="736"/>
        <v>0</v>
      </c>
      <c r="AE1844" s="131">
        <f t="shared" si="737"/>
        <v>0</v>
      </c>
      <c r="AF1844" s="133">
        <f t="shared" si="738"/>
        <v>0</v>
      </c>
      <c r="AG1844" s="1"/>
    </row>
    <row r="1845" ht="21.0" customHeight="1">
      <c r="A1845" s="1"/>
      <c r="B1845" s="48" t="s">
        <v>46</v>
      </c>
      <c r="C1845" s="49"/>
      <c r="D1845" s="91">
        <f t="array" ref="D1845">iferror(vlookup(xlookup(B1835,'현황'!O:O,'현황'!O:O,,-1,-1),'현황'!O:S,3,false),0)</f>
        <v>0</v>
      </c>
      <c r="E1845" s="66"/>
      <c r="F1845" s="52" t="s">
        <v>37</v>
      </c>
      <c r="G1845" s="67"/>
      <c r="H1845" s="80"/>
      <c r="I1845" s="69"/>
      <c r="J1845" s="72"/>
      <c r="K1845" s="73"/>
      <c r="L1845" s="72"/>
      <c r="M1845" s="73"/>
      <c r="N1845" s="72"/>
      <c r="O1845" s="73"/>
      <c r="P1845" s="72"/>
      <c r="Q1845" s="73"/>
      <c r="R1845" s="72"/>
      <c r="S1845" s="73"/>
      <c r="T1845" s="72"/>
      <c r="U1845" s="73"/>
      <c r="V1845" s="72"/>
      <c r="W1845" s="73"/>
      <c r="X1845" s="72"/>
      <c r="Y1845" s="73"/>
      <c r="Z1845" s="74" t="b">
        <v>0</v>
      </c>
      <c r="AA1845" s="130">
        <f t="shared" si="733"/>
        <v>0</v>
      </c>
      <c r="AB1845" s="131">
        <f t="shared" si="734"/>
        <v>0</v>
      </c>
      <c r="AC1845" s="132">
        <f t="shared" si="735"/>
        <v>0</v>
      </c>
      <c r="AD1845" s="133">
        <f t="shared" si="736"/>
        <v>0</v>
      </c>
      <c r="AE1845" s="131">
        <f t="shared" si="737"/>
        <v>0</v>
      </c>
      <c r="AF1845" s="133">
        <f t="shared" si="738"/>
        <v>0</v>
      </c>
      <c r="AG1845" s="1"/>
    </row>
    <row r="1846" ht="21.0" customHeight="1">
      <c r="A1846" s="1"/>
      <c r="B1846" s="48" t="s">
        <v>47</v>
      </c>
      <c r="C1846" s="49"/>
      <c r="D1846" s="91">
        <f t="array" ref="D1846">iferror(vlookup(xlookup(B1835,'현황'!O:O,'현황'!O:O,,-1,-1),'현황'!O:S,4,false),0)</f>
        <v>0</v>
      </c>
      <c r="E1846" s="41"/>
      <c r="F1846" s="92" t="s">
        <v>40</v>
      </c>
      <c r="G1846" s="79"/>
      <c r="H1846" s="93"/>
      <c r="I1846" s="94"/>
      <c r="J1846" s="95"/>
      <c r="K1846" s="96"/>
      <c r="L1846" s="95"/>
      <c r="M1846" s="96"/>
      <c r="N1846" s="95"/>
      <c r="O1846" s="96"/>
      <c r="P1846" s="95"/>
      <c r="Q1846" s="96"/>
      <c r="R1846" s="95"/>
      <c r="S1846" s="96"/>
      <c r="T1846" s="95"/>
      <c r="U1846" s="96"/>
      <c r="V1846" s="95"/>
      <c r="W1846" s="96"/>
      <c r="X1846" s="95"/>
      <c r="Y1846" s="96"/>
      <c r="Z1846" s="97" t="b">
        <v>0</v>
      </c>
      <c r="AA1846" s="135">
        <f t="shared" si="733"/>
        <v>0</v>
      </c>
      <c r="AB1846" s="136">
        <f t="shared" si="734"/>
        <v>0</v>
      </c>
      <c r="AC1846" s="137">
        <f t="shared" si="735"/>
        <v>0</v>
      </c>
      <c r="AD1846" s="138">
        <f t="shared" si="736"/>
        <v>0</v>
      </c>
      <c r="AE1846" s="136">
        <f t="shared" si="737"/>
        <v>0</v>
      </c>
      <c r="AF1846" s="138">
        <f t="shared" si="738"/>
        <v>0</v>
      </c>
      <c r="AG1846" s="1"/>
    </row>
    <row r="1847" ht="21.0" customHeight="1">
      <c r="A1847" s="1"/>
      <c r="B1847" s="102" t="s">
        <v>48</v>
      </c>
      <c r="C1847" s="103"/>
      <c r="D1847" s="104">
        <f>iferror(D1846/D1844,0)</f>
        <v>0</v>
      </c>
      <c r="E1847" s="102" t="s">
        <v>49</v>
      </c>
      <c r="F1847" s="103"/>
      <c r="G1847" s="105"/>
      <c r="H1847" s="106" t="s">
        <v>50</v>
      </c>
      <c r="I1847" s="107"/>
      <c r="J1847" s="11"/>
      <c r="K1847" s="11"/>
      <c r="L1847" s="11"/>
      <c r="M1847" s="11"/>
      <c r="N1847" s="11"/>
      <c r="O1847" s="11"/>
      <c r="P1847" s="108" t="s">
        <v>51</v>
      </c>
      <c r="Q1847" s="12"/>
      <c r="R1847" s="109"/>
      <c r="S1847" s="11"/>
      <c r="T1847" s="11"/>
      <c r="U1847" s="11"/>
      <c r="V1847" s="11"/>
      <c r="W1847" s="11"/>
      <c r="X1847" s="11"/>
      <c r="Y1847" s="11"/>
      <c r="Z1847" s="12"/>
      <c r="AA1847" s="139">
        <f>SUM(AA1838:AA1846)</f>
        <v>0</v>
      </c>
      <c r="AB1847" s="140" t="s">
        <v>343</v>
      </c>
      <c r="AG1847" s="1"/>
    </row>
    <row r="1848" ht="21.0" customHeight="1">
      <c r="A1848" s="1"/>
      <c r="B1848" s="1"/>
      <c r="C1848" s="1"/>
      <c r="D1848" s="1"/>
      <c r="E1848" s="1"/>
      <c r="F1848" s="1"/>
      <c r="G1848" s="1"/>
      <c r="H1848" s="1"/>
      <c r="I1848" s="1"/>
      <c r="AA1848" s="1"/>
      <c r="AB1848" s="1"/>
      <c r="AC1848" s="3"/>
      <c r="AD1848" s="1"/>
      <c r="AE1848" s="1"/>
      <c r="AF1848" s="1"/>
      <c r="AG1848" s="1"/>
    </row>
    <row r="1849" ht="21.0" customHeight="1">
      <c r="A1849" s="1"/>
      <c r="B1849" s="4" t="s">
        <v>1</v>
      </c>
      <c r="C1849" s="5"/>
      <c r="D1849" s="6" t="s">
        <v>2</v>
      </c>
      <c r="E1849" s="7"/>
      <c r="F1849" s="7"/>
      <c r="G1849" s="5"/>
      <c r="H1849" s="8" t="s">
        <v>3</v>
      </c>
      <c r="I1849" s="8" t="s">
        <v>4</v>
      </c>
      <c r="J1849" s="9" t="s">
        <v>5</v>
      </c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5"/>
      <c r="AA1849" s="117" t="s">
        <v>6</v>
      </c>
      <c r="AB1849" s="11"/>
      <c r="AC1849" s="11"/>
      <c r="AD1849" s="11"/>
      <c r="AE1849" s="11"/>
      <c r="AF1849" s="12"/>
      <c r="AG1849" s="1"/>
    </row>
    <row r="1850" ht="21.0" customHeight="1">
      <c r="A1850" s="1"/>
      <c r="B1850" s="149" t="s">
        <v>138</v>
      </c>
      <c r="C1850" s="14" t="str">
        <f>if(B1850="0/0","",choose(weekday(B1850),"(일)","(월)","(화)","(수)","(목)","(금)","(토)"))</f>
        <v/>
      </c>
      <c r="D1850" s="15" t="s">
        <v>7</v>
      </c>
      <c r="E1850" s="16" t="s">
        <v>8</v>
      </c>
      <c r="F1850" s="17"/>
      <c r="G1850" s="18" t="s">
        <v>9</v>
      </c>
      <c r="H1850" s="150" t="s">
        <v>139</v>
      </c>
      <c r="I1850" s="151"/>
      <c r="J1850" s="21" t="s">
        <v>12</v>
      </c>
      <c r="K1850" s="22"/>
      <c r="L1850" s="21" t="s">
        <v>13</v>
      </c>
      <c r="M1850" s="22"/>
      <c r="N1850" s="21" t="s">
        <v>14</v>
      </c>
      <c r="O1850" s="22"/>
      <c r="P1850" s="21" t="s">
        <v>15</v>
      </c>
      <c r="Q1850" s="22"/>
      <c r="R1850" s="23" t="s">
        <v>16</v>
      </c>
      <c r="S1850" s="22"/>
      <c r="T1850" s="23" t="s">
        <v>17</v>
      </c>
      <c r="U1850" s="22"/>
      <c r="V1850" s="23" t="s">
        <v>18</v>
      </c>
      <c r="W1850" s="22"/>
      <c r="X1850" s="23" t="s">
        <v>19</v>
      </c>
      <c r="Y1850" s="22"/>
      <c r="Z1850" s="24" t="s">
        <v>344</v>
      </c>
      <c r="AA1850" s="118" t="s">
        <v>21</v>
      </c>
      <c r="AB1850" s="119" t="s">
        <v>22</v>
      </c>
      <c r="AC1850" s="7"/>
      <c r="AD1850" s="22"/>
      <c r="AE1850" s="120" t="s">
        <v>23</v>
      </c>
      <c r="AF1850" s="22"/>
      <c r="AG1850" s="1"/>
    </row>
    <row r="1851" ht="21.0" customHeight="1">
      <c r="A1851" s="1"/>
      <c r="B1851" s="27">
        <f>iferror(B1850-'현황'!$C$4+1,0)</f>
        <v>0</v>
      </c>
      <c r="C1851" s="28"/>
      <c r="D1851" s="29">
        <v>0.0</v>
      </c>
      <c r="E1851" s="30">
        <v>0.0</v>
      </c>
      <c r="F1851" s="31"/>
      <c r="G1851" s="32">
        <v>0.0</v>
      </c>
      <c r="H1851" s="33">
        <v>0.0</v>
      </c>
      <c r="I1851" s="34"/>
      <c r="J1851" s="35"/>
      <c r="K1851" s="36"/>
      <c r="L1851" s="35"/>
      <c r="M1851" s="36"/>
      <c r="N1851" s="35"/>
      <c r="O1851" s="36"/>
      <c r="P1851" s="35"/>
      <c r="Q1851" s="36"/>
      <c r="R1851" s="35"/>
      <c r="S1851" s="36"/>
      <c r="T1851" s="35"/>
      <c r="U1851" s="36"/>
      <c r="V1851" s="35"/>
      <c r="W1851" s="36"/>
      <c r="X1851" s="35"/>
      <c r="Y1851" s="36"/>
      <c r="Z1851" s="37"/>
      <c r="AA1851" s="37"/>
      <c r="AB1851" s="35"/>
      <c r="AC1851" s="38"/>
      <c r="AD1851" s="36"/>
      <c r="AE1851" s="35"/>
      <c r="AF1851" s="36"/>
      <c r="AG1851" s="1"/>
    </row>
    <row r="1852" ht="21.0" customHeight="1">
      <c r="A1852" s="1"/>
      <c r="B1852" s="39" t="s">
        <v>24</v>
      </c>
      <c r="C1852" s="40"/>
      <c r="D1852" s="41"/>
      <c r="E1852" s="42" t="s">
        <v>25</v>
      </c>
      <c r="F1852" s="40"/>
      <c r="G1852" s="41"/>
      <c r="H1852" s="43" t="s">
        <v>26</v>
      </c>
      <c r="J1852" s="44" t="s">
        <v>27</v>
      </c>
      <c r="K1852" s="45" t="s">
        <v>28</v>
      </c>
      <c r="L1852" s="44" t="s">
        <v>27</v>
      </c>
      <c r="M1852" s="45" t="s">
        <v>28</v>
      </c>
      <c r="N1852" s="44" t="s">
        <v>27</v>
      </c>
      <c r="O1852" s="45" t="s">
        <v>28</v>
      </c>
      <c r="P1852" s="44" t="s">
        <v>27</v>
      </c>
      <c r="Q1852" s="45" t="s">
        <v>28</v>
      </c>
      <c r="R1852" s="44" t="s">
        <v>27</v>
      </c>
      <c r="S1852" s="45" t="s">
        <v>28</v>
      </c>
      <c r="T1852" s="44" t="s">
        <v>27</v>
      </c>
      <c r="U1852" s="45" t="s">
        <v>28</v>
      </c>
      <c r="V1852" s="44" t="s">
        <v>27</v>
      </c>
      <c r="W1852" s="45" t="s">
        <v>28</v>
      </c>
      <c r="X1852" s="44" t="s">
        <v>27</v>
      </c>
      <c r="Y1852" s="45" t="s">
        <v>28</v>
      </c>
      <c r="Z1852" s="46"/>
      <c r="AA1852" s="46"/>
      <c r="AB1852" s="121" t="s">
        <v>29</v>
      </c>
      <c r="AC1852" s="122" t="s">
        <v>30</v>
      </c>
      <c r="AD1852" s="123" t="s">
        <v>31</v>
      </c>
      <c r="AE1852" s="121" t="s">
        <v>27</v>
      </c>
      <c r="AF1852" s="123" t="s">
        <v>28</v>
      </c>
      <c r="AG1852" s="1"/>
    </row>
    <row r="1853" ht="21.0" customHeight="1">
      <c r="A1853" s="1"/>
      <c r="B1853" s="48" t="s">
        <v>32</v>
      </c>
      <c r="C1853" s="49"/>
      <c r="D1853" s="50"/>
      <c r="E1853" s="51" t="s">
        <v>33</v>
      </c>
      <c r="F1853" s="52" t="s">
        <v>34</v>
      </c>
      <c r="G1853" s="53"/>
      <c r="H1853" s="148"/>
      <c r="I1853" s="55"/>
      <c r="J1853" s="58"/>
      <c r="K1853" s="59"/>
      <c r="L1853" s="58"/>
      <c r="M1853" s="59"/>
      <c r="N1853" s="58"/>
      <c r="O1853" s="59"/>
      <c r="P1853" s="58"/>
      <c r="Q1853" s="59"/>
      <c r="R1853" s="58"/>
      <c r="S1853" s="59"/>
      <c r="T1853" s="58"/>
      <c r="U1853" s="59"/>
      <c r="V1853" s="58"/>
      <c r="W1853" s="59"/>
      <c r="X1853" s="58"/>
      <c r="Y1853" s="59"/>
      <c r="Z1853" s="60" t="b">
        <v>0</v>
      </c>
      <c r="AA1853" s="125">
        <f t="shared" ref="AA1853:AA1861" si="739">(J1853*K1853+L1853*M1853+N1853*O1853+P1853*Q1853+R1853*S1853+T1853*U1853+V1853*W1853+X1853*Y1853)*if(Z1853=true,0.453592,1)</f>
        <v>0</v>
      </c>
      <c r="AB1853" s="126">
        <f t="shared" ref="AB1853:AB1861" si="740">SUM(AE1853*AF1853*0.025,AE1853)</f>
        <v>0</v>
      </c>
      <c r="AC1853" s="127">
        <f t="shared" ref="AC1853:AC1861" si="741">AB1853*87%</f>
        <v>0</v>
      </c>
      <c r="AD1853" s="128">
        <f t="shared" ref="AD1853:AD1861" si="742">AB1853*67%</f>
        <v>0</v>
      </c>
      <c r="AE1853" s="126">
        <f t="shared" ref="AE1853:AE1861" si="743">MAX(J1853,L1853,N1853,P1853,R1853,T1853,V1853,X1853)*if(Z1853=true,0.453592,1)</f>
        <v>0</v>
      </c>
      <c r="AF1853" s="128">
        <f t="shared" ref="AF1853:AF1861" si="744">MAX(IF(J1853*if(Z1853=true,0.453592,1)=$AE1853,K1853,0),IF(L1853*if(Z1853=true,0.453592,1)=$AE1853,M1853,0),IF(N1853*if(Z1853=true,0.453592,1)=$AE1853,O1853,0),IF(P1853*if(Z1853=true,0.453592,1)=$AE1853,Q1853,0),IF(R1853*if(Z1853=true,0.453592,1)=$AE1853,S1853,0),IF(T1853*if(Z1853=true,0.453592,1)=$AE1853,U1853,0),IF(V1853*if(Z1853=true,0.453592,1)=$AE1853,W1853,0),IF(X1853*if(Z1853=true,0.453592,1)=$AE1853,Y1853,0))</f>
        <v>0</v>
      </c>
      <c r="AG1853" s="1"/>
    </row>
    <row r="1854" ht="21.0" customHeight="1">
      <c r="A1854" s="1"/>
      <c r="B1854" s="48" t="s">
        <v>36</v>
      </c>
      <c r="C1854" s="49"/>
      <c r="D1854" s="65"/>
      <c r="E1854" s="66"/>
      <c r="F1854" s="52" t="s">
        <v>37</v>
      </c>
      <c r="G1854" s="67"/>
      <c r="H1854" s="129"/>
      <c r="I1854" s="69"/>
      <c r="J1854" s="72"/>
      <c r="K1854" s="73"/>
      <c r="L1854" s="72"/>
      <c r="M1854" s="73"/>
      <c r="N1854" s="72"/>
      <c r="O1854" s="73"/>
      <c r="P1854" s="72"/>
      <c r="Q1854" s="73"/>
      <c r="R1854" s="72"/>
      <c r="S1854" s="73"/>
      <c r="T1854" s="72"/>
      <c r="U1854" s="73"/>
      <c r="V1854" s="72"/>
      <c r="W1854" s="73"/>
      <c r="X1854" s="72"/>
      <c r="Y1854" s="73"/>
      <c r="Z1854" s="74" t="b">
        <v>0</v>
      </c>
      <c r="AA1854" s="130">
        <f t="shared" si="739"/>
        <v>0</v>
      </c>
      <c r="AB1854" s="131">
        <f t="shared" si="740"/>
        <v>0</v>
      </c>
      <c r="AC1854" s="132">
        <f t="shared" si="741"/>
        <v>0</v>
      </c>
      <c r="AD1854" s="133">
        <f t="shared" si="742"/>
        <v>0</v>
      </c>
      <c r="AE1854" s="131">
        <f t="shared" si="743"/>
        <v>0</v>
      </c>
      <c r="AF1854" s="133">
        <f t="shared" si="744"/>
        <v>0</v>
      </c>
      <c r="AG1854" s="1"/>
    </row>
    <row r="1855" ht="21.0" customHeight="1">
      <c r="A1855" s="1"/>
      <c r="B1855" s="48" t="s">
        <v>39</v>
      </c>
      <c r="C1855" s="49"/>
      <c r="D1855" s="65"/>
      <c r="E1855" s="41"/>
      <c r="F1855" s="52" t="s">
        <v>40</v>
      </c>
      <c r="G1855" s="79"/>
      <c r="H1855" s="80"/>
      <c r="I1855" s="69"/>
      <c r="J1855" s="72"/>
      <c r="K1855" s="73"/>
      <c r="L1855" s="72"/>
      <c r="M1855" s="73"/>
      <c r="N1855" s="72"/>
      <c r="O1855" s="73"/>
      <c r="P1855" s="72"/>
      <c r="Q1855" s="73"/>
      <c r="R1855" s="72"/>
      <c r="S1855" s="73"/>
      <c r="T1855" s="72"/>
      <c r="U1855" s="73"/>
      <c r="V1855" s="72"/>
      <c r="W1855" s="73"/>
      <c r="X1855" s="72"/>
      <c r="Y1855" s="73"/>
      <c r="Z1855" s="74" t="b">
        <v>0</v>
      </c>
      <c r="AA1855" s="130">
        <f t="shared" si="739"/>
        <v>0</v>
      </c>
      <c r="AB1855" s="131">
        <f t="shared" si="740"/>
        <v>0</v>
      </c>
      <c r="AC1855" s="132">
        <f t="shared" si="741"/>
        <v>0</v>
      </c>
      <c r="AD1855" s="133">
        <f t="shared" si="742"/>
        <v>0</v>
      </c>
      <c r="AE1855" s="131">
        <f t="shared" si="743"/>
        <v>0</v>
      </c>
      <c r="AF1855" s="133">
        <f t="shared" si="744"/>
        <v>0</v>
      </c>
      <c r="AG1855" s="1"/>
    </row>
    <row r="1856" ht="21.0" customHeight="1">
      <c r="A1856" s="1"/>
      <c r="B1856" s="48" t="s">
        <v>41</v>
      </c>
      <c r="C1856" s="81"/>
      <c r="D1856" s="82" t="b">
        <v>0</v>
      </c>
      <c r="E1856" s="51" t="s">
        <v>42</v>
      </c>
      <c r="F1856" s="52" t="s">
        <v>34</v>
      </c>
      <c r="G1856" s="83"/>
      <c r="H1856" s="84"/>
      <c r="I1856" s="85"/>
      <c r="J1856" s="72"/>
      <c r="K1856" s="73"/>
      <c r="L1856" s="72"/>
      <c r="M1856" s="73"/>
      <c r="N1856" s="72"/>
      <c r="O1856" s="73"/>
      <c r="P1856" s="72"/>
      <c r="Q1856" s="73"/>
      <c r="R1856" s="72"/>
      <c r="S1856" s="73"/>
      <c r="T1856" s="72"/>
      <c r="U1856" s="73"/>
      <c r="V1856" s="72"/>
      <c r="W1856" s="73"/>
      <c r="X1856" s="72"/>
      <c r="Y1856" s="73"/>
      <c r="Z1856" s="74" t="b">
        <v>0</v>
      </c>
      <c r="AA1856" s="130">
        <f t="shared" si="739"/>
        <v>0</v>
      </c>
      <c r="AB1856" s="131">
        <f t="shared" si="740"/>
        <v>0</v>
      </c>
      <c r="AC1856" s="132">
        <f t="shared" si="741"/>
        <v>0</v>
      </c>
      <c r="AD1856" s="133">
        <f t="shared" si="742"/>
        <v>0</v>
      </c>
      <c r="AE1856" s="131">
        <f t="shared" si="743"/>
        <v>0</v>
      </c>
      <c r="AF1856" s="133">
        <f t="shared" si="744"/>
        <v>0</v>
      </c>
      <c r="AG1856" s="1"/>
    </row>
    <row r="1857" ht="21.0" customHeight="1">
      <c r="A1857" s="1"/>
      <c r="B1857" s="48" t="s">
        <v>43</v>
      </c>
      <c r="C1857" s="49"/>
      <c r="D1857" s="86" t="b">
        <v>0</v>
      </c>
      <c r="E1857" s="66"/>
      <c r="F1857" s="52" t="s">
        <v>37</v>
      </c>
      <c r="G1857" s="67"/>
      <c r="H1857" s="80"/>
      <c r="I1857" s="69"/>
      <c r="J1857" s="72"/>
      <c r="K1857" s="73"/>
      <c r="L1857" s="72"/>
      <c r="M1857" s="73"/>
      <c r="N1857" s="72"/>
      <c r="O1857" s="73"/>
      <c r="P1857" s="72"/>
      <c r="Q1857" s="73"/>
      <c r="R1857" s="72"/>
      <c r="S1857" s="73"/>
      <c r="T1857" s="72"/>
      <c r="U1857" s="73"/>
      <c r="V1857" s="72"/>
      <c r="W1857" s="73"/>
      <c r="X1857" s="72"/>
      <c r="Y1857" s="73"/>
      <c r="Z1857" s="74" t="b">
        <v>0</v>
      </c>
      <c r="AA1857" s="130">
        <f t="shared" si="739"/>
        <v>0</v>
      </c>
      <c r="AB1857" s="131">
        <f t="shared" si="740"/>
        <v>0</v>
      </c>
      <c r="AC1857" s="132">
        <f t="shared" si="741"/>
        <v>0</v>
      </c>
      <c r="AD1857" s="133">
        <f t="shared" si="742"/>
        <v>0</v>
      </c>
      <c r="AE1857" s="131">
        <f t="shared" si="743"/>
        <v>0</v>
      </c>
      <c r="AF1857" s="133">
        <f t="shared" si="744"/>
        <v>0</v>
      </c>
      <c r="AG1857" s="1"/>
    </row>
    <row r="1858" ht="21.0" customHeight="1">
      <c r="A1858" s="1"/>
      <c r="B1858" s="87" t="str">
        <f t="array" ref="B1858">"📌최근 인바디 결과 : "&amp;text(xlookup(B1850,'현황'!O:O,'현황'!O:O,,-1,-1),"m/d(ddd)")</f>
        <v>#REF!</v>
      </c>
      <c r="C1858" s="88"/>
      <c r="D1858" s="49"/>
      <c r="E1858" s="41"/>
      <c r="F1858" s="52" t="s">
        <v>40</v>
      </c>
      <c r="G1858" s="79"/>
      <c r="H1858" s="80"/>
      <c r="I1858" s="69"/>
      <c r="J1858" s="72"/>
      <c r="K1858" s="73"/>
      <c r="L1858" s="72"/>
      <c r="M1858" s="73"/>
      <c r="N1858" s="72"/>
      <c r="O1858" s="73"/>
      <c r="P1858" s="72"/>
      <c r="Q1858" s="73"/>
      <c r="R1858" s="72"/>
      <c r="S1858" s="73"/>
      <c r="T1858" s="72"/>
      <c r="U1858" s="73"/>
      <c r="V1858" s="72"/>
      <c r="W1858" s="73"/>
      <c r="X1858" s="72"/>
      <c r="Y1858" s="73"/>
      <c r="Z1858" s="74" t="b">
        <v>0</v>
      </c>
      <c r="AA1858" s="130">
        <f t="shared" si="739"/>
        <v>0</v>
      </c>
      <c r="AB1858" s="131">
        <f t="shared" si="740"/>
        <v>0</v>
      </c>
      <c r="AC1858" s="132">
        <f t="shared" si="741"/>
        <v>0</v>
      </c>
      <c r="AD1858" s="133">
        <f t="shared" si="742"/>
        <v>0</v>
      </c>
      <c r="AE1858" s="131">
        <f t="shared" si="743"/>
        <v>0</v>
      </c>
      <c r="AF1858" s="133">
        <f t="shared" si="744"/>
        <v>0</v>
      </c>
      <c r="AG1858" s="1"/>
    </row>
    <row r="1859" ht="21.0" customHeight="1">
      <c r="A1859" s="1"/>
      <c r="B1859" s="89" t="s">
        <v>44</v>
      </c>
      <c r="C1859" s="49"/>
      <c r="D1859" s="90">
        <f t="array" ref="D1859">iferror(vlookup(xlookup(B1850,'현황'!O:O,'현황'!O:O,,-1,-1),'현황'!O:S,2,false),0)</f>
        <v>0</v>
      </c>
      <c r="E1859" s="51" t="s">
        <v>45</v>
      </c>
      <c r="F1859" s="52" t="s">
        <v>34</v>
      </c>
      <c r="G1859" s="83"/>
      <c r="H1859" s="84"/>
      <c r="I1859" s="85"/>
      <c r="J1859" s="72"/>
      <c r="K1859" s="73"/>
      <c r="L1859" s="72"/>
      <c r="M1859" s="73"/>
      <c r="N1859" s="72"/>
      <c r="O1859" s="73"/>
      <c r="P1859" s="72"/>
      <c r="Q1859" s="73"/>
      <c r="R1859" s="72"/>
      <c r="S1859" s="73"/>
      <c r="T1859" s="72"/>
      <c r="U1859" s="73"/>
      <c r="V1859" s="72"/>
      <c r="W1859" s="73"/>
      <c r="X1859" s="72"/>
      <c r="Y1859" s="73"/>
      <c r="Z1859" s="74" t="b">
        <v>0</v>
      </c>
      <c r="AA1859" s="130">
        <f t="shared" si="739"/>
        <v>0</v>
      </c>
      <c r="AB1859" s="131">
        <f t="shared" si="740"/>
        <v>0</v>
      </c>
      <c r="AC1859" s="132">
        <f t="shared" si="741"/>
        <v>0</v>
      </c>
      <c r="AD1859" s="133">
        <f t="shared" si="742"/>
        <v>0</v>
      </c>
      <c r="AE1859" s="131">
        <f t="shared" si="743"/>
        <v>0</v>
      </c>
      <c r="AF1859" s="133">
        <f t="shared" si="744"/>
        <v>0</v>
      </c>
      <c r="AG1859" s="1"/>
    </row>
    <row r="1860" ht="21.0" customHeight="1">
      <c r="A1860" s="1"/>
      <c r="B1860" s="48" t="s">
        <v>46</v>
      </c>
      <c r="C1860" s="49"/>
      <c r="D1860" s="91">
        <f t="array" ref="D1860">iferror(vlookup(xlookup(B1850,'현황'!O:O,'현황'!O:O,,-1,-1),'현황'!O:S,3,false),0)</f>
        <v>0</v>
      </c>
      <c r="E1860" s="66"/>
      <c r="F1860" s="52" t="s">
        <v>37</v>
      </c>
      <c r="G1860" s="67"/>
      <c r="H1860" s="80"/>
      <c r="I1860" s="69"/>
      <c r="J1860" s="72"/>
      <c r="K1860" s="73"/>
      <c r="L1860" s="72"/>
      <c r="M1860" s="73"/>
      <c r="N1860" s="72"/>
      <c r="O1860" s="73"/>
      <c r="P1860" s="72"/>
      <c r="Q1860" s="73"/>
      <c r="R1860" s="72"/>
      <c r="S1860" s="73"/>
      <c r="T1860" s="72"/>
      <c r="U1860" s="73"/>
      <c r="V1860" s="72"/>
      <c r="W1860" s="73"/>
      <c r="X1860" s="72"/>
      <c r="Y1860" s="73"/>
      <c r="Z1860" s="74" t="b">
        <v>0</v>
      </c>
      <c r="AA1860" s="130">
        <f t="shared" si="739"/>
        <v>0</v>
      </c>
      <c r="AB1860" s="131">
        <f t="shared" si="740"/>
        <v>0</v>
      </c>
      <c r="AC1860" s="132">
        <f t="shared" si="741"/>
        <v>0</v>
      </c>
      <c r="AD1860" s="133">
        <f t="shared" si="742"/>
        <v>0</v>
      </c>
      <c r="AE1860" s="131">
        <f t="shared" si="743"/>
        <v>0</v>
      </c>
      <c r="AF1860" s="133">
        <f t="shared" si="744"/>
        <v>0</v>
      </c>
      <c r="AG1860" s="1"/>
    </row>
    <row r="1861" ht="21.0" customHeight="1">
      <c r="A1861" s="1"/>
      <c r="B1861" s="48" t="s">
        <v>47</v>
      </c>
      <c r="C1861" s="49"/>
      <c r="D1861" s="91">
        <f t="array" ref="D1861">iferror(vlookup(xlookup(B1850,'현황'!O:O,'현황'!O:O,,-1,-1),'현황'!O:S,4,false),0)</f>
        <v>0</v>
      </c>
      <c r="E1861" s="41"/>
      <c r="F1861" s="92" t="s">
        <v>40</v>
      </c>
      <c r="G1861" s="79"/>
      <c r="H1861" s="93"/>
      <c r="I1861" s="94"/>
      <c r="J1861" s="95"/>
      <c r="K1861" s="96"/>
      <c r="L1861" s="95"/>
      <c r="M1861" s="96"/>
      <c r="N1861" s="95"/>
      <c r="O1861" s="96"/>
      <c r="P1861" s="95"/>
      <c r="Q1861" s="96"/>
      <c r="R1861" s="95"/>
      <c r="S1861" s="96"/>
      <c r="T1861" s="95"/>
      <c r="U1861" s="96"/>
      <c r="V1861" s="95"/>
      <c r="W1861" s="96"/>
      <c r="X1861" s="95"/>
      <c r="Y1861" s="96"/>
      <c r="Z1861" s="97" t="b">
        <v>0</v>
      </c>
      <c r="AA1861" s="135">
        <f t="shared" si="739"/>
        <v>0</v>
      </c>
      <c r="AB1861" s="136">
        <f t="shared" si="740"/>
        <v>0</v>
      </c>
      <c r="AC1861" s="137">
        <f t="shared" si="741"/>
        <v>0</v>
      </c>
      <c r="AD1861" s="138">
        <f t="shared" si="742"/>
        <v>0</v>
      </c>
      <c r="AE1861" s="136">
        <f t="shared" si="743"/>
        <v>0</v>
      </c>
      <c r="AF1861" s="138">
        <f t="shared" si="744"/>
        <v>0</v>
      </c>
      <c r="AG1861" s="1"/>
    </row>
    <row r="1862" ht="21.0" customHeight="1">
      <c r="A1862" s="1"/>
      <c r="B1862" s="102" t="s">
        <v>48</v>
      </c>
      <c r="C1862" s="103"/>
      <c r="D1862" s="104">
        <f>iferror(D1861/D1859,0)</f>
        <v>0</v>
      </c>
      <c r="E1862" s="102" t="s">
        <v>49</v>
      </c>
      <c r="F1862" s="103"/>
      <c r="G1862" s="105"/>
      <c r="H1862" s="143" t="s">
        <v>50</v>
      </c>
      <c r="I1862" s="144"/>
      <c r="J1862" s="11"/>
      <c r="K1862" s="11"/>
      <c r="L1862" s="11"/>
      <c r="M1862" s="11"/>
      <c r="N1862" s="11"/>
      <c r="O1862" s="11"/>
      <c r="P1862" s="145" t="s">
        <v>51</v>
      </c>
      <c r="Q1862" s="12"/>
      <c r="R1862" s="146"/>
      <c r="S1862" s="11"/>
      <c r="T1862" s="11"/>
      <c r="U1862" s="11"/>
      <c r="V1862" s="11"/>
      <c r="W1862" s="11"/>
      <c r="X1862" s="11"/>
      <c r="Y1862" s="11"/>
      <c r="Z1862" s="12"/>
      <c r="AA1862" s="139">
        <f>SUM(AA1853:AA1861)</f>
        <v>0</v>
      </c>
      <c r="AB1862" s="140" t="s">
        <v>345</v>
      </c>
      <c r="AG1862" s="1"/>
    </row>
    <row r="1863" ht="21.0" customHeight="1">
      <c r="A1863" s="1"/>
      <c r="B1863" s="1"/>
      <c r="C1863" s="1"/>
      <c r="D1863" s="1"/>
      <c r="E1863" s="1"/>
      <c r="F1863" s="1"/>
      <c r="G1863" s="1"/>
      <c r="H1863" s="1"/>
      <c r="I1863" s="1"/>
      <c r="AA1863" s="1"/>
      <c r="AB1863" s="1"/>
      <c r="AC1863" s="3"/>
      <c r="AD1863" s="1"/>
      <c r="AE1863" s="1"/>
      <c r="AF1863" s="1"/>
      <c r="AG1863" s="1"/>
    </row>
    <row r="1864" ht="21.0" customHeight="1">
      <c r="A1864" s="1"/>
      <c r="B1864" s="4" t="s">
        <v>1</v>
      </c>
      <c r="C1864" s="5"/>
      <c r="D1864" s="6" t="s">
        <v>2</v>
      </c>
      <c r="E1864" s="7"/>
      <c r="F1864" s="7"/>
      <c r="G1864" s="5"/>
      <c r="H1864" s="8" t="s">
        <v>3</v>
      </c>
      <c r="I1864" s="8" t="s">
        <v>4</v>
      </c>
      <c r="J1864" s="9" t="s">
        <v>5</v>
      </c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5"/>
      <c r="AA1864" s="117" t="s">
        <v>6</v>
      </c>
      <c r="AB1864" s="11"/>
      <c r="AC1864" s="11"/>
      <c r="AD1864" s="11"/>
      <c r="AE1864" s="11"/>
      <c r="AF1864" s="12"/>
      <c r="AG1864" s="1"/>
    </row>
    <row r="1865" ht="21.0" customHeight="1">
      <c r="A1865" s="1"/>
      <c r="B1865" s="149" t="s">
        <v>138</v>
      </c>
      <c r="C1865" s="14" t="str">
        <f>if(B1865="0/0","",choose(weekday(B1865),"(일)","(월)","(화)","(수)","(목)","(금)","(토)"))</f>
        <v/>
      </c>
      <c r="D1865" s="15" t="s">
        <v>7</v>
      </c>
      <c r="E1865" s="16" t="s">
        <v>8</v>
      </c>
      <c r="F1865" s="17"/>
      <c r="G1865" s="18" t="s">
        <v>9</v>
      </c>
      <c r="H1865" s="150" t="s">
        <v>139</v>
      </c>
      <c r="I1865" s="151"/>
      <c r="J1865" s="21" t="s">
        <v>12</v>
      </c>
      <c r="K1865" s="22"/>
      <c r="L1865" s="21" t="s">
        <v>13</v>
      </c>
      <c r="M1865" s="22"/>
      <c r="N1865" s="21" t="s">
        <v>14</v>
      </c>
      <c r="O1865" s="22"/>
      <c r="P1865" s="21" t="s">
        <v>15</v>
      </c>
      <c r="Q1865" s="22"/>
      <c r="R1865" s="23" t="s">
        <v>16</v>
      </c>
      <c r="S1865" s="22"/>
      <c r="T1865" s="23" t="s">
        <v>17</v>
      </c>
      <c r="U1865" s="22"/>
      <c r="V1865" s="23" t="s">
        <v>18</v>
      </c>
      <c r="W1865" s="22"/>
      <c r="X1865" s="23" t="s">
        <v>19</v>
      </c>
      <c r="Y1865" s="22"/>
      <c r="Z1865" s="24" t="s">
        <v>346</v>
      </c>
      <c r="AA1865" s="118" t="s">
        <v>21</v>
      </c>
      <c r="AB1865" s="119" t="s">
        <v>22</v>
      </c>
      <c r="AC1865" s="7"/>
      <c r="AD1865" s="22"/>
      <c r="AE1865" s="120" t="s">
        <v>23</v>
      </c>
      <c r="AF1865" s="22"/>
      <c r="AG1865" s="1"/>
    </row>
    <row r="1866" ht="21.0" customHeight="1">
      <c r="A1866" s="1"/>
      <c r="B1866" s="27">
        <f>iferror(B1865-'현황'!$C$4+1,0)</f>
        <v>0</v>
      </c>
      <c r="C1866" s="28"/>
      <c r="D1866" s="29">
        <v>0.0</v>
      </c>
      <c r="E1866" s="30">
        <v>0.0</v>
      </c>
      <c r="F1866" s="31"/>
      <c r="G1866" s="32">
        <v>0.0</v>
      </c>
      <c r="H1866" s="33">
        <v>0.0</v>
      </c>
      <c r="I1866" s="34"/>
      <c r="J1866" s="35"/>
      <c r="K1866" s="36"/>
      <c r="L1866" s="35"/>
      <c r="M1866" s="36"/>
      <c r="N1866" s="35"/>
      <c r="O1866" s="36"/>
      <c r="P1866" s="35"/>
      <c r="Q1866" s="36"/>
      <c r="R1866" s="35"/>
      <c r="S1866" s="36"/>
      <c r="T1866" s="35"/>
      <c r="U1866" s="36"/>
      <c r="V1866" s="35"/>
      <c r="W1866" s="36"/>
      <c r="X1866" s="35"/>
      <c r="Y1866" s="36"/>
      <c r="Z1866" s="37"/>
      <c r="AA1866" s="37"/>
      <c r="AB1866" s="35"/>
      <c r="AC1866" s="38"/>
      <c r="AD1866" s="36"/>
      <c r="AE1866" s="35"/>
      <c r="AF1866" s="36"/>
      <c r="AG1866" s="1"/>
    </row>
    <row r="1867" ht="21.0" customHeight="1">
      <c r="A1867" s="1"/>
      <c r="B1867" s="39" t="s">
        <v>24</v>
      </c>
      <c r="C1867" s="40"/>
      <c r="D1867" s="41"/>
      <c r="E1867" s="42" t="s">
        <v>25</v>
      </c>
      <c r="F1867" s="40"/>
      <c r="G1867" s="41"/>
      <c r="H1867" s="43" t="s">
        <v>26</v>
      </c>
      <c r="J1867" s="44" t="s">
        <v>27</v>
      </c>
      <c r="K1867" s="45" t="s">
        <v>28</v>
      </c>
      <c r="L1867" s="44" t="s">
        <v>27</v>
      </c>
      <c r="M1867" s="45" t="s">
        <v>28</v>
      </c>
      <c r="N1867" s="44" t="s">
        <v>27</v>
      </c>
      <c r="O1867" s="45" t="s">
        <v>28</v>
      </c>
      <c r="P1867" s="44" t="s">
        <v>27</v>
      </c>
      <c r="Q1867" s="45" t="s">
        <v>28</v>
      </c>
      <c r="R1867" s="44" t="s">
        <v>27</v>
      </c>
      <c r="S1867" s="45" t="s">
        <v>28</v>
      </c>
      <c r="T1867" s="44" t="s">
        <v>27</v>
      </c>
      <c r="U1867" s="45" t="s">
        <v>28</v>
      </c>
      <c r="V1867" s="44" t="s">
        <v>27</v>
      </c>
      <c r="W1867" s="45" t="s">
        <v>28</v>
      </c>
      <c r="X1867" s="44" t="s">
        <v>27</v>
      </c>
      <c r="Y1867" s="45" t="s">
        <v>28</v>
      </c>
      <c r="Z1867" s="46"/>
      <c r="AA1867" s="46"/>
      <c r="AB1867" s="121" t="s">
        <v>29</v>
      </c>
      <c r="AC1867" s="122" t="s">
        <v>30</v>
      </c>
      <c r="AD1867" s="123" t="s">
        <v>31</v>
      </c>
      <c r="AE1867" s="121" t="s">
        <v>27</v>
      </c>
      <c r="AF1867" s="123" t="s">
        <v>28</v>
      </c>
      <c r="AG1867" s="1"/>
    </row>
    <row r="1868" ht="21.0" customHeight="1">
      <c r="A1868" s="1"/>
      <c r="B1868" s="48" t="s">
        <v>32</v>
      </c>
      <c r="C1868" s="49"/>
      <c r="D1868" s="50"/>
      <c r="E1868" s="51" t="s">
        <v>33</v>
      </c>
      <c r="F1868" s="52" t="s">
        <v>34</v>
      </c>
      <c r="G1868" s="53"/>
      <c r="H1868" s="148"/>
      <c r="I1868" s="55"/>
      <c r="J1868" s="58"/>
      <c r="K1868" s="59"/>
      <c r="L1868" s="58"/>
      <c r="M1868" s="59"/>
      <c r="N1868" s="58"/>
      <c r="O1868" s="59"/>
      <c r="P1868" s="58"/>
      <c r="Q1868" s="59"/>
      <c r="R1868" s="58"/>
      <c r="S1868" s="59"/>
      <c r="T1868" s="58"/>
      <c r="U1868" s="59"/>
      <c r="V1868" s="58"/>
      <c r="W1868" s="59"/>
      <c r="X1868" s="58"/>
      <c r="Y1868" s="59"/>
      <c r="Z1868" s="60" t="b">
        <v>0</v>
      </c>
      <c r="AA1868" s="125">
        <f t="shared" ref="AA1868:AA1876" si="745">(J1868*K1868+L1868*M1868+N1868*O1868+P1868*Q1868+R1868*S1868+T1868*U1868+V1868*W1868+X1868*Y1868)*if(Z1868=true,0.453592,1)</f>
        <v>0</v>
      </c>
      <c r="AB1868" s="126">
        <f t="shared" ref="AB1868:AB1876" si="746">SUM(AE1868*AF1868*0.025,AE1868)</f>
        <v>0</v>
      </c>
      <c r="AC1868" s="127">
        <f t="shared" ref="AC1868:AC1876" si="747">AB1868*87%</f>
        <v>0</v>
      </c>
      <c r="AD1868" s="128">
        <f t="shared" ref="AD1868:AD1876" si="748">AB1868*67%</f>
        <v>0</v>
      </c>
      <c r="AE1868" s="126">
        <f t="shared" ref="AE1868:AE1876" si="749">MAX(J1868,L1868,N1868,P1868,R1868,T1868,V1868,X1868)*if(Z1868=true,0.453592,1)</f>
        <v>0</v>
      </c>
      <c r="AF1868" s="128">
        <f t="shared" ref="AF1868:AF1876" si="750">MAX(IF(J1868*if(Z1868=true,0.453592,1)=$AE1868,K1868,0),IF(L1868*if(Z1868=true,0.453592,1)=$AE1868,M1868,0),IF(N1868*if(Z1868=true,0.453592,1)=$AE1868,O1868,0),IF(P1868*if(Z1868=true,0.453592,1)=$AE1868,Q1868,0),IF(R1868*if(Z1868=true,0.453592,1)=$AE1868,S1868,0),IF(T1868*if(Z1868=true,0.453592,1)=$AE1868,U1868,0),IF(V1868*if(Z1868=true,0.453592,1)=$AE1868,W1868,0),IF(X1868*if(Z1868=true,0.453592,1)=$AE1868,Y1868,0))</f>
        <v>0</v>
      </c>
      <c r="AG1868" s="1"/>
    </row>
    <row r="1869" ht="21.0" customHeight="1">
      <c r="A1869" s="1"/>
      <c r="B1869" s="48" t="s">
        <v>36</v>
      </c>
      <c r="C1869" s="49"/>
      <c r="D1869" s="65"/>
      <c r="E1869" s="66"/>
      <c r="F1869" s="52" t="s">
        <v>37</v>
      </c>
      <c r="G1869" s="67"/>
      <c r="H1869" s="129"/>
      <c r="I1869" s="69"/>
      <c r="J1869" s="72"/>
      <c r="K1869" s="73"/>
      <c r="L1869" s="72"/>
      <c r="M1869" s="73"/>
      <c r="N1869" s="72"/>
      <c r="O1869" s="73"/>
      <c r="P1869" s="72"/>
      <c r="Q1869" s="73"/>
      <c r="R1869" s="72"/>
      <c r="S1869" s="73"/>
      <c r="T1869" s="72"/>
      <c r="U1869" s="73"/>
      <c r="V1869" s="72"/>
      <c r="W1869" s="73"/>
      <c r="X1869" s="72"/>
      <c r="Y1869" s="73"/>
      <c r="Z1869" s="74" t="b">
        <v>0</v>
      </c>
      <c r="AA1869" s="130">
        <f t="shared" si="745"/>
        <v>0</v>
      </c>
      <c r="AB1869" s="131">
        <f t="shared" si="746"/>
        <v>0</v>
      </c>
      <c r="AC1869" s="132">
        <f t="shared" si="747"/>
        <v>0</v>
      </c>
      <c r="AD1869" s="133">
        <f t="shared" si="748"/>
        <v>0</v>
      </c>
      <c r="AE1869" s="131">
        <f t="shared" si="749"/>
        <v>0</v>
      </c>
      <c r="AF1869" s="133">
        <f t="shared" si="750"/>
        <v>0</v>
      </c>
      <c r="AG1869" s="1"/>
    </row>
    <row r="1870" ht="21.0" customHeight="1">
      <c r="A1870" s="1"/>
      <c r="B1870" s="48" t="s">
        <v>39</v>
      </c>
      <c r="C1870" s="49"/>
      <c r="D1870" s="65"/>
      <c r="E1870" s="41"/>
      <c r="F1870" s="52" t="s">
        <v>40</v>
      </c>
      <c r="G1870" s="79"/>
      <c r="H1870" s="80"/>
      <c r="I1870" s="69"/>
      <c r="J1870" s="72"/>
      <c r="K1870" s="73"/>
      <c r="L1870" s="72"/>
      <c r="M1870" s="73"/>
      <c r="N1870" s="72"/>
      <c r="O1870" s="73"/>
      <c r="P1870" s="72"/>
      <c r="Q1870" s="73"/>
      <c r="R1870" s="72"/>
      <c r="S1870" s="73"/>
      <c r="T1870" s="72"/>
      <c r="U1870" s="73"/>
      <c r="V1870" s="72"/>
      <c r="W1870" s="73"/>
      <c r="X1870" s="72"/>
      <c r="Y1870" s="73"/>
      <c r="Z1870" s="74" t="b">
        <v>0</v>
      </c>
      <c r="AA1870" s="130">
        <f t="shared" si="745"/>
        <v>0</v>
      </c>
      <c r="AB1870" s="131">
        <f t="shared" si="746"/>
        <v>0</v>
      </c>
      <c r="AC1870" s="132">
        <f t="shared" si="747"/>
        <v>0</v>
      </c>
      <c r="AD1870" s="133">
        <f t="shared" si="748"/>
        <v>0</v>
      </c>
      <c r="AE1870" s="131">
        <f t="shared" si="749"/>
        <v>0</v>
      </c>
      <c r="AF1870" s="133">
        <f t="shared" si="750"/>
        <v>0</v>
      </c>
      <c r="AG1870" s="1"/>
    </row>
    <row r="1871" ht="21.0" customHeight="1">
      <c r="A1871" s="1"/>
      <c r="B1871" s="48" t="s">
        <v>41</v>
      </c>
      <c r="C1871" s="81"/>
      <c r="D1871" s="82" t="b">
        <v>0</v>
      </c>
      <c r="E1871" s="51" t="s">
        <v>42</v>
      </c>
      <c r="F1871" s="52" t="s">
        <v>34</v>
      </c>
      <c r="G1871" s="83"/>
      <c r="H1871" s="84"/>
      <c r="I1871" s="85"/>
      <c r="J1871" s="72"/>
      <c r="K1871" s="73"/>
      <c r="L1871" s="72"/>
      <c r="M1871" s="73"/>
      <c r="N1871" s="72"/>
      <c r="O1871" s="73"/>
      <c r="P1871" s="72"/>
      <c r="Q1871" s="73"/>
      <c r="R1871" s="72"/>
      <c r="S1871" s="73"/>
      <c r="T1871" s="72"/>
      <c r="U1871" s="73"/>
      <c r="V1871" s="72"/>
      <c r="W1871" s="73"/>
      <c r="X1871" s="72"/>
      <c r="Y1871" s="73"/>
      <c r="Z1871" s="74" t="b">
        <v>0</v>
      </c>
      <c r="AA1871" s="130">
        <f t="shared" si="745"/>
        <v>0</v>
      </c>
      <c r="AB1871" s="131">
        <f t="shared" si="746"/>
        <v>0</v>
      </c>
      <c r="AC1871" s="132">
        <f t="shared" si="747"/>
        <v>0</v>
      </c>
      <c r="AD1871" s="133">
        <f t="shared" si="748"/>
        <v>0</v>
      </c>
      <c r="AE1871" s="131">
        <f t="shared" si="749"/>
        <v>0</v>
      </c>
      <c r="AF1871" s="133">
        <f t="shared" si="750"/>
        <v>0</v>
      </c>
      <c r="AG1871" s="1"/>
    </row>
    <row r="1872" ht="21.0" customHeight="1">
      <c r="A1872" s="1"/>
      <c r="B1872" s="48" t="s">
        <v>43</v>
      </c>
      <c r="C1872" s="49"/>
      <c r="D1872" s="86" t="b">
        <v>0</v>
      </c>
      <c r="E1872" s="66"/>
      <c r="F1872" s="52" t="s">
        <v>37</v>
      </c>
      <c r="G1872" s="67"/>
      <c r="H1872" s="80"/>
      <c r="I1872" s="69"/>
      <c r="J1872" s="72"/>
      <c r="K1872" s="73"/>
      <c r="L1872" s="72"/>
      <c r="M1872" s="73"/>
      <c r="N1872" s="72"/>
      <c r="O1872" s="73"/>
      <c r="P1872" s="72"/>
      <c r="Q1872" s="73"/>
      <c r="R1872" s="72"/>
      <c r="S1872" s="73"/>
      <c r="T1872" s="72"/>
      <c r="U1872" s="73"/>
      <c r="V1872" s="72"/>
      <c r="W1872" s="73"/>
      <c r="X1872" s="72"/>
      <c r="Y1872" s="73"/>
      <c r="Z1872" s="74" t="b">
        <v>0</v>
      </c>
      <c r="AA1872" s="130">
        <f t="shared" si="745"/>
        <v>0</v>
      </c>
      <c r="AB1872" s="131">
        <f t="shared" si="746"/>
        <v>0</v>
      </c>
      <c r="AC1872" s="132">
        <f t="shared" si="747"/>
        <v>0</v>
      </c>
      <c r="AD1872" s="133">
        <f t="shared" si="748"/>
        <v>0</v>
      </c>
      <c r="AE1872" s="131">
        <f t="shared" si="749"/>
        <v>0</v>
      </c>
      <c r="AF1872" s="133">
        <f t="shared" si="750"/>
        <v>0</v>
      </c>
      <c r="AG1872" s="1"/>
    </row>
    <row r="1873" ht="21.0" customHeight="1">
      <c r="A1873" s="1"/>
      <c r="B1873" s="87" t="str">
        <f t="array" ref="B1873">"📌최근 인바디 결과 : "&amp;text(xlookup(B1865,'현황'!O:O,'현황'!O:O,,-1,-1),"m/d(ddd)")</f>
        <v>#REF!</v>
      </c>
      <c r="C1873" s="88"/>
      <c r="D1873" s="49"/>
      <c r="E1873" s="41"/>
      <c r="F1873" s="52" t="s">
        <v>40</v>
      </c>
      <c r="G1873" s="79"/>
      <c r="H1873" s="80"/>
      <c r="I1873" s="69"/>
      <c r="J1873" s="72"/>
      <c r="K1873" s="73"/>
      <c r="L1873" s="72"/>
      <c r="M1873" s="73"/>
      <c r="N1873" s="72"/>
      <c r="O1873" s="73"/>
      <c r="P1873" s="72"/>
      <c r="Q1873" s="73"/>
      <c r="R1873" s="72"/>
      <c r="S1873" s="73"/>
      <c r="T1873" s="72"/>
      <c r="U1873" s="73"/>
      <c r="V1873" s="72"/>
      <c r="W1873" s="73"/>
      <c r="X1873" s="72"/>
      <c r="Y1873" s="73"/>
      <c r="Z1873" s="74" t="b">
        <v>0</v>
      </c>
      <c r="AA1873" s="130">
        <f t="shared" si="745"/>
        <v>0</v>
      </c>
      <c r="AB1873" s="131">
        <f t="shared" si="746"/>
        <v>0</v>
      </c>
      <c r="AC1873" s="132">
        <f t="shared" si="747"/>
        <v>0</v>
      </c>
      <c r="AD1873" s="133">
        <f t="shared" si="748"/>
        <v>0</v>
      </c>
      <c r="AE1873" s="131">
        <f t="shared" si="749"/>
        <v>0</v>
      </c>
      <c r="AF1873" s="133">
        <f t="shared" si="750"/>
        <v>0</v>
      </c>
      <c r="AG1873" s="1"/>
    </row>
    <row r="1874" ht="21.0" customHeight="1">
      <c r="A1874" s="1"/>
      <c r="B1874" s="89" t="s">
        <v>44</v>
      </c>
      <c r="C1874" s="49"/>
      <c r="D1874" s="90">
        <f t="array" ref="D1874">iferror(vlookup(xlookup(B1865,'현황'!O:O,'현황'!O:O,,-1,-1),'현황'!O:S,2,false),0)</f>
        <v>0</v>
      </c>
      <c r="E1874" s="51" t="s">
        <v>45</v>
      </c>
      <c r="F1874" s="52" t="s">
        <v>34</v>
      </c>
      <c r="G1874" s="83"/>
      <c r="H1874" s="84"/>
      <c r="I1874" s="85"/>
      <c r="J1874" s="72"/>
      <c r="K1874" s="73"/>
      <c r="L1874" s="72"/>
      <c r="M1874" s="73"/>
      <c r="N1874" s="72"/>
      <c r="O1874" s="73"/>
      <c r="P1874" s="72"/>
      <c r="Q1874" s="73"/>
      <c r="R1874" s="72"/>
      <c r="S1874" s="73"/>
      <c r="T1874" s="72"/>
      <c r="U1874" s="73"/>
      <c r="V1874" s="72"/>
      <c r="W1874" s="73"/>
      <c r="X1874" s="72"/>
      <c r="Y1874" s="73"/>
      <c r="Z1874" s="74" t="b">
        <v>0</v>
      </c>
      <c r="AA1874" s="130">
        <f t="shared" si="745"/>
        <v>0</v>
      </c>
      <c r="AB1874" s="131">
        <f t="shared" si="746"/>
        <v>0</v>
      </c>
      <c r="AC1874" s="132">
        <f t="shared" si="747"/>
        <v>0</v>
      </c>
      <c r="AD1874" s="133">
        <f t="shared" si="748"/>
        <v>0</v>
      </c>
      <c r="AE1874" s="131">
        <f t="shared" si="749"/>
        <v>0</v>
      </c>
      <c r="AF1874" s="133">
        <f t="shared" si="750"/>
        <v>0</v>
      </c>
      <c r="AG1874" s="1"/>
    </row>
    <row r="1875" ht="21.0" customHeight="1">
      <c r="A1875" s="1"/>
      <c r="B1875" s="48" t="s">
        <v>46</v>
      </c>
      <c r="C1875" s="49"/>
      <c r="D1875" s="91">
        <f t="array" ref="D1875">iferror(vlookup(xlookup(B1865,'현황'!O:O,'현황'!O:O,,-1,-1),'현황'!O:S,3,false),0)</f>
        <v>0</v>
      </c>
      <c r="E1875" s="66"/>
      <c r="F1875" s="52" t="s">
        <v>37</v>
      </c>
      <c r="G1875" s="67"/>
      <c r="H1875" s="80"/>
      <c r="I1875" s="69"/>
      <c r="J1875" s="72"/>
      <c r="K1875" s="73"/>
      <c r="L1875" s="72"/>
      <c r="M1875" s="73"/>
      <c r="N1875" s="72"/>
      <c r="O1875" s="73"/>
      <c r="P1875" s="72"/>
      <c r="Q1875" s="73"/>
      <c r="R1875" s="72"/>
      <c r="S1875" s="73"/>
      <c r="T1875" s="72"/>
      <c r="U1875" s="73"/>
      <c r="V1875" s="72"/>
      <c r="W1875" s="73"/>
      <c r="X1875" s="72"/>
      <c r="Y1875" s="73"/>
      <c r="Z1875" s="74" t="b">
        <v>0</v>
      </c>
      <c r="AA1875" s="130">
        <f t="shared" si="745"/>
        <v>0</v>
      </c>
      <c r="AB1875" s="131">
        <f t="shared" si="746"/>
        <v>0</v>
      </c>
      <c r="AC1875" s="132">
        <f t="shared" si="747"/>
        <v>0</v>
      </c>
      <c r="AD1875" s="133">
        <f t="shared" si="748"/>
        <v>0</v>
      </c>
      <c r="AE1875" s="131">
        <f t="shared" si="749"/>
        <v>0</v>
      </c>
      <c r="AF1875" s="133">
        <f t="shared" si="750"/>
        <v>0</v>
      </c>
      <c r="AG1875" s="1"/>
    </row>
    <row r="1876" ht="21.0" customHeight="1">
      <c r="A1876" s="1"/>
      <c r="B1876" s="48" t="s">
        <v>47</v>
      </c>
      <c r="C1876" s="49"/>
      <c r="D1876" s="91">
        <f t="array" ref="D1876">iferror(vlookup(xlookup(B1865,'현황'!O:O,'현황'!O:O,,-1,-1),'현황'!O:S,4,false),0)</f>
        <v>0</v>
      </c>
      <c r="E1876" s="41"/>
      <c r="F1876" s="92" t="s">
        <v>40</v>
      </c>
      <c r="G1876" s="79"/>
      <c r="H1876" s="93"/>
      <c r="I1876" s="94"/>
      <c r="J1876" s="95"/>
      <c r="K1876" s="96"/>
      <c r="L1876" s="95"/>
      <c r="M1876" s="96"/>
      <c r="N1876" s="95"/>
      <c r="O1876" s="96"/>
      <c r="P1876" s="95"/>
      <c r="Q1876" s="96"/>
      <c r="R1876" s="95"/>
      <c r="S1876" s="96"/>
      <c r="T1876" s="95"/>
      <c r="U1876" s="96"/>
      <c r="V1876" s="95"/>
      <c r="W1876" s="96"/>
      <c r="X1876" s="95"/>
      <c r="Y1876" s="96"/>
      <c r="Z1876" s="97" t="b">
        <v>0</v>
      </c>
      <c r="AA1876" s="135">
        <f t="shared" si="745"/>
        <v>0</v>
      </c>
      <c r="AB1876" s="136">
        <f t="shared" si="746"/>
        <v>0</v>
      </c>
      <c r="AC1876" s="137">
        <f t="shared" si="747"/>
        <v>0</v>
      </c>
      <c r="AD1876" s="138">
        <f t="shared" si="748"/>
        <v>0</v>
      </c>
      <c r="AE1876" s="136">
        <f t="shared" si="749"/>
        <v>0</v>
      </c>
      <c r="AF1876" s="138">
        <f t="shared" si="750"/>
        <v>0</v>
      </c>
      <c r="AG1876" s="1"/>
    </row>
    <row r="1877" ht="21.0" customHeight="1">
      <c r="A1877" s="1"/>
      <c r="B1877" s="102" t="s">
        <v>48</v>
      </c>
      <c r="C1877" s="103"/>
      <c r="D1877" s="104">
        <f>iferror(D1876/D1874,0)</f>
        <v>0</v>
      </c>
      <c r="E1877" s="102" t="s">
        <v>49</v>
      </c>
      <c r="F1877" s="103"/>
      <c r="G1877" s="105"/>
      <c r="H1877" s="106" t="s">
        <v>50</v>
      </c>
      <c r="I1877" s="107"/>
      <c r="J1877" s="11"/>
      <c r="K1877" s="11"/>
      <c r="L1877" s="11"/>
      <c r="M1877" s="11"/>
      <c r="N1877" s="11"/>
      <c r="O1877" s="11"/>
      <c r="P1877" s="108" t="s">
        <v>51</v>
      </c>
      <c r="Q1877" s="12"/>
      <c r="R1877" s="109"/>
      <c r="S1877" s="11"/>
      <c r="T1877" s="11"/>
      <c r="U1877" s="11"/>
      <c r="V1877" s="11"/>
      <c r="W1877" s="11"/>
      <c r="X1877" s="11"/>
      <c r="Y1877" s="11"/>
      <c r="Z1877" s="12"/>
      <c r="AA1877" s="139">
        <f>SUM(AA1868:AA1876)</f>
        <v>0</v>
      </c>
      <c r="AB1877" s="140" t="s">
        <v>347</v>
      </c>
      <c r="AG1877" s="1"/>
    </row>
    <row r="1878" ht="21.0" customHeight="1">
      <c r="A1878" s="1"/>
      <c r="B1878" s="1"/>
      <c r="C1878" s="1"/>
      <c r="D1878" s="1"/>
      <c r="E1878" s="1"/>
      <c r="F1878" s="1"/>
      <c r="G1878" s="1"/>
      <c r="H1878" s="1"/>
      <c r="I1878" s="1"/>
      <c r="AA1878" s="1"/>
      <c r="AB1878" s="1"/>
      <c r="AC1878" s="3"/>
      <c r="AD1878" s="1"/>
      <c r="AE1878" s="1"/>
      <c r="AF1878" s="1"/>
      <c r="AG1878" s="1"/>
    </row>
    <row r="1879" ht="21.0" customHeight="1">
      <c r="A1879" s="1"/>
      <c r="B1879" s="4" t="s">
        <v>1</v>
      </c>
      <c r="C1879" s="5"/>
      <c r="D1879" s="6" t="s">
        <v>2</v>
      </c>
      <c r="E1879" s="7"/>
      <c r="F1879" s="7"/>
      <c r="G1879" s="5"/>
      <c r="H1879" s="8" t="s">
        <v>3</v>
      </c>
      <c r="I1879" s="8" t="s">
        <v>4</v>
      </c>
      <c r="J1879" s="9" t="s">
        <v>5</v>
      </c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5"/>
      <c r="AA1879" s="117" t="s">
        <v>6</v>
      </c>
      <c r="AB1879" s="11"/>
      <c r="AC1879" s="11"/>
      <c r="AD1879" s="11"/>
      <c r="AE1879" s="11"/>
      <c r="AF1879" s="12"/>
      <c r="AG1879" s="1"/>
    </row>
    <row r="1880" ht="21.0" customHeight="1">
      <c r="A1880" s="1"/>
      <c r="B1880" s="149" t="s">
        <v>138</v>
      </c>
      <c r="C1880" s="14" t="str">
        <f>if(B1880="0/0","",choose(weekday(B1880),"(일)","(월)","(화)","(수)","(목)","(금)","(토)"))</f>
        <v/>
      </c>
      <c r="D1880" s="15" t="s">
        <v>7</v>
      </c>
      <c r="E1880" s="16" t="s">
        <v>8</v>
      </c>
      <c r="F1880" s="17"/>
      <c r="G1880" s="18" t="s">
        <v>9</v>
      </c>
      <c r="H1880" s="150" t="s">
        <v>139</v>
      </c>
      <c r="I1880" s="151"/>
      <c r="J1880" s="21" t="s">
        <v>12</v>
      </c>
      <c r="K1880" s="22"/>
      <c r="L1880" s="21" t="s">
        <v>13</v>
      </c>
      <c r="M1880" s="22"/>
      <c r="N1880" s="21" t="s">
        <v>14</v>
      </c>
      <c r="O1880" s="22"/>
      <c r="P1880" s="21" t="s">
        <v>15</v>
      </c>
      <c r="Q1880" s="22"/>
      <c r="R1880" s="23" t="s">
        <v>16</v>
      </c>
      <c r="S1880" s="22"/>
      <c r="T1880" s="23" t="s">
        <v>17</v>
      </c>
      <c r="U1880" s="22"/>
      <c r="V1880" s="23" t="s">
        <v>18</v>
      </c>
      <c r="W1880" s="22"/>
      <c r="X1880" s="23" t="s">
        <v>19</v>
      </c>
      <c r="Y1880" s="22"/>
      <c r="Z1880" s="24" t="s">
        <v>348</v>
      </c>
      <c r="AA1880" s="118" t="s">
        <v>21</v>
      </c>
      <c r="AB1880" s="119" t="s">
        <v>22</v>
      </c>
      <c r="AC1880" s="7"/>
      <c r="AD1880" s="22"/>
      <c r="AE1880" s="120" t="s">
        <v>23</v>
      </c>
      <c r="AF1880" s="22"/>
      <c r="AG1880" s="1"/>
    </row>
    <row r="1881" ht="21.0" customHeight="1">
      <c r="A1881" s="1"/>
      <c r="B1881" s="27">
        <f>iferror(B1880-'현황'!$C$4+1,0)</f>
        <v>0</v>
      </c>
      <c r="C1881" s="28"/>
      <c r="D1881" s="29">
        <v>0.0</v>
      </c>
      <c r="E1881" s="30">
        <v>0.0</v>
      </c>
      <c r="F1881" s="31"/>
      <c r="G1881" s="32">
        <v>0.0</v>
      </c>
      <c r="H1881" s="33">
        <v>0.0</v>
      </c>
      <c r="I1881" s="34"/>
      <c r="J1881" s="35"/>
      <c r="K1881" s="36"/>
      <c r="L1881" s="35"/>
      <c r="M1881" s="36"/>
      <c r="N1881" s="35"/>
      <c r="O1881" s="36"/>
      <c r="P1881" s="35"/>
      <c r="Q1881" s="36"/>
      <c r="R1881" s="35"/>
      <c r="S1881" s="36"/>
      <c r="T1881" s="35"/>
      <c r="U1881" s="36"/>
      <c r="V1881" s="35"/>
      <c r="W1881" s="36"/>
      <c r="X1881" s="35"/>
      <c r="Y1881" s="36"/>
      <c r="Z1881" s="37"/>
      <c r="AA1881" s="37"/>
      <c r="AB1881" s="35"/>
      <c r="AC1881" s="38"/>
      <c r="AD1881" s="36"/>
      <c r="AE1881" s="35"/>
      <c r="AF1881" s="36"/>
      <c r="AG1881" s="1"/>
    </row>
    <row r="1882" ht="21.0" customHeight="1">
      <c r="A1882" s="1"/>
      <c r="B1882" s="39" t="s">
        <v>24</v>
      </c>
      <c r="C1882" s="40"/>
      <c r="D1882" s="41"/>
      <c r="E1882" s="42" t="s">
        <v>25</v>
      </c>
      <c r="F1882" s="40"/>
      <c r="G1882" s="41"/>
      <c r="H1882" s="43" t="s">
        <v>26</v>
      </c>
      <c r="J1882" s="44" t="s">
        <v>27</v>
      </c>
      <c r="K1882" s="45" t="s">
        <v>28</v>
      </c>
      <c r="L1882" s="44" t="s">
        <v>27</v>
      </c>
      <c r="M1882" s="45" t="s">
        <v>28</v>
      </c>
      <c r="N1882" s="44" t="s">
        <v>27</v>
      </c>
      <c r="O1882" s="45" t="s">
        <v>28</v>
      </c>
      <c r="P1882" s="44" t="s">
        <v>27</v>
      </c>
      <c r="Q1882" s="45" t="s">
        <v>28</v>
      </c>
      <c r="R1882" s="44" t="s">
        <v>27</v>
      </c>
      <c r="S1882" s="45" t="s">
        <v>28</v>
      </c>
      <c r="T1882" s="44" t="s">
        <v>27</v>
      </c>
      <c r="U1882" s="45" t="s">
        <v>28</v>
      </c>
      <c r="V1882" s="44" t="s">
        <v>27</v>
      </c>
      <c r="W1882" s="45" t="s">
        <v>28</v>
      </c>
      <c r="X1882" s="44" t="s">
        <v>27</v>
      </c>
      <c r="Y1882" s="45" t="s">
        <v>28</v>
      </c>
      <c r="Z1882" s="46"/>
      <c r="AA1882" s="46"/>
      <c r="AB1882" s="121" t="s">
        <v>29</v>
      </c>
      <c r="AC1882" s="122" t="s">
        <v>30</v>
      </c>
      <c r="AD1882" s="123" t="s">
        <v>31</v>
      </c>
      <c r="AE1882" s="121" t="s">
        <v>27</v>
      </c>
      <c r="AF1882" s="123" t="s">
        <v>28</v>
      </c>
      <c r="AG1882" s="1"/>
    </row>
    <row r="1883" ht="21.0" customHeight="1">
      <c r="A1883" s="1"/>
      <c r="B1883" s="48" t="s">
        <v>32</v>
      </c>
      <c r="C1883" s="49"/>
      <c r="D1883" s="50"/>
      <c r="E1883" s="51" t="s">
        <v>33</v>
      </c>
      <c r="F1883" s="52" t="s">
        <v>34</v>
      </c>
      <c r="G1883" s="53"/>
      <c r="H1883" s="148"/>
      <c r="I1883" s="55"/>
      <c r="J1883" s="58"/>
      <c r="K1883" s="59"/>
      <c r="L1883" s="58"/>
      <c r="M1883" s="59"/>
      <c r="N1883" s="58"/>
      <c r="O1883" s="59"/>
      <c r="P1883" s="58"/>
      <c r="Q1883" s="59"/>
      <c r="R1883" s="58"/>
      <c r="S1883" s="59"/>
      <c r="T1883" s="58"/>
      <c r="U1883" s="59"/>
      <c r="V1883" s="58"/>
      <c r="W1883" s="59"/>
      <c r="X1883" s="58"/>
      <c r="Y1883" s="59"/>
      <c r="Z1883" s="60" t="b">
        <v>0</v>
      </c>
      <c r="AA1883" s="125">
        <f t="shared" ref="AA1883:AA1891" si="751">(J1883*K1883+L1883*M1883+N1883*O1883+P1883*Q1883+R1883*S1883+T1883*U1883+V1883*W1883+X1883*Y1883)*if(Z1883=true,0.453592,1)</f>
        <v>0</v>
      </c>
      <c r="AB1883" s="126">
        <f t="shared" ref="AB1883:AB1891" si="752">SUM(AE1883*AF1883*0.025,AE1883)</f>
        <v>0</v>
      </c>
      <c r="AC1883" s="127">
        <f t="shared" ref="AC1883:AC1891" si="753">AB1883*87%</f>
        <v>0</v>
      </c>
      <c r="AD1883" s="128">
        <f t="shared" ref="AD1883:AD1891" si="754">AB1883*67%</f>
        <v>0</v>
      </c>
      <c r="AE1883" s="126">
        <f t="shared" ref="AE1883:AE1891" si="755">MAX(J1883,L1883,N1883,P1883,R1883,T1883,V1883,X1883)*if(Z1883=true,0.453592,1)</f>
        <v>0</v>
      </c>
      <c r="AF1883" s="128">
        <f t="shared" ref="AF1883:AF1891" si="756">MAX(IF(J1883*if(Z1883=true,0.453592,1)=$AE1883,K1883,0),IF(L1883*if(Z1883=true,0.453592,1)=$AE1883,M1883,0),IF(N1883*if(Z1883=true,0.453592,1)=$AE1883,O1883,0),IF(P1883*if(Z1883=true,0.453592,1)=$AE1883,Q1883,0),IF(R1883*if(Z1883=true,0.453592,1)=$AE1883,S1883,0),IF(T1883*if(Z1883=true,0.453592,1)=$AE1883,U1883,0),IF(V1883*if(Z1883=true,0.453592,1)=$AE1883,W1883,0),IF(X1883*if(Z1883=true,0.453592,1)=$AE1883,Y1883,0))</f>
        <v>0</v>
      </c>
      <c r="AG1883" s="1"/>
    </row>
    <row r="1884" ht="21.0" customHeight="1">
      <c r="A1884" s="1"/>
      <c r="B1884" s="48" t="s">
        <v>36</v>
      </c>
      <c r="C1884" s="49"/>
      <c r="D1884" s="65"/>
      <c r="E1884" s="66"/>
      <c r="F1884" s="52" t="s">
        <v>37</v>
      </c>
      <c r="G1884" s="67"/>
      <c r="H1884" s="129"/>
      <c r="I1884" s="69"/>
      <c r="J1884" s="72"/>
      <c r="K1884" s="73"/>
      <c r="L1884" s="72"/>
      <c r="M1884" s="73"/>
      <c r="N1884" s="72"/>
      <c r="O1884" s="73"/>
      <c r="P1884" s="72"/>
      <c r="Q1884" s="73"/>
      <c r="R1884" s="72"/>
      <c r="S1884" s="73"/>
      <c r="T1884" s="72"/>
      <c r="U1884" s="73"/>
      <c r="V1884" s="72"/>
      <c r="W1884" s="73"/>
      <c r="X1884" s="72"/>
      <c r="Y1884" s="73"/>
      <c r="Z1884" s="74" t="b">
        <v>0</v>
      </c>
      <c r="AA1884" s="130">
        <f t="shared" si="751"/>
        <v>0</v>
      </c>
      <c r="AB1884" s="131">
        <f t="shared" si="752"/>
        <v>0</v>
      </c>
      <c r="AC1884" s="132">
        <f t="shared" si="753"/>
        <v>0</v>
      </c>
      <c r="AD1884" s="133">
        <f t="shared" si="754"/>
        <v>0</v>
      </c>
      <c r="AE1884" s="131">
        <f t="shared" si="755"/>
        <v>0</v>
      </c>
      <c r="AF1884" s="133">
        <f t="shared" si="756"/>
        <v>0</v>
      </c>
      <c r="AG1884" s="1"/>
    </row>
    <row r="1885" ht="21.0" customHeight="1">
      <c r="A1885" s="1"/>
      <c r="B1885" s="48" t="s">
        <v>39</v>
      </c>
      <c r="C1885" s="49"/>
      <c r="D1885" s="65"/>
      <c r="E1885" s="41"/>
      <c r="F1885" s="52" t="s">
        <v>40</v>
      </c>
      <c r="G1885" s="79"/>
      <c r="H1885" s="80"/>
      <c r="I1885" s="69"/>
      <c r="J1885" s="72"/>
      <c r="K1885" s="73"/>
      <c r="L1885" s="72"/>
      <c r="M1885" s="73"/>
      <c r="N1885" s="72"/>
      <c r="O1885" s="73"/>
      <c r="P1885" s="72"/>
      <c r="Q1885" s="73"/>
      <c r="R1885" s="72"/>
      <c r="S1885" s="73"/>
      <c r="T1885" s="72"/>
      <c r="U1885" s="73"/>
      <c r="V1885" s="72"/>
      <c r="W1885" s="73"/>
      <c r="X1885" s="72"/>
      <c r="Y1885" s="73"/>
      <c r="Z1885" s="74" t="b">
        <v>0</v>
      </c>
      <c r="AA1885" s="130">
        <f t="shared" si="751"/>
        <v>0</v>
      </c>
      <c r="AB1885" s="131">
        <f t="shared" si="752"/>
        <v>0</v>
      </c>
      <c r="AC1885" s="132">
        <f t="shared" si="753"/>
        <v>0</v>
      </c>
      <c r="AD1885" s="133">
        <f t="shared" si="754"/>
        <v>0</v>
      </c>
      <c r="AE1885" s="131">
        <f t="shared" si="755"/>
        <v>0</v>
      </c>
      <c r="AF1885" s="133">
        <f t="shared" si="756"/>
        <v>0</v>
      </c>
      <c r="AG1885" s="1"/>
    </row>
    <row r="1886" ht="21.0" customHeight="1">
      <c r="A1886" s="1"/>
      <c r="B1886" s="48" t="s">
        <v>41</v>
      </c>
      <c r="C1886" s="81"/>
      <c r="D1886" s="82" t="b">
        <v>0</v>
      </c>
      <c r="E1886" s="51" t="s">
        <v>42</v>
      </c>
      <c r="F1886" s="52" t="s">
        <v>34</v>
      </c>
      <c r="G1886" s="83"/>
      <c r="H1886" s="84"/>
      <c r="I1886" s="85"/>
      <c r="J1886" s="72"/>
      <c r="K1886" s="73"/>
      <c r="L1886" s="72"/>
      <c r="M1886" s="73"/>
      <c r="N1886" s="72"/>
      <c r="O1886" s="73"/>
      <c r="P1886" s="72"/>
      <c r="Q1886" s="73"/>
      <c r="R1886" s="72"/>
      <c r="S1886" s="73"/>
      <c r="T1886" s="72"/>
      <c r="U1886" s="73"/>
      <c r="V1886" s="72"/>
      <c r="W1886" s="73"/>
      <c r="X1886" s="72"/>
      <c r="Y1886" s="73"/>
      <c r="Z1886" s="74" t="b">
        <v>0</v>
      </c>
      <c r="AA1886" s="130">
        <f t="shared" si="751"/>
        <v>0</v>
      </c>
      <c r="AB1886" s="131">
        <f t="shared" si="752"/>
        <v>0</v>
      </c>
      <c r="AC1886" s="132">
        <f t="shared" si="753"/>
        <v>0</v>
      </c>
      <c r="AD1886" s="133">
        <f t="shared" si="754"/>
        <v>0</v>
      </c>
      <c r="AE1886" s="131">
        <f t="shared" si="755"/>
        <v>0</v>
      </c>
      <c r="AF1886" s="133">
        <f t="shared" si="756"/>
        <v>0</v>
      </c>
      <c r="AG1886" s="1"/>
    </row>
    <row r="1887" ht="21.0" customHeight="1">
      <c r="A1887" s="1"/>
      <c r="B1887" s="48" t="s">
        <v>43</v>
      </c>
      <c r="C1887" s="49"/>
      <c r="D1887" s="86" t="b">
        <v>0</v>
      </c>
      <c r="E1887" s="66"/>
      <c r="F1887" s="52" t="s">
        <v>37</v>
      </c>
      <c r="G1887" s="67"/>
      <c r="H1887" s="80"/>
      <c r="I1887" s="69"/>
      <c r="J1887" s="72"/>
      <c r="K1887" s="73"/>
      <c r="L1887" s="72"/>
      <c r="M1887" s="73"/>
      <c r="N1887" s="72"/>
      <c r="O1887" s="73"/>
      <c r="P1887" s="72"/>
      <c r="Q1887" s="73"/>
      <c r="R1887" s="72"/>
      <c r="S1887" s="73"/>
      <c r="T1887" s="72"/>
      <c r="U1887" s="73"/>
      <c r="V1887" s="72"/>
      <c r="W1887" s="73"/>
      <c r="X1887" s="72"/>
      <c r="Y1887" s="73"/>
      <c r="Z1887" s="74" t="b">
        <v>0</v>
      </c>
      <c r="AA1887" s="130">
        <f t="shared" si="751"/>
        <v>0</v>
      </c>
      <c r="AB1887" s="131">
        <f t="shared" si="752"/>
        <v>0</v>
      </c>
      <c r="AC1887" s="132">
        <f t="shared" si="753"/>
        <v>0</v>
      </c>
      <c r="AD1887" s="133">
        <f t="shared" si="754"/>
        <v>0</v>
      </c>
      <c r="AE1887" s="131">
        <f t="shared" si="755"/>
        <v>0</v>
      </c>
      <c r="AF1887" s="133">
        <f t="shared" si="756"/>
        <v>0</v>
      </c>
      <c r="AG1887" s="1"/>
    </row>
    <row r="1888" ht="21.0" customHeight="1">
      <c r="A1888" s="1"/>
      <c r="B1888" s="87" t="str">
        <f t="array" ref="B1888">"📌최근 인바디 결과 : "&amp;text(xlookup(B1880,'현황'!O:O,'현황'!O:O,,-1,-1),"m/d(ddd)")</f>
        <v>#REF!</v>
      </c>
      <c r="C1888" s="88"/>
      <c r="D1888" s="49"/>
      <c r="E1888" s="41"/>
      <c r="F1888" s="52" t="s">
        <v>40</v>
      </c>
      <c r="G1888" s="79"/>
      <c r="H1888" s="80"/>
      <c r="I1888" s="69"/>
      <c r="J1888" s="72"/>
      <c r="K1888" s="73"/>
      <c r="L1888" s="72"/>
      <c r="M1888" s="73"/>
      <c r="N1888" s="72"/>
      <c r="O1888" s="73"/>
      <c r="P1888" s="72"/>
      <c r="Q1888" s="73"/>
      <c r="R1888" s="72"/>
      <c r="S1888" s="73"/>
      <c r="T1888" s="72"/>
      <c r="U1888" s="73"/>
      <c r="V1888" s="72"/>
      <c r="W1888" s="73"/>
      <c r="X1888" s="72"/>
      <c r="Y1888" s="73"/>
      <c r="Z1888" s="74" t="b">
        <v>0</v>
      </c>
      <c r="AA1888" s="130">
        <f t="shared" si="751"/>
        <v>0</v>
      </c>
      <c r="AB1888" s="131">
        <f t="shared" si="752"/>
        <v>0</v>
      </c>
      <c r="AC1888" s="132">
        <f t="shared" si="753"/>
        <v>0</v>
      </c>
      <c r="AD1888" s="133">
        <f t="shared" si="754"/>
        <v>0</v>
      </c>
      <c r="AE1888" s="131">
        <f t="shared" si="755"/>
        <v>0</v>
      </c>
      <c r="AF1888" s="133">
        <f t="shared" si="756"/>
        <v>0</v>
      </c>
      <c r="AG1888" s="1"/>
    </row>
    <row r="1889" ht="21.0" customHeight="1">
      <c r="A1889" s="1"/>
      <c r="B1889" s="89" t="s">
        <v>44</v>
      </c>
      <c r="C1889" s="49"/>
      <c r="D1889" s="90">
        <f t="array" ref="D1889">iferror(vlookup(xlookup(B1880,'현황'!O:O,'현황'!O:O,,-1,-1),'현황'!O:S,2,false),0)</f>
        <v>0</v>
      </c>
      <c r="E1889" s="51" t="s">
        <v>45</v>
      </c>
      <c r="F1889" s="52" t="s">
        <v>34</v>
      </c>
      <c r="G1889" s="83"/>
      <c r="H1889" s="84"/>
      <c r="I1889" s="85"/>
      <c r="J1889" s="72"/>
      <c r="K1889" s="73"/>
      <c r="L1889" s="72"/>
      <c r="M1889" s="73"/>
      <c r="N1889" s="72"/>
      <c r="O1889" s="73"/>
      <c r="P1889" s="72"/>
      <c r="Q1889" s="73"/>
      <c r="R1889" s="72"/>
      <c r="S1889" s="73"/>
      <c r="T1889" s="72"/>
      <c r="U1889" s="73"/>
      <c r="V1889" s="72"/>
      <c r="W1889" s="73"/>
      <c r="X1889" s="72"/>
      <c r="Y1889" s="73"/>
      <c r="Z1889" s="74" t="b">
        <v>0</v>
      </c>
      <c r="AA1889" s="130">
        <f t="shared" si="751"/>
        <v>0</v>
      </c>
      <c r="AB1889" s="131">
        <f t="shared" si="752"/>
        <v>0</v>
      </c>
      <c r="AC1889" s="132">
        <f t="shared" si="753"/>
        <v>0</v>
      </c>
      <c r="AD1889" s="133">
        <f t="shared" si="754"/>
        <v>0</v>
      </c>
      <c r="AE1889" s="131">
        <f t="shared" si="755"/>
        <v>0</v>
      </c>
      <c r="AF1889" s="133">
        <f t="shared" si="756"/>
        <v>0</v>
      </c>
      <c r="AG1889" s="1"/>
    </row>
    <row r="1890" ht="21.0" customHeight="1">
      <c r="A1890" s="1"/>
      <c r="B1890" s="48" t="s">
        <v>46</v>
      </c>
      <c r="C1890" s="49"/>
      <c r="D1890" s="91">
        <f t="array" ref="D1890">iferror(vlookup(xlookup(B1880,'현황'!O:O,'현황'!O:O,,-1,-1),'현황'!O:S,3,false),0)</f>
        <v>0</v>
      </c>
      <c r="E1890" s="66"/>
      <c r="F1890" s="52" t="s">
        <v>37</v>
      </c>
      <c r="G1890" s="67"/>
      <c r="H1890" s="80"/>
      <c r="I1890" s="69"/>
      <c r="J1890" s="72"/>
      <c r="K1890" s="73"/>
      <c r="L1890" s="72"/>
      <c r="M1890" s="73"/>
      <c r="N1890" s="72"/>
      <c r="O1890" s="73"/>
      <c r="P1890" s="72"/>
      <c r="Q1890" s="73"/>
      <c r="R1890" s="72"/>
      <c r="S1890" s="73"/>
      <c r="T1890" s="72"/>
      <c r="U1890" s="73"/>
      <c r="V1890" s="72"/>
      <c r="W1890" s="73"/>
      <c r="X1890" s="72"/>
      <c r="Y1890" s="73"/>
      <c r="Z1890" s="74" t="b">
        <v>0</v>
      </c>
      <c r="AA1890" s="130">
        <f t="shared" si="751"/>
        <v>0</v>
      </c>
      <c r="AB1890" s="131">
        <f t="shared" si="752"/>
        <v>0</v>
      </c>
      <c r="AC1890" s="132">
        <f t="shared" si="753"/>
        <v>0</v>
      </c>
      <c r="AD1890" s="133">
        <f t="shared" si="754"/>
        <v>0</v>
      </c>
      <c r="AE1890" s="131">
        <f t="shared" si="755"/>
        <v>0</v>
      </c>
      <c r="AF1890" s="133">
        <f t="shared" si="756"/>
        <v>0</v>
      </c>
      <c r="AG1890" s="1"/>
    </row>
    <row r="1891" ht="21.0" customHeight="1">
      <c r="A1891" s="1"/>
      <c r="B1891" s="48" t="s">
        <v>47</v>
      </c>
      <c r="C1891" s="49"/>
      <c r="D1891" s="91">
        <f t="array" ref="D1891">iferror(vlookup(xlookup(B1880,'현황'!O:O,'현황'!O:O,,-1,-1),'현황'!O:S,4,false),0)</f>
        <v>0</v>
      </c>
      <c r="E1891" s="41"/>
      <c r="F1891" s="92" t="s">
        <v>40</v>
      </c>
      <c r="G1891" s="79"/>
      <c r="H1891" s="93"/>
      <c r="I1891" s="94"/>
      <c r="J1891" s="95"/>
      <c r="K1891" s="96"/>
      <c r="L1891" s="95"/>
      <c r="M1891" s="96"/>
      <c r="N1891" s="95"/>
      <c r="O1891" s="96"/>
      <c r="P1891" s="95"/>
      <c r="Q1891" s="96"/>
      <c r="R1891" s="95"/>
      <c r="S1891" s="96"/>
      <c r="T1891" s="95"/>
      <c r="U1891" s="96"/>
      <c r="V1891" s="95"/>
      <c r="W1891" s="96"/>
      <c r="X1891" s="95"/>
      <c r="Y1891" s="96"/>
      <c r="Z1891" s="97" t="b">
        <v>0</v>
      </c>
      <c r="AA1891" s="135">
        <f t="shared" si="751"/>
        <v>0</v>
      </c>
      <c r="AB1891" s="136">
        <f t="shared" si="752"/>
        <v>0</v>
      </c>
      <c r="AC1891" s="137">
        <f t="shared" si="753"/>
        <v>0</v>
      </c>
      <c r="AD1891" s="138">
        <f t="shared" si="754"/>
        <v>0</v>
      </c>
      <c r="AE1891" s="136">
        <f t="shared" si="755"/>
        <v>0</v>
      </c>
      <c r="AF1891" s="138">
        <f t="shared" si="756"/>
        <v>0</v>
      </c>
      <c r="AG1891" s="1"/>
    </row>
    <row r="1892" ht="21.0" customHeight="1">
      <c r="A1892" s="1"/>
      <c r="B1892" s="102" t="s">
        <v>48</v>
      </c>
      <c r="C1892" s="103"/>
      <c r="D1892" s="104">
        <f>iferror(D1891/D1889,0)</f>
        <v>0</v>
      </c>
      <c r="E1892" s="102" t="s">
        <v>49</v>
      </c>
      <c r="F1892" s="103"/>
      <c r="G1892" s="105"/>
      <c r="H1892" s="106" t="s">
        <v>50</v>
      </c>
      <c r="I1892" s="107"/>
      <c r="J1892" s="11"/>
      <c r="K1892" s="11"/>
      <c r="L1892" s="11"/>
      <c r="M1892" s="11"/>
      <c r="N1892" s="11"/>
      <c r="O1892" s="11"/>
      <c r="P1892" s="108" t="s">
        <v>51</v>
      </c>
      <c r="Q1892" s="12"/>
      <c r="R1892" s="109"/>
      <c r="S1892" s="11"/>
      <c r="T1892" s="11"/>
      <c r="U1892" s="11"/>
      <c r="V1892" s="11"/>
      <c r="W1892" s="11"/>
      <c r="X1892" s="11"/>
      <c r="Y1892" s="11"/>
      <c r="Z1892" s="12"/>
      <c r="AA1892" s="139">
        <f>SUM(AA1883:AA1891)</f>
        <v>0</v>
      </c>
      <c r="AB1892" s="140" t="s">
        <v>349</v>
      </c>
      <c r="AG1892" s="1"/>
    </row>
    <row r="1893" ht="21.0" customHeight="1">
      <c r="A1893" s="1"/>
      <c r="B1893" s="1"/>
      <c r="C1893" s="1"/>
      <c r="D1893" s="1"/>
      <c r="E1893" s="1"/>
      <c r="F1893" s="1"/>
      <c r="G1893" s="1"/>
      <c r="H1893" s="1"/>
      <c r="I1893" s="1"/>
      <c r="AA1893" s="1"/>
      <c r="AB1893" s="1"/>
      <c r="AC1893" s="3"/>
      <c r="AD1893" s="1"/>
      <c r="AE1893" s="1"/>
      <c r="AF1893" s="1"/>
      <c r="AG1893" s="1"/>
    </row>
    <row r="1894" ht="21.0" customHeight="1">
      <c r="A1894" s="1"/>
      <c r="B1894" s="4" t="s">
        <v>1</v>
      </c>
      <c r="C1894" s="5"/>
      <c r="D1894" s="6" t="s">
        <v>2</v>
      </c>
      <c r="E1894" s="7"/>
      <c r="F1894" s="7"/>
      <c r="G1894" s="5"/>
      <c r="H1894" s="8" t="s">
        <v>3</v>
      </c>
      <c r="I1894" s="8" t="s">
        <v>4</v>
      </c>
      <c r="J1894" s="9" t="s">
        <v>5</v>
      </c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5"/>
      <c r="AA1894" s="117" t="s">
        <v>6</v>
      </c>
      <c r="AB1894" s="11"/>
      <c r="AC1894" s="11"/>
      <c r="AD1894" s="11"/>
      <c r="AE1894" s="11"/>
      <c r="AF1894" s="12"/>
      <c r="AG1894" s="1"/>
    </row>
    <row r="1895" ht="21.0" customHeight="1">
      <c r="A1895" s="1"/>
      <c r="B1895" s="149" t="s">
        <v>138</v>
      </c>
      <c r="C1895" s="14" t="str">
        <f>if(B1895="0/0","",choose(weekday(B1895),"(일)","(월)","(화)","(수)","(목)","(금)","(토)"))</f>
        <v/>
      </c>
      <c r="D1895" s="15" t="s">
        <v>7</v>
      </c>
      <c r="E1895" s="16" t="s">
        <v>8</v>
      </c>
      <c r="F1895" s="17"/>
      <c r="G1895" s="18" t="s">
        <v>9</v>
      </c>
      <c r="H1895" s="150" t="s">
        <v>139</v>
      </c>
      <c r="I1895" s="151"/>
      <c r="J1895" s="21" t="s">
        <v>12</v>
      </c>
      <c r="K1895" s="22"/>
      <c r="L1895" s="21" t="s">
        <v>13</v>
      </c>
      <c r="M1895" s="22"/>
      <c r="N1895" s="21" t="s">
        <v>14</v>
      </c>
      <c r="O1895" s="22"/>
      <c r="P1895" s="21" t="s">
        <v>15</v>
      </c>
      <c r="Q1895" s="22"/>
      <c r="R1895" s="23" t="s">
        <v>16</v>
      </c>
      <c r="S1895" s="22"/>
      <c r="T1895" s="23" t="s">
        <v>17</v>
      </c>
      <c r="U1895" s="22"/>
      <c r="V1895" s="23" t="s">
        <v>18</v>
      </c>
      <c r="W1895" s="22"/>
      <c r="X1895" s="23" t="s">
        <v>19</v>
      </c>
      <c r="Y1895" s="22"/>
      <c r="Z1895" s="24" t="s">
        <v>350</v>
      </c>
      <c r="AA1895" s="118" t="s">
        <v>21</v>
      </c>
      <c r="AB1895" s="119" t="s">
        <v>22</v>
      </c>
      <c r="AC1895" s="7"/>
      <c r="AD1895" s="22"/>
      <c r="AE1895" s="120" t="s">
        <v>23</v>
      </c>
      <c r="AF1895" s="22"/>
      <c r="AG1895" s="1"/>
    </row>
    <row r="1896" ht="21.0" customHeight="1">
      <c r="A1896" s="1"/>
      <c r="B1896" s="27">
        <f>iferror(B1895-'현황'!$C$4+1,0)</f>
        <v>0</v>
      </c>
      <c r="C1896" s="28"/>
      <c r="D1896" s="29">
        <v>0.0</v>
      </c>
      <c r="E1896" s="30">
        <v>0.0</v>
      </c>
      <c r="F1896" s="31"/>
      <c r="G1896" s="32">
        <v>0.0</v>
      </c>
      <c r="H1896" s="33">
        <v>0.0</v>
      </c>
      <c r="I1896" s="34"/>
      <c r="J1896" s="35"/>
      <c r="K1896" s="36"/>
      <c r="L1896" s="35"/>
      <c r="M1896" s="36"/>
      <c r="N1896" s="35"/>
      <c r="O1896" s="36"/>
      <c r="P1896" s="35"/>
      <c r="Q1896" s="36"/>
      <c r="R1896" s="35"/>
      <c r="S1896" s="36"/>
      <c r="T1896" s="35"/>
      <c r="U1896" s="36"/>
      <c r="V1896" s="35"/>
      <c r="W1896" s="36"/>
      <c r="X1896" s="35"/>
      <c r="Y1896" s="36"/>
      <c r="Z1896" s="37"/>
      <c r="AA1896" s="37"/>
      <c r="AB1896" s="35"/>
      <c r="AC1896" s="38"/>
      <c r="AD1896" s="36"/>
      <c r="AE1896" s="35"/>
      <c r="AF1896" s="36"/>
      <c r="AG1896" s="1"/>
    </row>
    <row r="1897" ht="21.0" customHeight="1">
      <c r="A1897" s="1"/>
      <c r="B1897" s="39" t="s">
        <v>24</v>
      </c>
      <c r="C1897" s="40"/>
      <c r="D1897" s="41"/>
      <c r="E1897" s="42" t="s">
        <v>25</v>
      </c>
      <c r="F1897" s="40"/>
      <c r="G1897" s="41"/>
      <c r="H1897" s="43" t="s">
        <v>26</v>
      </c>
      <c r="J1897" s="44" t="s">
        <v>27</v>
      </c>
      <c r="K1897" s="45" t="s">
        <v>28</v>
      </c>
      <c r="L1897" s="44" t="s">
        <v>27</v>
      </c>
      <c r="M1897" s="45" t="s">
        <v>28</v>
      </c>
      <c r="N1897" s="44" t="s">
        <v>27</v>
      </c>
      <c r="O1897" s="45" t="s">
        <v>28</v>
      </c>
      <c r="P1897" s="44" t="s">
        <v>27</v>
      </c>
      <c r="Q1897" s="45" t="s">
        <v>28</v>
      </c>
      <c r="R1897" s="44" t="s">
        <v>27</v>
      </c>
      <c r="S1897" s="45" t="s">
        <v>28</v>
      </c>
      <c r="T1897" s="44" t="s">
        <v>27</v>
      </c>
      <c r="U1897" s="45" t="s">
        <v>28</v>
      </c>
      <c r="V1897" s="44" t="s">
        <v>27</v>
      </c>
      <c r="W1897" s="45" t="s">
        <v>28</v>
      </c>
      <c r="X1897" s="44" t="s">
        <v>27</v>
      </c>
      <c r="Y1897" s="45" t="s">
        <v>28</v>
      </c>
      <c r="Z1897" s="46"/>
      <c r="AA1897" s="46"/>
      <c r="AB1897" s="121" t="s">
        <v>29</v>
      </c>
      <c r="AC1897" s="122" t="s">
        <v>30</v>
      </c>
      <c r="AD1897" s="123" t="s">
        <v>31</v>
      </c>
      <c r="AE1897" s="121" t="s">
        <v>27</v>
      </c>
      <c r="AF1897" s="123" t="s">
        <v>28</v>
      </c>
      <c r="AG1897" s="1"/>
    </row>
    <row r="1898" ht="21.0" customHeight="1">
      <c r="A1898" s="1"/>
      <c r="B1898" s="48" t="s">
        <v>32</v>
      </c>
      <c r="C1898" s="49"/>
      <c r="D1898" s="50"/>
      <c r="E1898" s="51" t="s">
        <v>33</v>
      </c>
      <c r="F1898" s="52" t="s">
        <v>34</v>
      </c>
      <c r="G1898" s="53"/>
      <c r="H1898" s="148"/>
      <c r="I1898" s="55"/>
      <c r="J1898" s="58"/>
      <c r="K1898" s="59"/>
      <c r="L1898" s="58"/>
      <c r="M1898" s="59"/>
      <c r="N1898" s="58"/>
      <c r="O1898" s="59"/>
      <c r="P1898" s="58"/>
      <c r="Q1898" s="59"/>
      <c r="R1898" s="58"/>
      <c r="S1898" s="59"/>
      <c r="T1898" s="58"/>
      <c r="U1898" s="59"/>
      <c r="V1898" s="58"/>
      <c r="W1898" s="59"/>
      <c r="X1898" s="58"/>
      <c r="Y1898" s="59"/>
      <c r="Z1898" s="60" t="b">
        <v>0</v>
      </c>
      <c r="AA1898" s="125">
        <f t="shared" ref="AA1898:AA1906" si="757">(J1898*K1898+L1898*M1898+N1898*O1898+P1898*Q1898+R1898*S1898+T1898*U1898+V1898*W1898+X1898*Y1898)*if(Z1898=true,0.453592,1)</f>
        <v>0</v>
      </c>
      <c r="AB1898" s="126">
        <f t="shared" ref="AB1898:AB1906" si="758">SUM(AE1898*AF1898*0.025,AE1898)</f>
        <v>0</v>
      </c>
      <c r="AC1898" s="127">
        <f t="shared" ref="AC1898:AC1906" si="759">AB1898*87%</f>
        <v>0</v>
      </c>
      <c r="AD1898" s="128">
        <f t="shared" ref="AD1898:AD1906" si="760">AB1898*67%</f>
        <v>0</v>
      </c>
      <c r="AE1898" s="126">
        <f t="shared" ref="AE1898:AE1906" si="761">MAX(J1898,L1898,N1898,P1898,R1898,T1898,V1898,X1898)*if(Z1898=true,0.453592,1)</f>
        <v>0</v>
      </c>
      <c r="AF1898" s="128">
        <f t="shared" ref="AF1898:AF1906" si="762">MAX(IF(J1898*if(Z1898=true,0.453592,1)=$AE1898,K1898,0),IF(L1898*if(Z1898=true,0.453592,1)=$AE1898,M1898,0),IF(N1898*if(Z1898=true,0.453592,1)=$AE1898,O1898,0),IF(P1898*if(Z1898=true,0.453592,1)=$AE1898,Q1898,0),IF(R1898*if(Z1898=true,0.453592,1)=$AE1898,S1898,0),IF(T1898*if(Z1898=true,0.453592,1)=$AE1898,U1898,0),IF(V1898*if(Z1898=true,0.453592,1)=$AE1898,W1898,0),IF(X1898*if(Z1898=true,0.453592,1)=$AE1898,Y1898,0))</f>
        <v>0</v>
      </c>
      <c r="AG1898" s="1"/>
    </row>
    <row r="1899" ht="21.0" customHeight="1">
      <c r="A1899" s="1"/>
      <c r="B1899" s="48" t="s">
        <v>36</v>
      </c>
      <c r="C1899" s="49"/>
      <c r="D1899" s="65"/>
      <c r="E1899" s="66"/>
      <c r="F1899" s="52" t="s">
        <v>37</v>
      </c>
      <c r="G1899" s="67"/>
      <c r="H1899" s="129"/>
      <c r="I1899" s="69"/>
      <c r="J1899" s="72"/>
      <c r="K1899" s="73"/>
      <c r="L1899" s="72"/>
      <c r="M1899" s="73"/>
      <c r="N1899" s="72"/>
      <c r="O1899" s="73"/>
      <c r="P1899" s="72"/>
      <c r="Q1899" s="73"/>
      <c r="R1899" s="72"/>
      <c r="S1899" s="73"/>
      <c r="T1899" s="72"/>
      <c r="U1899" s="73"/>
      <c r="V1899" s="72"/>
      <c r="W1899" s="73"/>
      <c r="X1899" s="72"/>
      <c r="Y1899" s="73"/>
      <c r="Z1899" s="74" t="b">
        <v>0</v>
      </c>
      <c r="AA1899" s="130">
        <f t="shared" si="757"/>
        <v>0</v>
      </c>
      <c r="AB1899" s="131">
        <f t="shared" si="758"/>
        <v>0</v>
      </c>
      <c r="AC1899" s="132">
        <f t="shared" si="759"/>
        <v>0</v>
      </c>
      <c r="AD1899" s="133">
        <f t="shared" si="760"/>
        <v>0</v>
      </c>
      <c r="AE1899" s="131">
        <f t="shared" si="761"/>
        <v>0</v>
      </c>
      <c r="AF1899" s="133">
        <f t="shared" si="762"/>
        <v>0</v>
      </c>
      <c r="AG1899" s="1"/>
    </row>
    <row r="1900" ht="21.0" customHeight="1">
      <c r="A1900" s="1"/>
      <c r="B1900" s="48" t="s">
        <v>39</v>
      </c>
      <c r="C1900" s="49"/>
      <c r="D1900" s="65"/>
      <c r="E1900" s="41"/>
      <c r="F1900" s="52" t="s">
        <v>40</v>
      </c>
      <c r="G1900" s="79"/>
      <c r="H1900" s="80"/>
      <c r="I1900" s="69"/>
      <c r="J1900" s="72"/>
      <c r="K1900" s="73"/>
      <c r="L1900" s="72"/>
      <c r="M1900" s="73"/>
      <c r="N1900" s="72"/>
      <c r="O1900" s="73"/>
      <c r="P1900" s="72"/>
      <c r="Q1900" s="73"/>
      <c r="R1900" s="72"/>
      <c r="S1900" s="73"/>
      <c r="T1900" s="72"/>
      <c r="U1900" s="73"/>
      <c r="V1900" s="72"/>
      <c r="W1900" s="73"/>
      <c r="X1900" s="72"/>
      <c r="Y1900" s="73"/>
      <c r="Z1900" s="74" t="b">
        <v>0</v>
      </c>
      <c r="AA1900" s="130">
        <f t="shared" si="757"/>
        <v>0</v>
      </c>
      <c r="AB1900" s="131">
        <f t="shared" si="758"/>
        <v>0</v>
      </c>
      <c r="AC1900" s="132">
        <f t="shared" si="759"/>
        <v>0</v>
      </c>
      <c r="AD1900" s="133">
        <f t="shared" si="760"/>
        <v>0</v>
      </c>
      <c r="AE1900" s="131">
        <f t="shared" si="761"/>
        <v>0</v>
      </c>
      <c r="AF1900" s="133">
        <f t="shared" si="762"/>
        <v>0</v>
      </c>
      <c r="AG1900" s="1"/>
    </row>
    <row r="1901" ht="21.0" customHeight="1">
      <c r="A1901" s="1"/>
      <c r="B1901" s="48" t="s">
        <v>41</v>
      </c>
      <c r="C1901" s="81"/>
      <c r="D1901" s="82" t="b">
        <v>0</v>
      </c>
      <c r="E1901" s="51" t="s">
        <v>42</v>
      </c>
      <c r="F1901" s="52" t="s">
        <v>34</v>
      </c>
      <c r="G1901" s="83"/>
      <c r="H1901" s="84"/>
      <c r="I1901" s="85"/>
      <c r="J1901" s="72"/>
      <c r="K1901" s="73"/>
      <c r="L1901" s="72"/>
      <c r="M1901" s="73"/>
      <c r="N1901" s="72"/>
      <c r="O1901" s="73"/>
      <c r="P1901" s="72"/>
      <c r="Q1901" s="73"/>
      <c r="R1901" s="72"/>
      <c r="S1901" s="73"/>
      <c r="T1901" s="72"/>
      <c r="U1901" s="73"/>
      <c r="V1901" s="72"/>
      <c r="W1901" s="73"/>
      <c r="X1901" s="72"/>
      <c r="Y1901" s="73"/>
      <c r="Z1901" s="74" t="b">
        <v>0</v>
      </c>
      <c r="AA1901" s="130">
        <f t="shared" si="757"/>
        <v>0</v>
      </c>
      <c r="AB1901" s="131">
        <f t="shared" si="758"/>
        <v>0</v>
      </c>
      <c r="AC1901" s="132">
        <f t="shared" si="759"/>
        <v>0</v>
      </c>
      <c r="AD1901" s="133">
        <f t="shared" si="760"/>
        <v>0</v>
      </c>
      <c r="AE1901" s="131">
        <f t="shared" si="761"/>
        <v>0</v>
      </c>
      <c r="AF1901" s="133">
        <f t="shared" si="762"/>
        <v>0</v>
      </c>
      <c r="AG1901" s="1"/>
    </row>
    <row r="1902" ht="21.0" customHeight="1">
      <c r="A1902" s="1"/>
      <c r="B1902" s="48" t="s">
        <v>43</v>
      </c>
      <c r="C1902" s="49"/>
      <c r="D1902" s="86" t="b">
        <v>0</v>
      </c>
      <c r="E1902" s="66"/>
      <c r="F1902" s="52" t="s">
        <v>37</v>
      </c>
      <c r="G1902" s="67"/>
      <c r="H1902" s="80"/>
      <c r="I1902" s="69"/>
      <c r="J1902" s="72"/>
      <c r="K1902" s="73"/>
      <c r="L1902" s="72"/>
      <c r="M1902" s="73"/>
      <c r="N1902" s="72"/>
      <c r="O1902" s="73"/>
      <c r="P1902" s="72"/>
      <c r="Q1902" s="73"/>
      <c r="R1902" s="72"/>
      <c r="S1902" s="73"/>
      <c r="T1902" s="72"/>
      <c r="U1902" s="73"/>
      <c r="V1902" s="72"/>
      <c r="W1902" s="73"/>
      <c r="X1902" s="72"/>
      <c r="Y1902" s="73"/>
      <c r="Z1902" s="74" t="b">
        <v>0</v>
      </c>
      <c r="AA1902" s="130">
        <f t="shared" si="757"/>
        <v>0</v>
      </c>
      <c r="AB1902" s="131">
        <f t="shared" si="758"/>
        <v>0</v>
      </c>
      <c r="AC1902" s="132">
        <f t="shared" si="759"/>
        <v>0</v>
      </c>
      <c r="AD1902" s="133">
        <f t="shared" si="760"/>
        <v>0</v>
      </c>
      <c r="AE1902" s="131">
        <f t="shared" si="761"/>
        <v>0</v>
      </c>
      <c r="AF1902" s="133">
        <f t="shared" si="762"/>
        <v>0</v>
      </c>
      <c r="AG1902" s="1"/>
    </row>
    <row r="1903" ht="21.0" customHeight="1">
      <c r="A1903" s="1"/>
      <c r="B1903" s="87" t="str">
        <f t="array" ref="B1903">"📌최근 인바디 결과 : "&amp;text(xlookup(B1895,'현황'!O:O,'현황'!O:O,,-1,-1),"m/d(ddd)")</f>
        <v>#REF!</v>
      </c>
      <c r="C1903" s="88"/>
      <c r="D1903" s="49"/>
      <c r="E1903" s="41"/>
      <c r="F1903" s="52" t="s">
        <v>40</v>
      </c>
      <c r="G1903" s="79"/>
      <c r="H1903" s="80"/>
      <c r="I1903" s="69"/>
      <c r="J1903" s="72"/>
      <c r="K1903" s="73"/>
      <c r="L1903" s="72"/>
      <c r="M1903" s="73"/>
      <c r="N1903" s="72"/>
      <c r="O1903" s="73"/>
      <c r="P1903" s="72"/>
      <c r="Q1903" s="73"/>
      <c r="R1903" s="72"/>
      <c r="S1903" s="73"/>
      <c r="T1903" s="72"/>
      <c r="U1903" s="73"/>
      <c r="V1903" s="72"/>
      <c r="W1903" s="73"/>
      <c r="X1903" s="72"/>
      <c r="Y1903" s="73"/>
      <c r="Z1903" s="74" t="b">
        <v>0</v>
      </c>
      <c r="AA1903" s="130">
        <f t="shared" si="757"/>
        <v>0</v>
      </c>
      <c r="AB1903" s="131">
        <f t="shared" si="758"/>
        <v>0</v>
      </c>
      <c r="AC1903" s="132">
        <f t="shared" si="759"/>
        <v>0</v>
      </c>
      <c r="AD1903" s="133">
        <f t="shared" si="760"/>
        <v>0</v>
      </c>
      <c r="AE1903" s="131">
        <f t="shared" si="761"/>
        <v>0</v>
      </c>
      <c r="AF1903" s="133">
        <f t="shared" si="762"/>
        <v>0</v>
      </c>
      <c r="AG1903" s="1"/>
    </row>
    <row r="1904" ht="21.0" customHeight="1">
      <c r="A1904" s="1"/>
      <c r="B1904" s="89" t="s">
        <v>44</v>
      </c>
      <c r="C1904" s="49"/>
      <c r="D1904" s="90">
        <f t="array" ref="D1904">iferror(vlookup(xlookup(B1895,'현황'!O:O,'현황'!O:O,,-1,-1),'현황'!O:S,2,false),0)</f>
        <v>0</v>
      </c>
      <c r="E1904" s="51" t="s">
        <v>45</v>
      </c>
      <c r="F1904" s="52" t="s">
        <v>34</v>
      </c>
      <c r="G1904" s="83"/>
      <c r="H1904" s="84"/>
      <c r="I1904" s="85"/>
      <c r="J1904" s="72"/>
      <c r="K1904" s="73"/>
      <c r="L1904" s="72"/>
      <c r="M1904" s="73"/>
      <c r="N1904" s="72"/>
      <c r="O1904" s="73"/>
      <c r="P1904" s="72"/>
      <c r="Q1904" s="73"/>
      <c r="R1904" s="72"/>
      <c r="S1904" s="73"/>
      <c r="T1904" s="72"/>
      <c r="U1904" s="73"/>
      <c r="V1904" s="72"/>
      <c r="W1904" s="73"/>
      <c r="X1904" s="72"/>
      <c r="Y1904" s="73"/>
      <c r="Z1904" s="74" t="b">
        <v>0</v>
      </c>
      <c r="AA1904" s="130">
        <f t="shared" si="757"/>
        <v>0</v>
      </c>
      <c r="AB1904" s="131">
        <f t="shared" si="758"/>
        <v>0</v>
      </c>
      <c r="AC1904" s="132">
        <f t="shared" si="759"/>
        <v>0</v>
      </c>
      <c r="AD1904" s="133">
        <f t="shared" si="760"/>
        <v>0</v>
      </c>
      <c r="AE1904" s="131">
        <f t="shared" si="761"/>
        <v>0</v>
      </c>
      <c r="AF1904" s="133">
        <f t="shared" si="762"/>
        <v>0</v>
      </c>
      <c r="AG1904" s="1"/>
    </row>
    <row r="1905" ht="21.0" customHeight="1">
      <c r="A1905" s="1"/>
      <c r="B1905" s="48" t="s">
        <v>46</v>
      </c>
      <c r="C1905" s="49"/>
      <c r="D1905" s="91">
        <f t="array" ref="D1905">iferror(vlookup(xlookup(B1895,'현황'!O:O,'현황'!O:O,,-1,-1),'현황'!O:S,3,false),0)</f>
        <v>0</v>
      </c>
      <c r="E1905" s="66"/>
      <c r="F1905" s="52" t="s">
        <v>37</v>
      </c>
      <c r="G1905" s="67"/>
      <c r="H1905" s="80"/>
      <c r="I1905" s="69"/>
      <c r="J1905" s="72"/>
      <c r="K1905" s="73"/>
      <c r="L1905" s="72"/>
      <c r="M1905" s="73"/>
      <c r="N1905" s="72"/>
      <c r="O1905" s="73"/>
      <c r="P1905" s="72"/>
      <c r="Q1905" s="73"/>
      <c r="R1905" s="72"/>
      <c r="S1905" s="73"/>
      <c r="T1905" s="72"/>
      <c r="U1905" s="73"/>
      <c r="V1905" s="72"/>
      <c r="W1905" s="73"/>
      <c r="X1905" s="72"/>
      <c r="Y1905" s="73"/>
      <c r="Z1905" s="74" t="b">
        <v>0</v>
      </c>
      <c r="AA1905" s="130">
        <f t="shared" si="757"/>
        <v>0</v>
      </c>
      <c r="AB1905" s="131">
        <f t="shared" si="758"/>
        <v>0</v>
      </c>
      <c r="AC1905" s="132">
        <f t="shared" si="759"/>
        <v>0</v>
      </c>
      <c r="AD1905" s="133">
        <f t="shared" si="760"/>
        <v>0</v>
      </c>
      <c r="AE1905" s="131">
        <f t="shared" si="761"/>
        <v>0</v>
      </c>
      <c r="AF1905" s="133">
        <f t="shared" si="762"/>
        <v>0</v>
      </c>
      <c r="AG1905" s="1"/>
    </row>
    <row r="1906" ht="21.0" customHeight="1">
      <c r="A1906" s="1"/>
      <c r="B1906" s="48" t="s">
        <v>47</v>
      </c>
      <c r="C1906" s="49"/>
      <c r="D1906" s="91">
        <f t="array" ref="D1906">iferror(vlookup(xlookup(B1895,'현황'!O:O,'현황'!O:O,,-1,-1),'현황'!O:S,4,false),0)</f>
        <v>0</v>
      </c>
      <c r="E1906" s="41"/>
      <c r="F1906" s="92" t="s">
        <v>40</v>
      </c>
      <c r="G1906" s="79"/>
      <c r="H1906" s="93"/>
      <c r="I1906" s="94"/>
      <c r="J1906" s="95"/>
      <c r="K1906" s="96"/>
      <c r="L1906" s="95"/>
      <c r="M1906" s="96"/>
      <c r="N1906" s="95"/>
      <c r="O1906" s="96"/>
      <c r="P1906" s="95"/>
      <c r="Q1906" s="96"/>
      <c r="R1906" s="95"/>
      <c r="S1906" s="96"/>
      <c r="T1906" s="95"/>
      <c r="U1906" s="96"/>
      <c r="V1906" s="95"/>
      <c r="W1906" s="96"/>
      <c r="X1906" s="95"/>
      <c r="Y1906" s="96"/>
      <c r="Z1906" s="97" t="b">
        <v>0</v>
      </c>
      <c r="AA1906" s="135">
        <f t="shared" si="757"/>
        <v>0</v>
      </c>
      <c r="AB1906" s="136">
        <f t="shared" si="758"/>
        <v>0</v>
      </c>
      <c r="AC1906" s="137">
        <f t="shared" si="759"/>
        <v>0</v>
      </c>
      <c r="AD1906" s="138">
        <f t="shared" si="760"/>
        <v>0</v>
      </c>
      <c r="AE1906" s="136">
        <f t="shared" si="761"/>
        <v>0</v>
      </c>
      <c r="AF1906" s="138">
        <f t="shared" si="762"/>
        <v>0</v>
      </c>
      <c r="AG1906" s="1"/>
    </row>
    <row r="1907" ht="21.0" customHeight="1">
      <c r="A1907" s="1"/>
      <c r="B1907" s="102" t="s">
        <v>48</v>
      </c>
      <c r="C1907" s="103"/>
      <c r="D1907" s="104">
        <f>iferror(D1906/D1904,0)</f>
        <v>0</v>
      </c>
      <c r="E1907" s="102" t="s">
        <v>49</v>
      </c>
      <c r="F1907" s="103"/>
      <c r="G1907" s="105"/>
      <c r="H1907" s="106" t="s">
        <v>50</v>
      </c>
      <c r="I1907" s="107"/>
      <c r="J1907" s="11"/>
      <c r="K1907" s="11"/>
      <c r="L1907" s="11"/>
      <c r="M1907" s="11"/>
      <c r="N1907" s="11"/>
      <c r="O1907" s="11"/>
      <c r="P1907" s="108" t="s">
        <v>51</v>
      </c>
      <c r="Q1907" s="12"/>
      <c r="R1907" s="109"/>
      <c r="S1907" s="11"/>
      <c r="T1907" s="11"/>
      <c r="U1907" s="11"/>
      <c r="V1907" s="11"/>
      <c r="W1907" s="11"/>
      <c r="X1907" s="11"/>
      <c r="Y1907" s="11"/>
      <c r="Z1907" s="12"/>
      <c r="AA1907" s="139">
        <f>SUM(AA1898:AA1906)</f>
        <v>0</v>
      </c>
      <c r="AB1907" s="140" t="s">
        <v>351</v>
      </c>
      <c r="AG1907" s="1"/>
    </row>
    <row r="1908" ht="21.0" customHeight="1">
      <c r="A1908" s="1"/>
      <c r="B1908" s="1"/>
      <c r="C1908" s="1"/>
      <c r="D1908" s="1"/>
      <c r="E1908" s="1"/>
      <c r="F1908" s="1"/>
      <c r="G1908" s="1"/>
      <c r="H1908" s="1"/>
      <c r="I1908" s="1"/>
      <c r="AA1908" s="1"/>
      <c r="AB1908" s="1"/>
      <c r="AC1908" s="3"/>
      <c r="AD1908" s="1"/>
      <c r="AE1908" s="1"/>
      <c r="AF1908" s="1"/>
      <c r="AG1908" s="1"/>
    </row>
    <row r="1909" ht="21.0" customHeight="1">
      <c r="A1909" s="1"/>
      <c r="B1909" s="4" t="s">
        <v>1</v>
      </c>
      <c r="C1909" s="5"/>
      <c r="D1909" s="6" t="s">
        <v>2</v>
      </c>
      <c r="E1909" s="7"/>
      <c r="F1909" s="7"/>
      <c r="G1909" s="5"/>
      <c r="H1909" s="8" t="s">
        <v>3</v>
      </c>
      <c r="I1909" s="8" t="s">
        <v>4</v>
      </c>
      <c r="J1909" s="9" t="s">
        <v>5</v>
      </c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5"/>
      <c r="AA1909" s="117" t="s">
        <v>6</v>
      </c>
      <c r="AB1909" s="11"/>
      <c r="AC1909" s="11"/>
      <c r="AD1909" s="11"/>
      <c r="AE1909" s="11"/>
      <c r="AF1909" s="12"/>
      <c r="AG1909" s="1"/>
    </row>
    <row r="1910" ht="21.0" customHeight="1">
      <c r="A1910" s="1"/>
      <c r="B1910" s="149" t="s">
        <v>138</v>
      </c>
      <c r="C1910" s="14" t="str">
        <f>if(B1910="0/0","",choose(weekday(B1910),"(일)","(월)","(화)","(수)","(목)","(금)","(토)"))</f>
        <v/>
      </c>
      <c r="D1910" s="15" t="s">
        <v>7</v>
      </c>
      <c r="E1910" s="16" t="s">
        <v>8</v>
      </c>
      <c r="F1910" s="17"/>
      <c r="G1910" s="18" t="s">
        <v>9</v>
      </c>
      <c r="H1910" s="150" t="s">
        <v>139</v>
      </c>
      <c r="I1910" s="151"/>
      <c r="J1910" s="21" t="s">
        <v>12</v>
      </c>
      <c r="K1910" s="22"/>
      <c r="L1910" s="21" t="s">
        <v>13</v>
      </c>
      <c r="M1910" s="22"/>
      <c r="N1910" s="21" t="s">
        <v>14</v>
      </c>
      <c r="O1910" s="22"/>
      <c r="P1910" s="21" t="s">
        <v>15</v>
      </c>
      <c r="Q1910" s="22"/>
      <c r="R1910" s="23" t="s">
        <v>16</v>
      </c>
      <c r="S1910" s="22"/>
      <c r="T1910" s="23" t="s">
        <v>17</v>
      </c>
      <c r="U1910" s="22"/>
      <c r="V1910" s="23" t="s">
        <v>18</v>
      </c>
      <c r="W1910" s="22"/>
      <c r="X1910" s="23" t="s">
        <v>19</v>
      </c>
      <c r="Y1910" s="22"/>
      <c r="Z1910" s="24" t="s">
        <v>352</v>
      </c>
      <c r="AA1910" s="118" t="s">
        <v>21</v>
      </c>
      <c r="AB1910" s="119" t="s">
        <v>22</v>
      </c>
      <c r="AC1910" s="7"/>
      <c r="AD1910" s="22"/>
      <c r="AE1910" s="120" t="s">
        <v>23</v>
      </c>
      <c r="AF1910" s="22"/>
      <c r="AG1910" s="1"/>
    </row>
    <row r="1911" ht="21.0" customHeight="1">
      <c r="A1911" s="1"/>
      <c r="B1911" s="27">
        <f>iferror(B1910-'현황'!$C$4+1,0)</f>
        <v>0</v>
      </c>
      <c r="C1911" s="28"/>
      <c r="D1911" s="29">
        <v>0.0</v>
      </c>
      <c r="E1911" s="30">
        <v>0.0</v>
      </c>
      <c r="F1911" s="31"/>
      <c r="G1911" s="32">
        <v>0.0</v>
      </c>
      <c r="H1911" s="33">
        <v>0.0</v>
      </c>
      <c r="I1911" s="34"/>
      <c r="J1911" s="35"/>
      <c r="K1911" s="36"/>
      <c r="L1911" s="35"/>
      <c r="M1911" s="36"/>
      <c r="N1911" s="35"/>
      <c r="O1911" s="36"/>
      <c r="P1911" s="35"/>
      <c r="Q1911" s="36"/>
      <c r="R1911" s="35"/>
      <c r="S1911" s="36"/>
      <c r="T1911" s="35"/>
      <c r="U1911" s="36"/>
      <c r="V1911" s="35"/>
      <c r="W1911" s="36"/>
      <c r="X1911" s="35"/>
      <c r="Y1911" s="36"/>
      <c r="Z1911" s="37"/>
      <c r="AA1911" s="37"/>
      <c r="AB1911" s="35"/>
      <c r="AC1911" s="38"/>
      <c r="AD1911" s="36"/>
      <c r="AE1911" s="35"/>
      <c r="AF1911" s="36"/>
      <c r="AG1911" s="1"/>
    </row>
    <row r="1912" ht="21.0" customHeight="1">
      <c r="A1912" s="1"/>
      <c r="B1912" s="39" t="s">
        <v>24</v>
      </c>
      <c r="C1912" s="40"/>
      <c r="D1912" s="41"/>
      <c r="E1912" s="42" t="s">
        <v>25</v>
      </c>
      <c r="F1912" s="40"/>
      <c r="G1912" s="41"/>
      <c r="H1912" s="43" t="s">
        <v>26</v>
      </c>
      <c r="J1912" s="44" t="s">
        <v>27</v>
      </c>
      <c r="K1912" s="45" t="s">
        <v>28</v>
      </c>
      <c r="L1912" s="44" t="s">
        <v>27</v>
      </c>
      <c r="M1912" s="45" t="s">
        <v>28</v>
      </c>
      <c r="N1912" s="44" t="s">
        <v>27</v>
      </c>
      <c r="O1912" s="45" t="s">
        <v>28</v>
      </c>
      <c r="P1912" s="44" t="s">
        <v>27</v>
      </c>
      <c r="Q1912" s="45" t="s">
        <v>28</v>
      </c>
      <c r="R1912" s="44" t="s">
        <v>27</v>
      </c>
      <c r="S1912" s="45" t="s">
        <v>28</v>
      </c>
      <c r="T1912" s="44" t="s">
        <v>27</v>
      </c>
      <c r="U1912" s="45" t="s">
        <v>28</v>
      </c>
      <c r="V1912" s="44" t="s">
        <v>27</v>
      </c>
      <c r="W1912" s="45" t="s">
        <v>28</v>
      </c>
      <c r="X1912" s="44" t="s">
        <v>27</v>
      </c>
      <c r="Y1912" s="45" t="s">
        <v>28</v>
      </c>
      <c r="Z1912" s="46"/>
      <c r="AA1912" s="46"/>
      <c r="AB1912" s="121" t="s">
        <v>29</v>
      </c>
      <c r="AC1912" s="122" t="s">
        <v>30</v>
      </c>
      <c r="AD1912" s="123" t="s">
        <v>31</v>
      </c>
      <c r="AE1912" s="121" t="s">
        <v>27</v>
      </c>
      <c r="AF1912" s="123" t="s">
        <v>28</v>
      </c>
      <c r="AG1912" s="1"/>
    </row>
    <row r="1913" ht="21.0" customHeight="1">
      <c r="A1913" s="1"/>
      <c r="B1913" s="48" t="s">
        <v>32</v>
      </c>
      <c r="C1913" s="49"/>
      <c r="D1913" s="50"/>
      <c r="E1913" s="51" t="s">
        <v>33</v>
      </c>
      <c r="F1913" s="52" t="s">
        <v>34</v>
      </c>
      <c r="G1913" s="53"/>
      <c r="H1913" s="148"/>
      <c r="I1913" s="55"/>
      <c r="J1913" s="58"/>
      <c r="K1913" s="59"/>
      <c r="L1913" s="58"/>
      <c r="M1913" s="59"/>
      <c r="N1913" s="58"/>
      <c r="O1913" s="59"/>
      <c r="P1913" s="58"/>
      <c r="Q1913" s="59"/>
      <c r="R1913" s="58"/>
      <c r="S1913" s="59"/>
      <c r="T1913" s="58"/>
      <c r="U1913" s="59"/>
      <c r="V1913" s="58"/>
      <c r="W1913" s="59"/>
      <c r="X1913" s="58"/>
      <c r="Y1913" s="59"/>
      <c r="Z1913" s="60" t="b">
        <v>0</v>
      </c>
      <c r="AA1913" s="125">
        <f t="shared" ref="AA1913:AA1921" si="763">(J1913*K1913+L1913*M1913+N1913*O1913+P1913*Q1913+R1913*S1913+T1913*U1913+V1913*W1913+X1913*Y1913)*if(Z1913=true,0.453592,1)</f>
        <v>0</v>
      </c>
      <c r="AB1913" s="126">
        <f t="shared" ref="AB1913:AB1921" si="764">SUM(AE1913*AF1913*0.025,AE1913)</f>
        <v>0</v>
      </c>
      <c r="AC1913" s="127">
        <f t="shared" ref="AC1913:AC1921" si="765">AB1913*87%</f>
        <v>0</v>
      </c>
      <c r="AD1913" s="128">
        <f t="shared" ref="AD1913:AD1921" si="766">AB1913*67%</f>
        <v>0</v>
      </c>
      <c r="AE1913" s="126">
        <f t="shared" ref="AE1913:AE1921" si="767">MAX(J1913,L1913,N1913,P1913,R1913,T1913,V1913,X1913)*if(Z1913=true,0.453592,1)</f>
        <v>0</v>
      </c>
      <c r="AF1913" s="128">
        <f t="shared" ref="AF1913:AF1921" si="768">MAX(IF(J1913*if(Z1913=true,0.453592,1)=$AE1913,K1913,0),IF(L1913*if(Z1913=true,0.453592,1)=$AE1913,M1913,0),IF(N1913*if(Z1913=true,0.453592,1)=$AE1913,O1913,0),IF(P1913*if(Z1913=true,0.453592,1)=$AE1913,Q1913,0),IF(R1913*if(Z1913=true,0.453592,1)=$AE1913,S1913,0),IF(T1913*if(Z1913=true,0.453592,1)=$AE1913,U1913,0),IF(V1913*if(Z1913=true,0.453592,1)=$AE1913,W1913,0),IF(X1913*if(Z1913=true,0.453592,1)=$AE1913,Y1913,0))</f>
        <v>0</v>
      </c>
      <c r="AG1913" s="1"/>
    </row>
    <row r="1914" ht="21.0" customHeight="1">
      <c r="A1914" s="1"/>
      <c r="B1914" s="48" t="s">
        <v>36</v>
      </c>
      <c r="C1914" s="49"/>
      <c r="D1914" s="65"/>
      <c r="E1914" s="66"/>
      <c r="F1914" s="52" t="s">
        <v>37</v>
      </c>
      <c r="G1914" s="67"/>
      <c r="H1914" s="129"/>
      <c r="I1914" s="69"/>
      <c r="J1914" s="72"/>
      <c r="K1914" s="73"/>
      <c r="L1914" s="72"/>
      <c r="M1914" s="73"/>
      <c r="N1914" s="72"/>
      <c r="O1914" s="73"/>
      <c r="P1914" s="72"/>
      <c r="Q1914" s="73"/>
      <c r="R1914" s="72"/>
      <c r="S1914" s="73"/>
      <c r="T1914" s="72"/>
      <c r="U1914" s="73"/>
      <c r="V1914" s="72"/>
      <c r="W1914" s="73"/>
      <c r="X1914" s="72"/>
      <c r="Y1914" s="73"/>
      <c r="Z1914" s="74" t="b">
        <v>0</v>
      </c>
      <c r="AA1914" s="130">
        <f t="shared" si="763"/>
        <v>0</v>
      </c>
      <c r="AB1914" s="131">
        <f t="shared" si="764"/>
        <v>0</v>
      </c>
      <c r="AC1914" s="132">
        <f t="shared" si="765"/>
        <v>0</v>
      </c>
      <c r="AD1914" s="133">
        <f t="shared" si="766"/>
        <v>0</v>
      </c>
      <c r="AE1914" s="131">
        <f t="shared" si="767"/>
        <v>0</v>
      </c>
      <c r="AF1914" s="133">
        <f t="shared" si="768"/>
        <v>0</v>
      </c>
      <c r="AG1914" s="1"/>
    </row>
    <row r="1915" ht="21.0" customHeight="1">
      <c r="A1915" s="1"/>
      <c r="B1915" s="48" t="s">
        <v>39</v>
      </c>
      <c r="C1915" s="49"/>
      <c r="D1915" s="65"/>
      <c r="E1915" s="41"/>
      <c r="F1915" s="52" t="s">
        <v>40</v>
      </c>
      <c r="G1915" s="79"/>
      <c r="H1915" s="80"/>
      <c r="I1915" s="69"/>
      <c r="J1915" s="72"/>
      <c r="K1915" s="73"/>
      <c r="L1915" s="72"/>
      <c r="M1915" s="73"/>
      <c r="N1915" s="72"/>
      <c r="O1915" s="73"/>
      <c r="P1915" s="72"/>
      <c r="Q1915" s="73"/>
      <c r="R1915" s="72"/>
      <c r="S1915" s="73"/>
      <c r="T1915" s="72"/>
      <c r="U1915" s="73"/>
      <c r="V1915" s="72"/>
      <c r="W1915" s="73"/>
      <c r="X1915" s="72"/>
      <c r="Y1915" s="73"/>
      <c r="Z1915" s="74" t="b">
        <v>0</v>
      </c>
      <c r="AA1915" s="130">
        <f t="shared" si="763"/>
        <v>0</v>
      </c>
      <c r="AB1915" s="131">
        <f t="shared" si="764"/>
        <v>0</v>
      </c>
      <c r="AC1915" s="132">
        <f t="shared" si="765"/>
        <v>0</v>
      </c>
      <c r="AD1915" s="133">
        <f t="shared" si="766"/>
        <v>0</v>
      </c>
      <c r="AE1915" s="131">
        <f t="shared" si="767"/>
        <v>0</v>
      </c>
      <c r="AF1915" s="133">
        <f t="shared" si="768"/>
        <v>0</v>
      </c>
      <c r="AG1915" s="1"/>
    </row>
    <row r="1916" ht="21.0" customHeight="1">
      <c r="A1916" s="1"/>
      <c r="B1916" s="48" t="s">
        <v>41</v>
      </c>
      <c r="C1916" s="81"/>
      <c r="D1916" s="82" t="b">
        <v>0</v>
      </c>
      <c r="E1916" s="51" t="s">
        <v>42</v>
      </c>
      <c r="F1916" s="52" t="s">
        <v>34</v>
      </c>
      <c r="G1916" s="83"/>
      <c r="H1916" s="84"/>
      <c r="I1916" s="85"/>
      <c r="J1916" s="72"/>
      <c r="K1916" s="73"/>
      <c r="L1916" s="72"/>
      <c r="M1916" s="73"/>
      <c r="N1916" s="72"/>
      <c r="O1916" s="73"/>
      <c r="P1916" s="72"/>
      <c r="Q1916" s="73"/>
      <c r="R1916" s="72"/>
      <c r="S1916" s="73"/>
      <c r="T1916" s="72"/>
      <c r="U1916" s="73"/>
      <c r="V1916" s="72"/>
      <c r="W1916" s="73"/>
      <c r="X1916" s="72"/>
      <c r="Y1916" s="73"/>
      <c r="Z1916" s="74" t="b">
        <v>0</v>
      </c>
      <c r="AA1916" s="130">
        <f t="shared" si="763"/>
        <v>0</v>
      </c>
      <c r="AB1916" s="131">
        <f t="shared" si="764"/>
        <v>0</v>
      </c>
      <c r="AC1916" s="132">
        <f t="shared" si="765"/>
        <v>0</v>
      </c>
      <c r="AD1916" s="133">
        <f t="shared" si="766"/>
        <v>0</v>
      </c>
      <c r="AE1916" s="131">
        <f t="shared" si="767"/>
        <v>0</v>
      </c>
      <c r="AF1916" s="133">
        <f t="shared" si="768"/>
        <v>0</v>
      </c>
      <c r="AG1916" s="1"/>
    </row>
    <row r="1917" ht="21.0" customHeight="1">
      <c r="A1917" s="1"/>
      <c r="B1917" s="48" t="s">
        <v>43</v>
      </c>
      <c r="C1917" s="49"/>
      <c r="D1917" s="86" t="b">
        <v>0</v>
      </c>
      <c r="E1917" s="66"/>
      <c r="F1917" s="52" t="s">
        <v>37</v>
      </c>
      <c r="G1917" s="67"/>
      <c r="H1917" s="80"/>
      <c r="I1917" s="69"/>
      <c r="J1917" s="72"/>
      <c r="K1917" s="73"/>
      <c r="L1917" s="72"/>
      <c r="M1917" s="73"/>
      <c r="N1917" s="72"/>
      <c r="O1917" s="73"/>
      <c r="P1917" s="72"/>
      <c r="Q1917" s="73"/>
      <c r="R1917" s="72"/>
      <c r="S1917" s="73"/>
      <c r="T1917" s="72"/>
      <c r="U1917" s="73"/>
      <c r="V1917" s="72"/>
      <c r="W1917" s="73"/>
      <c r="X1917" s="72"/>
      <c r="Y1917" s="73"/>
      <c r="Z1917" s="74" t="b">
        <v>0</v>
      </c>
      <c r="AA1917" s="130">
        <f t="shared" si="763"/>
        <v>0</v>
      </c>
      <c r="AB1917" s="131">
        <f t="shared" si="764"/>
        <v>0</v>
      </c>
      <c r="AC1917" s="132">
        <f t="shared" si="765"/>
        <v>0</v>
      </c>
      <c r="AD1917" s="133">
        <f t="shared" si="766"/>
        <v>0</v>
      </c>
      <c r="AE1917" s="131">
        <f t="shared" si="767"/>
        <v>0</v>
      </c>
      <c r="AF1917" s="133">
        <f t="shared" si="768"/>
        <v>0</v>
      </c>
      <c r="AG1917" s="1"/>
    </row>
    <row r="1918" ht="21.0" customHeight="1">
      <c r="A1918" s="1"/>
      <c r="B1918" s="87" t="str">
        <f t="array" ref="B1918">"📌최근 인바디 결과 : "&amp;text(xlookup(B1910,'현황'!O:O,'현황'!O:O,,-1,-1),"m/d(ddd)")</f>
        <v>#REF!</v>
      </c>
      <c r="C1918" s="88"/>
      <c r="D1918" s="49"/>
      <c r="E1918" s="41"/>
      <c r="F1918" s="52" t="s">
        <v>40</v>
      </c>
      <c r="G1918" s="79"/>
      <c r="H1918" s="80"/>
      <c r="I1918" s="69"/>
      <c r="J1918" s="72"/>
      <c r="K1918" s="73"/>
      <c r="L1918" s="72"/>
      <c r="M1918" s="73"/>
      <c r="N1918" s="72"/>
      <c r="O1918" s="73"/>
      <c r="P1918" s="72"/>
      <c r="Q1918" s="73"/>
      <c r="R1918" s="72"/>
      <c r="S1918" s="73"/>
      <c r="T1918" s="72"/>
      <c r="U1918" s="73"/>
      <c r="V1918" s="72"/>
      <c r="W1918" s="73"/>
      <c r="X1918" s="72"/>
      <c r="Y1918" s="73"/>
      <c r="Z1918" s="74" t="b">
        <v>0</v>
      </c>
      <c r="AA1918" s="130">
        <f t="shared" si="763"/>
        <v>0</v>
      </c>
      <c r="AB1918" s="131">
        <f t="shared" si="764"/>
        <v>0</v>
      </c>
      <c r="AC1918" s="132">
        <f t="shared" si="765"/>
        <v>0</v>
      </c>
      <c r="AD1918" s="133">
        <f t="shared" si="766"/>
        <v>0</v>
      </c>
      <c r="AE1918" s="131">
        <f t="shared" si="767"/>
        <v>0</v>
      </c>
      <c r="AF1918" s="133">
        <f t="shared" si="768"/>
        <v>0</v>
      </c>
      <c r="AG1918" s="1"/>
    </row>
    <row r="1919" ht="21.0" customHeight="1">
      <c r="A1919" s="1"/>
      <c r="B1919" s="89" t="s">
        <v>44</v>
      </c>
      <c r="C1919" s="49"/>
      <c r="D1919" s="90">
        <f t="array" ref="D1919">iferror(vlookup(xlookup(B1910,'현황'!O:O,'현황'!O:O,,-1,-1),'현황'!O:S,2,false),0)</f>
        <v>0</v>
      </c>
      <c r="E1919" s="51" t="s">
        <v>45</v>
      </c>
      <c r="F1919" s="52" t="s">
        <v>34</v>
      </c>
      <c r="G1919" s="83"/>
      <c r="H1919" s="84"/>
      <c r="I1919" s="85"/>
      <c r="J1919" s="72"/>
      <c r="K1919" s="73"/>
      <c r="L1919" s="72"/>
      <c r="M1919" s="73"/>
      <c r="N1919" s="72"/>
      <c r="O1919" s="73"/>
      <c r="P1919" s="72"/>
      <c r="Q1919" s="73"/>
      <c r="R1919" s="72"/>
      <c r="S1919" s="73"/>
      <c r="T1919" s="72"/>
      <c r="U1919" s="73"/>
      <c r="V1919" s="72"/>
      <c r="W1919" s="73"/>
      <c r="X1919" s="72"/>
      <c r="Y1919" s="73"/>
      <c r="Z1919" s="74" t="b">
        <v>0</v>
      </c>
      <c r="AA1919" s="130">
        <f t="shared" si="763"/>
        <v>0</v>
      </c>
      <c r="AB1919" s="131">
        <f t="shared" si="764"/>
        <v>0</v>
      </c>
      <c r="AC1919" s="132">
        <f t="shared" si="765"/>
        <v>0</v>
      </c>
      <c r="AD1919" s="133">
        <f t="shared" si="766"/>
        <v>0</v>
      </c>
      <c r="AE1919" s="131">
        <f t="shared" si="767"/>
        <v>0</v>
      </c>
      <c r="AF1919" s="133">
        <f t="shared" si="768"/>
        <v>0</v>
      </c>
      <c r="AG1919" s="1"/>
    </row>
    <row r="1920" ht="21.0" customHeight="1">
      <c r="A1920" s="1"/>
      <c r="B1920" s="48" t="s">
        <v>46</v>
      </c>
      <c r="C1920" s="49"/>
      <c r="D1920" s="91">
        <f t="array" ref="D1920">iferror(vlookup(xlookup(B1910,'현황'!O:O,'현황'!O:O,,-1,-1),'현황'!O:S,3,false),0)</f>
        <v>0</v>
      </c>
      <c r="E1920" s="66"/>
      <c r="F1920" s="52" t="s">
        <v>37</v>
      </c>
      <c r="G1920" s="67"/>
      <c r="H1920" s="80"/>
      <c r="I1920" s="69"/>
      <c r="J1920" s="72"/>
      <c r="K1920" s="73"/>
      <c r="L1920" s="72"/>
      <c r="M1920" s="73"/>
      <c r="N1920" s="72"/>
      <c r="O1920" s="73"/>
      <c r="P1920" s="72"/>
      <c r="Q1920" s="73"/>
      <c r="R1920" s="72"/>
      <c r="S1920" s="73"/>
      <c r="T1920" s="72"/>
      <c r="U1920" s="73"/>
      <c r="V1920" s="72"/>
      <c r="W1920" s="73"/>
      <c r="X1920" s="72"/>
      <c r="Y1920" s="73"/>
      <c r="Z1920" s="74" t="b">
        <v>0</v>
      </c>
      <c r="AA1920" s="130">
        <f t="shared" si="763"/>
        <v>0</v>
      </c>
      <c r="AB1920" s="131">
        <f t="shared" si="764"/>
        <v>0</v>
      </c>
      <c r="AC1920" s="132">
        <f t="shared" si="765"/>
        <v>0</v>
      </c>
      <c r="AD1920" s="133">
        <f t="shared" si="766"/>
        <v>0</v>
      </c>
      <c r="AE1920" s="131">
        <f t="shared" si="767"/>
        <v>0</v>
      </c>
      <c r="AF1920" s="133">
        <f t="shared" si="768"/>
        <v>0</v>
      </c>
      <c r="AG1920" s="1"/>
    </row>
    <row r="1921" ht="21.0" customHeight="1">
      <c r="A1921" s="1"/>
      <c r="B1921" s="48" t="s">
        <v>47</v>
      </c>
      <c r="C1921" s="49"/>
      <c r="D1921" s="91">
        <f t="array" ref="D1921">iferror(vlookup(xlookup(B1910,'현황'!O:O,'현황'!O:O,,-1,-1),'현황'!O:S,4,false),0)</f>
        <v>0</v>
      </c>
      <c r="E1921" s="41"/>
      <c r="F1921" s="92" t="s">
        <v>40</v>
      </c>
      <c r="G1921" s="79"/>
      <c r="H1921" s="93"/>
      <c r="I1921" s="94"/>
      <c r="J1921" s="95"/>
      <c r="K1921" s="96"/>
      <c r="L1921" s="95"/>
      <c r="M1921" s="96"/>
      <c r="N1921" s="95"/>
      <c r="O1921" s="96"/>
      <c r="P1921" s="95"/>
      <c r="Q1921" s="96"/>
      <c r="R1921" s="95"/>
      <c r="S1921" s="96"/>
      <c r="T1921" s="95"/>
      <c r="U1921" s="96"/>
      <c r="V1921" s="95"/>
      <c r="W1921" s="96"/>
      <c r="X1921" s="95"/>
      <c r="Y1921" s="96"/>
      <c r="Z1921" s="97" t="b">
        <v>0</v>
      </c>
      <c r="AA1921" s="135">
        <f t="shared" si="763"/>
        <v>0</v>
      </c>
      <c r="AB1921" s="136">
        <f t="shared" si="764"/>
        <v>0</v>
      </c>
      <c r="AC1921" s="137">
        <f t="shared" si="765"/>
        <v>0</v>
      </c>
      <c r="AD1921" s="138">
        <f t="shared" si="766"/>
        <v>0</v>
      </c>
      <c r="AE1921" s="136">
        <f t="shared" si="767"/>
        <v>0</v>
      </c>
      <c r="AF1921" s="138">
        <f t="shared" si="768"/>
        <v>0</v>
      </c>
      <c r="AG1921" s="1"/>
    </row>
    <row r="1922" ht="21.0" customHeight="1">
      <c r="A1922" s="1"/>
      <c r="B1922" s="102" t="s">
        <v>48</v>
      </c>
      <c r="C1922" s="103"/>
      <c r="D1922" s="104">
        <f>iferror(D1921/D1919,0)</f>
        <v>0</v>
      </c>
      <c r="E1922" s="102" t="s">
        <v>49</v>
      </c>
      <c r="F1922" s="103"/>
      <c r="G1922" s="105"/>
      <c r="H1922" s="143" t="s">
        <v>50</v>
      </c>
      <c r="I1922" s="144"/>
      <c r="J1922" s="11"/>
      <c r="K1922" s="11"/>
      <c r="L1922" s="11"/>
      <c r="M1922" s="11"/>
      <c r="N1922" s="11"/>
      <c r="O1922" s="11"/>
      <c r="P1922" s="145" t="s">
        <v>51</v>
      </c>
      <c r="Q1922" s="12"/>
      <c r="R1922" s="146"/>
      <c r="S1922" s="11"/>
      <c r="T1922" s="11"/>
      <c r="U1922" s="11"/>
      <c r="V1922" s="11"/>
      <c r="W1922" s="11"/>
      <c r="X1922" s="11"/>
      <c r="Y1922" s="11"/>
      <c r="Z1922" s="12"/>
      <c r="AA1922" s="139">
        <f>SUM(AA1913:AA1921)</f>
        <v>0</v>
      </c>
      <c r="AB1922" s="140" t="s">
        <v>353</v>
      </c>
      <c r="AG1922" s="1"/>
    </row>
    <row r="1923" ht="21.0" customHeight="1">
      <c r="A1923" s="1"/>
      <c r="B1923" s="1"/>
      <c r="C1923" s="1"/>
      <c r="D1923" s="1"/>
      <c r="E1923" s="1"/>
      <c r="F1923" s="1"/>
      <c r="G1923" s="1"/>
      <c r="H1923" s="1"/>
      <c r="I1923" s="1"/>
      <c r="AA1923" s="1"/>
      <c r="AB1923" s="1"/>
      <c r="AC1923" s="3"/>
      <c r="AD1923" s="1"/>
      <c r="AE1923" s="1"/>
      <c r="AF1923" s="1"/>
      <c r="AG1923" s="1"/>
    </row>
    <row r="1924" ht="21.0" customHeight="1">
      <c r="A1924" s="1"/>
      <c r="B1924" s="4" t="s">
        <v>1</v>
      </c>
      <c r="C1924" s="5"/>
      <c r="D1924" s="6" t="s">
        <v>2</v>
      </c>
      <c r="E1924" s="7"/>
      <c r="F1924" s="7"/>
      <c r="G1924" s="5"/>
      <c r="H1924" s="8" t="s">
        <v>3</v>
      </c>
      <c r="I1924" s="8" t="s">
        <v>4</v>
      </c>
      <c r="J1924" s="9" t="s">
        <v>5</v>
      </c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5"/>
      <c r="AA1924" s="117" t="s">
        <v>6</v>
      </c>
      <c r="AB1924" s="11"/>
      <c r="AC1924" s="11"/>
      <c r="AD1924" s="11"/>
      <c r="AE1924" s="11"/>
      <c r="AF1924" s="12"/>
      <c r="AG1924" s="1"/>
    </row>
    <row r="1925" ht="21.0" customHeight="1">
      <c r="A1925" s="1"/>
      <c r="B1925" s="149" t="s">
        <v>138</v>
      </c>
      <c r="C1925" s="14" t="str">
        <f>if(B1925="0/0","",choose(weekday(B1925),"(일)","(월)","(화)","(수)","(목)","(금)","(토)"))</f>
        <v/>
      </c>
      <c r="D1925" s="15" t="s">
        <v>7</v>
      </c>
      <c r="E1925" s="16" t="s">
        <v>8</v>
      </c>
      <c r="F1925" s="17"/>
      <c r="G1925" s="18" t="s">
        <v>9</v>
      </c>
      <c r="H1925" s="150" t="s">
        <v>139</v>
      </c>
      <c r="I1925" s="151"/>
      <c r="J1925" s="21" t="s">
        <v>12</v>
      </c>
      <c r="K1925" s="22"/>
      <c r="L1925" s="21" t="s">
        <v>13</v>
      </c>
      <c r="M1925" s="22"/>
      <c r="N1925" s="21" t="s">
        <v>14</v>
      </c>
      <c r="O1925" s="22"/>
      <c r="P1925" s="21" t="s">
        <v>15</v>
      </c>
      <c r="Q1925" s="22"/>
      <c r="R1925" s="23" t="s">
        <v>16</v>
      </c>
      <c r="S1925" s="22"/>
      <c r="T1925" s="23" t="s">
        <v>17</v>
      </c>
      <c r="U1925" s="22"/>
      <c r="V1925" s="23" t="s">
        <v>18</v>
      </c>
      <c r="W1925" s="22"/>
      <c r="X1925" s="23" t="s">
        <v>19</v>
      </c>
      <c r="Y1925" s="22"/>
      <c r="Z1925" s="24" t="s">
        <v>354</v>
      </c>
      <c r="AA1925" s="118" t="s">
        <v>21</v>
      </c>
      <c r="AB1925" s="119" t="s">
        <v>22</v>
      </c>
      <c r="AC1925" s="7"/>
      <c r="AD1925" s="22"/>
      <c r="AE1925" s="120" t="s">
        <v>23</v>
      </c>
      <c r="AF1925" s="22"/>
      <c r="AG1925" s="1"/>
    </row>
    <row r="1926" ht="21.0" customHeight="1">
      <c r="A1926" s="1"/>
      <c r="B1926" s="27">
        <f>iferror(B1925-'현황'!$C$4+1,0)</f>
        <v>0</v>
      </c>
      <c r="C1926" s="28"/>
      <c r="D1926" s="29">
        <v>0.0</v>
      </c>
      <c r="E1926" s="30">
        <v>0.0</v>
      </c>
      <c r="F1926" s="31"/>
      <c r="G1926" s="32">
        <v>0.0</v>
      </c>
      <c r="H1926" s="33">
        <v>0.0</v>
      </c>
      <c r="I1926" s="34"/>
      <c r="J1926" s="35"/>
      <c r="K1926" s="36"/>
      <c r="L1926" s="35"/>
      <c r="M1926" s="36"/>
      <c r="N1926" s="35"/>
      <c r="O1926" s="36"/>
      <c r="P1926" s="35"/>
      <c r="Q1926" s="36"/>
      <c r="R1926" s="35"/>
      <c r="S1926" s="36"/>
      <c r="T1926" s="35"/>
      <c r="U1926" s="36"/>
      <c r="V1926" s="35"/>
      <c r="W1926" s="36"/>
      <c r="X1926" s="35"/>
      <c r="Y1926" s="36"/>
      <c r="Z1926" s="37"/>
      <c r="AA1926" s="37"/>
      <c r="AB1926" s="35"/>
      <c r="AC1926" s="38"/>
      <c r="AD1926" s="36"/>
      <c r="AE1926" s="35"/>
      <c r="AF1926" s="36"/>
      <c r="AG1926" s="1"/>
    </row>
    <row r="1927" ht="21.0" customHeight="1">
      <c r="A1927" s="1"/>
      <c r="B1927" s="39" t="s">
        <v>24</v>
      </c>
      <c r="C1927" s="40"/>
      <c r="D1927" s="41"/>
      <c r="E1927" s="42" t="s">
        <v>25</v>
      </c>
      <c r="F1927" s="40"/>
      <c r="G1927" s="41"/>
      <c r="H1927" s="43" t="s">
        <v>26</v>
      </c>
      <c r="J1927" s="44" t="s">
        <v>27</v>
      </c>
      <c r="K1927" s="45" t="s">
        <v>28</v>
      </c>
      <c r="L1927" s="44" t="s">
        <v>27</v>
      </c>
      <c r="M1927" s="45" t="s">
        <v>28</v>
      </c>
      <c r="N1927" s="44" t="s">
        <v>27</v>
      </c>
      <c r="O1927" s="45" t="s">
        <v>28</v>
      </c>
      <c r="P1927" s="44" t="s">
        <v>27</v>
      </c>
      <c r="Q1927" s="45" t="s">
        <v>28</v>
      </c>
      <c r="R1927" s="44" t="s">
        <v>27</v>
      </c>
      <c r="S1927" s="45" t="s">
        <v>28</v>
      </c>
      <c r="T1927" s="44" t="s">
        <v>27</v>
      </c>
      <c r="U1927" s="45" t="s">
        <v>28</v>
      </c>
      <c r="V1927" s="44" t="s">
        <v>27</v>
      </c>
      <c r="W1927" s="45" t="s">
        <v>28</v>
      </c>
      <c r="X1927" s="44" t="s">
        <v>27</v>
      </c>
      <c r="Y1927" s="45" t="s">
        <v>28</v>
      </c>
      <c r="Z1927" s="46"/>
      <c r="AA1927" s="46"/>
      <c r="AB1927" s="121" t="s">
        <v>29</v>
      </c>
      <c r="AC1927" s="122" t="s">
        <v>30</v>
      </c>
      <c r="AD1927" s="123" t="s">
        <v>31</v>
      </c>
      <c r="AE1927" s="121" t="s">
        <v>27</v>
      </c>
      <c r="AF1927" s="123" t="s">
        <v>28</v>
      </c>
      <c r="AG1927" s="1"/>
    </row>
    <row r="1928" ht="21.0" customHeight="1">
      <c r="A1928" s="1"/>
      <c r="B1928" s="48" t="s">
        <v>32</v>
      </c>
      <c r="C1928" s="49"/>
      <c r="D1928" s="50"/>
      <c r="E1928" s="51" t="s">
        <v>33</v>
      </c>
      <c r="F1928" s="52" t="s">
        <v>34</v>
      </c>
      <c r="G1928" s="53"/>
      <c r="H1928" s="148"/>
      <c r="I1928" s="55"/>
      <c r="J1928" s="58"/>
      <c r="K1928" s="59"/>
      <c r="L1928" s="58"/>
      <c r="M1928" s="59"/>
      <c r="N1928" s="58"/>
      <c r="O1928" s="59"/>
      <c r="P1928" s="58"/>
      <c r="Q1928" s="59"/>
      <c r="R1928" s="58"/>
      <c r="S1928" s="59"/>
      <c r="T1928" s="58"/>
      <c r="U1928" s="59"/>
      <c r="V1928" s="58"/>
      <c r="W1928" s="59"/>
      <c r="X1928" s="58"/>
      <c r="Y1928" s="59"/>
      <c r="Z1928" s="60" t="b">
        <v>0</v>
      </c>
      <c r="AA1928" s="125">
        <f t="shared" ref="AA1928:AA1936" si="769">(J1928*K1928+L1928*M1928+N1928*O1928+P1928*Q1928+R1928*S1928+T1928*U1928+V1928*W1928+X1928*Y1928)*if(Z1928=true,0.453592,1)</f>
        <v>0</v>
      </c>
      <c r="AB1928" s="126">
        <f t="shared" ref="AB1928:AB1936" si="770">SUM(AE1928*AF1928*0.025,AE1928)</f>
        <v>0</v>
      </c>
      <c r="AC1928" s="127">
        <f t="shared" ref="AC1928:AC1936" si="771">AB1928*87%</f>
        <v>0</v>
      </c>
      <c r="AD1928" s="128">
        <f t="shared" ref="AD1928:AD1936" si="772">AB1928*67%</f>
        <v>0</v>
      </c>
      <c r="AE1928" s="126">
        <f t="shared" ref="AE1928:AE1936" si="773">MAX(J1928,L1928,N1928,P1928,R1928,T1928,V1928,X1928)*if(Z1928=true,0.453592,1)</f>
        <v>0</v>
      </c>
      <c r="AF1928" s="128">
        <f t="shared" ref="AF1928:AF1936" si="774">MAX(IF(J1928*if(Z1928=true,0.453592,1)=$AE1928,K1928,0),IF(L1928*if(Z1928=true,0.453592,1)=$AE1928,M1928,0),IF(N1928*if(Z1928=true,0.453592,1)=$AE1928,O1928,0),IF(P1928*if(Z1928=true,0.453592,1)=$AE1928,Q1928,0),IF(R1928*if(Z1928=true,0.453592,1)=$AE1928,S1928,0),IF(T1928*if(Z1928=true,0.453592,1)=$AE1928,U1928,0),IF(V1928*if(Z1928=true,0.453592,1)=$AE1928,W1928,0),IF(X1928*if(Z1928=true,0.453592,1)=$AE1928,Y1928,0))</f>
        <v>0</v>
      </c>
      <c r="AG1928" s="1"/>
    </row>
    <row r="1929" ht="21.0" customHeight="1">
      <c r="A1929" s="1"/>
      <c r="B1929" s="48" t="s">
        <v>36</v>
      </c>
      <c r="C1929" s="49"/>
      <c r="D1929" s="65"/>
      <c r="E1929" s="66"/>
      <c r="F1929" s="52" t="s">
        <v>37</v>
      </c>
      <c r="G1929" s="67"/>
      <c r="H1929" s="129"/>
      <c r="I1929" s="69"/>
      <c r="J1929" s="72"/>
      <c r="K1929" s="73"/>
      <c r="L1929" s="72"/>
      <c r="M1929" s="73"/>
      <c r="N1929" s="72"/>
      <c r="O1929" s="73"/>
      <c r="P1929" s="72"/>
      <c r="Q1929" s="73"/>
      <c r="R1929" s="72"/>
      <c r="S1929" s="73"/>
      <c r="T1929" s="72"/>
      <c r="U1929" s="73"/>
      <c r="V1929" s="72"/>
      <c r="W1929" s="73"/>
      <c r="X1929" s="72"/>
      <c r="Y1929" s="73"/>
      <c r="Z1929" s="74" t="b">
        <v>0</v>
      </c>
      <c r="AA1929" s="130">
        <f t="shared" si="769"/>
        <v>0</v>
      </c>
      <c r="AB1929" s="131">
        <f t="shared" si="770"/>
        <v>0</v>
      </c>
      <c r="AC1929" s="132">
        <f t="shared" si="771"/>
        <v>0</v>
      </c>
      <c r="AD1929" s="133">
        <f t="shared" si="772"/>
        <v>0</v>
      </c>
      <c r="AE1929" s="131">
        <f t="shared" si="773"/>
        <v>0</v>
      </c>
      <c r="AF1929" s="133">
        <f t="shared" si="774"/>
        <v>0</v>
      </c>
      <c r="AG1929" s="1"/>
    </row>
    <row r="1930" ht="21.0" customHeight="1">
      <c r="A1930" s="1"/>
      <c r="B1930" s="48" t="s">
        <v>39</v>
      </c>
      <c r="C1930" s="49"/>
      <c r="D1930" s="65"/>
      <c r="E1930" s="41"/>
      <c r="F1930" s="52" t="s">
        <v>40</v>
      </c>
      <c r="G1930" s="79"/>
      <c r="H1930" s="80"/>
      <c r="I1930" s="69"/>
      <c r="J1930" s="72"/>
      <c r="K1930" s="73"/>
      <c r="L1930" s="72"/>
      <c r="M1930" s="73"/>
      <c r="N1930" s="72"/>
      <c r="O1930" s="73"/>
      <c r="P1930" s="72"/>
      <c r="Q1930" s="73"/>
      <c r="R1930" s="72"/>
      <c r="S1930" s="73"/>
      <c r="T1930" s="72"/>
      <c r="U1930" s="73"/>
      <c r="V1930" s="72"/>
      <c r="W1930" s="73"/>
      <c r="X1930" s="72"/>
      <c r="Y1930" s="73"/>
      <c r="Z1930" s="74" t="b">
        <v>0</v>
      </c>
      <c r="AA1930" s="130">
        <f t="shared" si="769"/>
        <v>0</v>
      </c>
      <c r="AB1930" s="131">
        <f t="shared" si="770"/>
        <v>0</v>
      </c>
      <c r="AC1930" s="132">
        <f t="shared" si="771"/>
        <v>0</v>
      </c>
      <c r="AD1930" s="133">
        <f t="shared" si="772"/>
        <v>0</v>
      </c>
      <c r="AE1930" s="131">
        <f t="shared" si="773"/>
        <v>0</v>
      </c>
      <c r="AF1930" s="133">
        <f t="shared" si="774"/>
        <v>0</v>
      </c>
      <c r="AG1930" s="1"/>
    </row>
    <row r="1931" ht="21.0" customHeight="1">
      <c r="A1931" s="1"/>
      <c r="B1931" s="48" t="s">
        <v>41</v>
      </c>
      <c r="C1931" s="81"/>
      <c r="D1931" s="82" t="b">
        <v>0</v>
      </c>
      <c r="E1931" s="51" t="s">
        <v>42</v>
      </c>
      <c r="F1931" s="52" t="s">
        <v>34</v>
      </c>
      <c r="G1931" s="83"/>
      <c r="H1931" s="84"/>
      <c r="I1931" s="85"/>
      <c r="J1931" s="72"/>
      <c r="K1931" s="73"/>
      <c r="L1931" s="72"/>
      <c r="M1931" s="73"/>
      <c r="N1931" s="72"/>
      <c r="O1931" s="73"/>
      <c r="P1931" s="72"/>
      <c r="Q1931" s="73"/>
      <c r="R1931" s="72"/>
      <c r="S1931" s="73"/>
      <c r="T1931" s="72"/>
      <c r="U1931" s="73"/>
      <c r="V1931" s="72"/>
      <c r="W1931" s="73"/>
      <c r="X1931" s="72"/>
      <c r="Y1931" s="73"/>
      <c r="Z1931" s="74" t="b">
        <v>0</v>
      </c>
      <c r="AA1931" s="130">
        <f t="shared" si="769"/>
        <v>0</v>
      </c>
      <c r="AB1931" s="131">
        <f t="shared" si="770"/>
        <v>0</v>
      </c>
      <c r="AC1931" s="132">
        <f t="shared" si="771"/>
        <v>0</v>
      </c>
      <c r="AD1931" s="133">
        <f t="shared" si="772"/>
        <v>0</v>
      </c>
      <c r="AE1931" s="131">
        <f t="shared" si="773"/>
        <v>0</v>
      </c>
      <c r="AF1931" s="133">
        <f t="shared" si="774"/>
        <v>0</v>
      </c>
      <c r="AG1931" s="1"/>
    </row>
    <row r="1932" ht="21.0" customHeight="1">
      <c r="A1932" s="1"/>
      <c r="B1932" s="48" t="s">
        <v>43</v>
      </c>
      <c r="C1932" s="49"/>
      <c r="D1932" s="86" t="b">
        <v>0</v>
      </c>
      <c r="E1932" s="66"/>
      <c r="F1932" s="52" t="s">
        <v>37</v>
      </c>
      <c r="G1932" s="67"/>
      <c r="H1932" s="80"/>
      <c r="I1932" s="69"/>
      <c r="J1932" s="72"/>
      <c r="K1932" s="73"/>
      <c r="L1932" s="72"/>
      <c r="M1932" s="73"/>
      <c r="N1932" s="72"/>
      <c r="O1932" s="73"/>
      <c r="P1932" s="72"/>
      <c r="Q1932" s="73"/>
      <c r="R1932" s="72"/>
      <c r="S1932" s="73"/>
      <c r="T1932" s="72"/>
      <c r="U1932" s="73"/>
      <c r="V1932" s="72"/>
      <c r="W1932" s="73"/>
      <c r="X1932" s="72"/>
      <c r="Y1932" s="73"/>
      <c r="Z1932" s="74" t="b">
        <v>0</v>
      </c>
      <c r="AA1932" s="130">
        <f t="shared" si="769"/>
        <v>0</v>
      </c>
      <c r="AB1932" s="131">
        <f t="shared" si="770"/>
        <v>0</v>
      </c>
      <c r="AC1932" s="132">
        <f t="shared" si="771"/>
        <v>0</v>
      </c>
      <c r="AD1932" s="133">
        <f t="shared" si="772"/>
        <v>0</v>
      </c>
      <c r="AE1932" s="131">
        <f t="shared" si="773"/>
        <v>0</v>
      </c>
      <c r="AF1932" s="133">
        <f t="shared" si="774"/>
        <v>0</v>
      </c>
      <c r="AG1932" s="1"/>
    </row>
    <row r="1933" ht="21.0" customHeight="1">
      <c r="A1933" s="1"/>
      <c r="B1933" s="87" t="str">
        <f t="array" ref="B1933">"📌최근 인바디 결과 : "&amp;text(xlookup(B1925,'현황'!O:O,'현황'!O:O,,-1,-1),"m/d(ddd)")</f>
        <v>#REF!</v>
      </c>
      <c r="C1933" s="88"/>
      <c r="D1933" s="49"/>
      <c r="E1933" s="41"/>
      <c r="F1933" s="52" t="s">
        <v>40</v>
      </c>
      <c r="G1933" s="79"/>
      <c r="H1933" s="80"/>
      <c r="I1933" s="69"/>
      <c r="J1933" s="72"/>
      <c r="K1933" s="73"/>
      <c r="L1933" s="72"/>
      <c r="M1933" s="73"/>
      <c r="N1933" s="72"/>
      <c r="O1933" s="73"/>
      <c r="P1933" s="72"/>
      <c r="Q1933" s="73"/>
      <c r="R1933" s="72"/>
      <c r="S1933" s="73"/>
      <c r="T1933" s="72"/>
      <c r="U1933" s="73"/>
      <c r="V1933" s="72"/>
      <c r="W1933" s="73"/>
      <c r="X1933" s="72"/>
      <c r="Y1933" s="73"/>
      <c r="Z1933" s="74" t="b">
        <v>0</v>
      </c>
      <c r="AA1933" s="130">
        <f t="shared" si="769"/>
        <v>0</v>
      </c>
      <c r="AB1933" s="131">
        <f t="shared" si="770"/>
        <v>0</v>
      </c>
      <c r="AC1933" s="132">
        <f t="shared" si="771"/>
        <v>0</v>
      </c>
      <c r="AD1933" s="133">
        <f t="shared" si="772"/>
        <v>0</v>
      </c>
      <c r="AE1933" s="131">
        <f t="shared" si="773"/>
        <v>0</v>
      </c>
      <c r="AF1933" s="133">
        <f t="shared" si="774"/>
        <v>0</v>
      </c>
      <c r="AG1933" s="1"/>
    </row>
    <row r="1934" ht="21.0" customHeight="1">
      <c r="A1934" s="1"/>
      <c r="B1934" s="89" t="s">
        <v>44</v>
      </c>
      <c r="C1934" s="49"/>
      <c r="D1934" s="90">
        <f t="array" ref="D1934">iferror(vlookup(xlookup(B1925,'현황'!O:O,'현황'!O:O,,-1,-1),'현황'!O:S,2,false),0)</f>
        <v>0</v>
      </c>
      <c r="E1934" s="51" t="s">
        <v>45</v>
      </c>
      <c r="F1934" s="52" t="s">
        <v>34</v>
      </c>
      <c r="G1934" s="83"/>
      <c r="H1934" s="84"/>
      <c r="I1934" s="85"/>
      <c r="J1934" s="72"/>
      <c r="K1934" s="73"/>
      <c r="L1934" s="72"/>
      <c r="M1934" s="73"/>
      <c r="N1934" s="72"/>
      <c r="O1934" s="73"/>
      <c r="P1934" s="72"/>
      <c r="Q1934" s="73"/>
      <c r="R1934" s="72"/>
      <c r="S1934" s="73"/>
      <c r="T1934" s="72"/>
      <c r="U1934" s="73"/>
      <c r="V1934" s="72"/>
      <c r="W1934" s="73"/>
      <c r="X1934" s="72"/>
      <c r="Y1934" s="73"/>
      <c r="Z1934" s="74" t="b">
        <v>0</v>
      </c>
      <c r="AA1934" s="130">
        <f t="shared" si="769"/>
        <v>0</v>
      </c>
      <c r="AB1934" s="131">
        <f t="shared" si="770"/>
        <v>0</v>
      </c>
      <c r="AC1934" s="132">
        <f t="shared" si="771"/>
        <v>0</v>
      </c>
      <c r="AD1934" s="133">
        <f t="shared" si="772"/>
        <v>0</v>
      </c>
      <c r="AE1934" s="131">
        <f t="shared" si="773"/>
        <v>0</v>
      </c>
      <c r="AF1934" s="133">
        <f t="shared" si="774"/>
        <v>0</v>
      </c>
      <c r="AG1934" s="1"/>
    </row>
    <row r="1935" ht="21.0" customHeight="1">
      <c r="A1935" s="1"/>
      <c r="B1935" s="48" t="s">
        <v>46</v>
      </c>
      <c r="C1935" s="49"/>
      <c r="D1935" s="91">
        <f t="array" ref="D1935">iferror(vlookup(xlookup(B1925,'현황'!O:O,'현황'!O:O,,-1,-1),'현황'!O:S,3,false),0)</f>
        <v>0</v>
      </c>
      <c r="E1935" s="66"/>
      <c r="F1935" s="52" t="s">
        <v>37</v>
      </c>
      <c r="G1935" s="67"/>
      <c r="H1935" s="80"/>
      <c r="I1935" s="69"/>
      <c r="J1935" s="72"/>
      <c r="K1935" s="73"/>
      <c r="L1935" s="72"/>
      <c r="M1935" s="73"/>
      <c r="N1935" s="72"/>
      <c r="O1935" s="73"/>
      <c r="P1935" s="72"/>
      <c r="Q1935" s="73"/>
      <c r="R1935" s="72"/>
      <c r="S1935" s="73"/>
      <c r="T1935" s="72"/>
      <c r="U1935" s="73"/>
      <c r="V1935" s="72"/>
      <c r="W1935" s="73"/>
      <c r="X1935" s="72"/>
      <c r="Y1935" s="73"/>
      <c r="Z1935" s="74" t="b">
        <v>0</v>
      </c>
      <c r="AA1935" s="130">
        <f t="shared" si="769"/>
        <v>0</v>
      </c>
      <c r="AB1935" s="131">
        <f t="shared" si="770"/>
        <v>0</v>
      </c>
      <c r="AC1935" s="132">
        <f t="shared" si="771"/>
        <v>0</v>
      </c>
      <c r="AD1935" s="133">
        <f t="shared" si="772"/>
        <v>0</v>
      </c>
      <c r="AE1935" s="131">
        <f t="shared" si="773"/>
        <v>0</v>
      </c>
      <c r="AF1935" s="133">
        <f t="shared" si="774"/>
        <v>0</v>
      </c>
      <c r="AG1935" s="1"/>
    </row>
    <row r="1936" ht="21.0" customHeight="1">
      <c r="A1936" s="1"/>
      <c r="B1936" s="48" t="s">
        <v>47</v>
      </c>
      <c r="C1936" s="49"/>
      <c r="D1936" s="91">
        <f t="array" ref="D1936">iferror(vlookup(xlookup(B1925,'현황'!O:O,'현황'!O:O,,-1,-1),'현황'!O:S,4,false),0)</f>
        <v>0</v>
      </c>
      <c r="E1936" s="41"/>
      <c r="F1936" s="92" t="s">
        <v>40</v>
      </c>
      <c r="G1936" s="79"/>
      <c r="H1936" s="93"/>
      <c r="I1936" s="94"/>
      <c r="J1936" s="95"/>
      <c r="K1936" s="96"/>
      <c r="L1936" s="95"/>
      <c r="M1936" s="96"/>
      <c r="N1936" s="95"/>
      <c r="O1936" s="96"/>
      <c r="P1936" s="95"/>
      <c r="Q1936" s="96"/>
      <c r="R1936" s="95"/>
      <c r="S1936" s="96"/>
      <c r="T1936" s="95"/>
      <c r="U1936" s="96"/>
      <c r="V1936" s="95"/>
      <c r="W1936" s="96"/>
      <c r="X1936" s="95"/>
      <c r="Y1936" s="96"/>
      <c r="Z1936" s="97" t="b">
        <v>0</v>
      </c>
      <c r="AA1936" s="135">
        <f t="shared" si="769"/>
        <v>0</v>
      </c>
      <c r="AB1936" s="136">
        <f t="shared" si="770"/>
        <v>0</v>
      </c>
      <c r="AC1936" s="137">
        <f t="shared" si="771"/>
        <v>0</v>
      </c>
      <c r="AD1936" s="138">
        <f t="shared" si="772"/>
        <v>0</v>
      </c>
      <c r="AE1936" s="136">
        <f t="shared" si="773"/>
        <v>0</v>
      </c>
      <c r="AF1936" s="138">
        <f t="shared" si="774"/>
        <v>0</v>
      </c>
      <c r="AG1936" s="1"/>
    </row>
    <row r="1937" ht="21.0" customHeight="1">
      <c r="A1937" s="1"/>
      <c r="B1937" s="102" t="s">
        <v>48</v>
      </c>
      <c r="C1937" s="103"/>
      <c r="D1937" s="104">
        <f>iferror(D1936/D1934,0)</f>
        <v>0</v>
      </c>
      <c r="E1937" s="102" t="s">
        <v>49</v>
      </c>
      <c r="F1937" s="103"/>
      <c r="G1937" s="105"/>
      <c r="H1937" s="106" t="s">
        <v>50</v>
      </c>
      <c r="I1937" s="107"/>
      <c r="J1937" s="11"/>
      <c r="K1937" s="11"/>
      <c r="L1937" s="11"/>
      <c r="M1937" s="11"/>
      <c r="N1937" s="11"/>
      <c r="O1937" s="11"/>
      <c r="P1937" s="108" t="s">
        <v>51</v>
      </c>
      <c r="Q1937" s="12"/>
      <c r="R1937" s="109"/>
      <c r="S1937" s="11"/>
      <c r="T1937" s="11"/>
      <c r="U1937" s="11"/>
      <c r="V1937" s="11"/>
      <c r="W1937" s="11"/>
      <c r="X1937" s="11"/>
      <c r="Y1937" s="11"/>
      <c r="Z1937" s="12"/>
      <c r="AA1937" s="139">
        <f>SUM(AA1928:AA1936)</f>
        <v>0</v>
      </c>
      <c r="AB1937" s="140" t="s">
        <v>355</v>
      </c>
      <c r="AG1937" s="1"/>
    </row>
    <row r="1938" ht="21.0" customHeight="1">
      <c r="A1938" s="1"/>
      <c r="B1938" s="1"/>
      <c r="C1938" s="1"/>
      <c r="D1938" s="1"/>
      <c r="E1938" s="1"/>
      <c r="F1938" s="1"/>
      <c r="G1938" s="1"/>
      <c r="H1938" s="1"/>
      <c r="I1938" s="1"/>
      <c r="AA1938" s="1"/>
      <c r="AB1938" s="1"/>
      <c r="AC1938" s="3"/>
      <c r="AD1938" s="1"/>
      <c r="AE1938" s="1"/>
      <c r="AF1938" s="1"/>
      <c r="AG1938" s="1"/>
    </row>
    <row r="1939" ht="21.0" customHeight="1">
      <c r="A1939" s="1"/>
      <c r="B1939" s="4" t="s">
        <v>1</v>
      </c>
      <c r="C1939" s="5"/>
      <c r="D1939" s="6" t="s">
        <v>2</v>
      </c>
      <c r="E1939" s="7"/>
      <c r="F1939" s="7"/>
      <c r="G1939" s="5"/>
      <c r="H1939" s="8" t="s">
        <v>3</v>
      </c>
      <c r="I1939" s="8" t="s">
        <v>4</v>
      </c>
      <c r="J1939" s="9" t="s">
        <v>5</v>
      </c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5"/>
      <c r="AA1939" s="117" t="s">
        <v>6</v>
      </c>
      <c r="AB1939" s="11"/>
      <c r="AC1939" s="11"/>
      <c r="AD1939" s="11"/>
      <c r="AE1939" s="11"/>
      <c r="AF1939" s="12"/>
      <c r="AG1939" s="1"/>
    </row>
    <row r="1940" ht="21.0" customHeight="1">
      <c r="A1940" s="1"/>
      <c r="B1940" s="149" t="s">
        <v>138</v>
      </c>
      <c r="C1940" s="14" t="str">
        <f>if(B1940="0/0","",choose(weekday(B1940),"(일)","(월)","(화)","(수)","(목)","(금)","(토)"))</f>
        <v/>
      </c>
      <c r="D1940" s="15" t="s">
        <v>7</v>
      </c>
      <c r="E1940" s="16" t="s">
        <v>8</v>
      </c>
      <c r="F1940" s="17"/>
      <c r="G1940" s="18" t="s">
        <v>9</v>
      </c>
      <c r="H1940" s="150" t="s">
        <v>139</v>
      </c>
      <c r="I1940" s="151"/>
      <c r="J1940" s="21" t="s">
        <v>12</v>
      </c>
      <c r="K1940" s="22"/>
      <c r="L1940" s="21" t="s">
        <v>13</v>
      </c>
      <c r="M1940" s="22"/>
      <c r="N1940" s="21" t="s">
        <v>14</v>
      </c>
      <c r="O1940" s="22"/>
      <c r="P1940" s="21" t="s">
        <v>15</v>
      </c>
      <c r="Q1940" s="22"/>
      <c r="R1940" s="23" t="s">
        <v>16</v>
      </c>
      <c r="S1940" s="22"/>
      <c r="T1940" s="23" t="s">
        <v>17</v>
      </c>
      <c r="U1940" s="22"/>
      <c r="V1940" s="23" t="s">
        <v>18</v>
      </c>
      <c r="W1940" s="22"/>
      <c r="X1940" s="23" t="s">
        <v>19</v>
      </c>
      <c r="Y1940" s="22"/>
      <c r="Z1940" s="24" t="s">
        <v>356</v>
      </c>
      <c r="AA1940" s="118" t="s">
        <v>21</v>
      </c>
      <c r="AB1940" s="119" t="s">
        <v>22</v>
      </c>
      <c r="AC1940" s="7"/>
      <c r="AD1940" s="22"/>
      <c r="AE1940" s="120" t="s">
        <v>23</v>
      </c>
      <c r="AF1940" s="22"/>
      <c r="AG1940" s="1"/>
    </row>
    <row r="1941" ht="21.0" customHeight="1">
      <c r="A1941" s="1"/>
      <c r="B1941" s="27">
        <f>iferror(B1940-'현황'!$C$4+1,0)</f>
        <v>0</v>
      </c>
      <c r="C1941" s="28"/>
      <c r="D1941" s="29">
        <v>0.0</v>
      </c>
      <c r="E1941" s="30">
        <v>0.0</v>
      </c>
      <c r="F1941" s="31"/>
      <c r="G1941" s="32">
        <v>0.0</v>
      </c>
      <c r="H1941" s="33">
        <v>0.0</v>
      </c>
      <c r="I1941" s="34"/>
      <c r="J1941" s="35"/>
      <c r="K1941" s="36"/>
      <c r="L1941" s="35"/>
      <c r="M1941" s="36"/>
      <c r="N1941" s="35"/>
      <c r="O1941" s="36"/>
      <c r="P1941" s="35"/>
      <c r="Q1941" s="36"/>
      <c r="R1941" s="35"/>
      <c r="S1941" s="36"/>
      <c r="T1941" s="35"/>
      <c r="U1941" s="36"/>
      <c r="V1941" s="35"/>
      <c r="W1941" s="36"/>
      <c r="X1941" s="35"/>
      <c r="Y1941" s="36"/>
      <c r="Z1941" s="37"/>
      <c r="AA1941" s="37"/>
      <c r="AB1941" s="35"/>
      <c r="AC1941" s="38"/>
      <c r="AD1941" s="36"/>
      <c r="AE1941" s="35"/>
      <c r="AF1941" s="36"/>
      <c r="AG1941" s="1"/>
    </row>
    <row r="1942" ht="21.0" customHeight="1">
      <c r="A1942" s="1"/>
      <c r="B1942" s="39" t="s">
        <v>24</v>
      </c>
      <c r="C1942" s="40"/>
      <c r="D1942" s="41"/>
      <c r="E1942" s="42" t="s">
        <v>25</v>
      </c>
      <c r="F1942" s="40"/>
      <c r="G1942" s="41"/>
      <c r="H1942" s="43" t="s">
        <v>26</v>
      </c>
      <c r="J1942" s="44" t="s">
        <v>27</v>
      </c>
      <c r="K1942" s="45" t="s">
        <v>28</v>
      </c>
      <c r="L1942" s="44" t="s">
        <v>27</v>
      </c>
      <c r="M1942" s="45" t="s">
        <v>28</v>
      </c>
      <c r="N1942" s="44" t="s">
        <v>27</v>
      </c>
      <c r="O1942" s="45" t="s">
        <v>28</v>
      </c>
      <c r="P1942" s="44" t="s">
        <v>27</v>
      </c>
      <c r="Q1942" s="45" t="s">
        <v>28</v>
      </c>
      <c r="R1942" s="44" t="s">
        <v>27</v>
      </c>
      <c r="S1942" s="45" t="s">
        <v>28</v>
      </c>
      <c r="T1942" s="44" t="s">
        <v>27</v>
      </c>
      <c r="U1942" s="45" t="s">
        <v>28</v>
      </c>
      <c r="V1942" s="44" t="s">
        <v>27</v>
      </c>
      <c r="W1942" s="45" t="s">
        <v>28</v>
      </c>
      <c r="X1942" s="44" t="s">
        <v>27</v>
      </c>
      <c r="Y1942" s="45" t="s">
        <v>28</v>
      </c>
      <c r="Z1942" s="46"/>
      <c r="AA1942" s="46"/>
      <c r="AB1942" s="121" t="s">
        <v>29</v>
      </c>
      <c r="AC1942" s="122" t="s">
        <v>30</v>
      </c>
      <c r="AD1942" s="123" t="s">
        <v>31</v>
      </c>
      <c r="AE1942" s="121" t="s">
        <v>27</v>
      </c>
      <c r="AF1942" s="123" t="s">
        <v>28</v>
      </c>
      <c r="AG1942" s="1"/>
    </row>
    <row r="1943" ht="21.0" customHeight="1">
      <c r="A1943" s="1"/>
      <c r="B1943" s="48" t="s">
        <v>32</v>
      </c>
      <c r="C1943" s="49"/>
      <c r="D1943" s="50"/>
      <c r="E1943" s="51" t="s">
        <v>33</v>
      </c>
      <c r="F1943" s="52" t="s">
        <v>34</v>
      </c>
      <c r="G1943" s="53"/>
      <c r="H1943" s="148"/>
      <c r="I1943" s="55"/>
      <c r="J1943" s="58"/>
      <c r="K1943" s="59"/>
      <c r="L1943" s="58"/>
      <c r="M1943" s="59"/>
      <c r="N1943" s="58"/>
      <c r="O1943" s="59"/>
      <c r="P1943" s="58"/>
      <c r="Q1943" s="59"/>
      <c r="R1943" s="58"/>
      <c r="S1943" s="59"/>
      <c r="T1943" s="58"/>
      <c r="U1943" s="59"/>
      <c r="V1943" s="58"/>
      <c r="W1943" s="59"/>
      <c r="X1943" s="58"/>
      <c r="Y1943" s="59"/>
      <c r="Z1943" s="60" t="b">
        <v>0</v>
      </c>
      <c r="AA1943" s="125">
        <f t="shared" ref="AA1943:AA1951" si="775">(J1943*K1943+L1943*M1943+N1943*O1943+P1943*Q1943+R1943*S1943+T1943*U1943+V1943*W1943+X1943*Y1943)*if(Z1943=true,0.453592,1)</f>
        <v>0</v>
      </c>
      <c r="AB1943" s="126">
        <f t="shared" ref="AB1943:AB1951" si="776">SUM(AE1943*AF1943*0.025,AE1943)</f>
        <v>0</v>
      </c>
      <c r="AC1943" s="127">
        <f t="shared" ref="AC1943:AC1951" si="777">AB1943*87%</f>
        <v>0</v>
      </c>
      <c r="AD1943" s="128">
        <f t="shared" ref="AD1943:AD1951" si="778">AB1943*67%</f>
        <v>0</v>
      </c>
      <c r="AE1943" s="126">
        <f t="shared" ref="AE1943:AE1951" si="779">MAX(J1943,L1943,N1943,P1943,R1943,T1943,V1943,X1943)*if(Z1943=true,0.453592,1)</f>
        <v>0</v>
      </c>
      <c r="AF1943" s="128">
        <f t="shared" ref="AF1943:AF1951" si="780">MAX(IF(J1943*if(Z1943=true,0.453592,1)=$AE1943,K1943,0),IF(L1943*if(Z1943=true,0.453592,1)=$AE1943,M1943,0),IF(N1943*if(Z1943=true,0.453592,1)=$AE1943,O1943,0),IF(P1943*if(Z1943=true,0.453592,1)=$AE1943,Q1943,0),IF(R1943*if(Z1943=true,0.453592,1)=$AE1943,S1943,0),IF(T1943*if(Z1943=true,0.453592,1)=$AE1943,U1943,0),IF(V1943*if(Z1943=true,0.453592,1)=$AE1943,W1943,0),IF(X1943*if(Z1943=true,0.453592,1)=$AE1943,Y1943,0))</f>
        <v>0</v>
      </c>
      <c r="AG1943" s="1"/>
    </row>
    <row r="1944" ht="21.0" customHeight="1">
      <c r="A1944" s="1"/>
      <c r="B1944" s="48" t="s">
        <v>36</v>
      </c>
      <c r="C1944" s="49"/>
      <c r="D1944" s="65"/>
      <c r="E1944" s="66"/>
      <c r="F1944" s="52" t="s">
        <v>37</v>
      </c>
      <c r="G1944" s="67"/>
      <c r="H1944" s="129"/>
      <c r="I1944" s="69"/>
      <c r="J1944" s="72"/>
      <c r="K1944" s="73"/>
      <c r="L1944" s="72"/>
      <c r="M1944" s="73"/>
      <c r="N1944" s="72"/>
      <c r="O1944" s="73"/>
      <c r="P1944" s="72"/>
      <c r="Q1944" s="73"/>
      <c r="R1944" s="72"/>
      <c r="S1944" s="73"/>
      <c r="T1944" s="72"/>
      <c r="U1944" s="73"/>
      <c r="V1944" s="72"/>
      <c r="W1944" s="73"/>
      <c r="X1944" s="72"/>
      <c r="Y1944" s="73"/>
      <c r="Z1944" s="74" t="b">
        <v>0</v>
      </c>
      <c r="AA1944" s="130">
        <f t="shared" si="775"/>
        <v>0</v>
      </c>
      <c r="AB1944" s="131">
        <f t="shared" si="776"/>
        <v>0</v>
      </c>
      <c r="AC1944" s="132">
        <f t="shared" si="777"/>
        <v>0</v>
      </c>
      <c r="AD1944" s="133">
        <f t="shared" si="778"/>
        <v>0</v>
      </c>
      <c r="AE1944" s="131">
        <f t="shared" si="779"/>
        <v>0</v>
      </c>
      <c r="AF1944" s="133">
        <f t="shared" si="780"/>
        <v>0</v>
      </c>
      <c r="AG1944" s="1"/>
    </row>
    <row r="1945" ht="21.0" customHeight="1">
      <c r="A1945" s="1"/>
      <c r="B1945" s="48" t="s">
        <v>39</v>
      </c>
      <c r="C1945" s="49"/>
      <c r="D1945" s="65"/>
      <c r="E1945" s="41"/>
      <c r="F1945" s="52" t="s">
        <v>40</v>
      </c>
      <c r="G1945" s="79"/>
      <c r="H1945" s="80"/>
      <c r="I1945" s="69"/>
      <c r="J1945" s="72"/>
      <c r="K1945" s="73"/>
      <c r="L1945" s="72"/>
      <c r="M1945" s="73"/>
      <c r="N1945" s="72"/>
      <c r="O1945" s="73"/>
      <c r="P1945" s="72"/>
      <c r="Q1945" s="73"/>
      <c r="R1945" s="72"/>
      <c r="S1945" s="73"/>
      <c r="T1945" s="72"/>
      <c r="U1945" s="73"/>
      <c r="V1945" s="72"/>
      <c r="W1945" s="73"/>
      <c r="X1945" s="72"/>
      <c r="Y1945" s="73"/>
      <c r="Z1945" s="74" t="b">
        <v>0</v>
      </c>
      <c r="AA1945" s="130">
        <f t="shared" si="775"/>
        <v>0</v>
      </c>
      <c r="AB1945" s="131">
        <f t="shared" si="776"/>
        <v>0</v>
      </c>
      <c r="AC1945" s="132">
        <f t="shared" si="777"/>
        <v>0</v>
      </c>
      <c r="AD1945" s="133">
        <f t="shared" si="778"/>
        <v>0</v>
      </c>
      <c r="AE1945" s="131">
        <f t="shared" si="779"/>
        <v>0</v>
      </c>
      <c r="AF1945" s="133">
        <f t="shared" si="780"/>
        <v>0</v>
      </c>
      <c r="AG1945" s="1"/>
    </row>
    <row r="1946" ht="21.0" customHeight="1">
      <c r="A1946" s="1"/>
      <c r="B1946" s="48" t="s">
        <v>41</v>
      </c>
      <c r="C1946" s="81"/>
      <c r="D1946" s="82" t="b">
        <v>0</v>
      </c>
      <c r="E1946" s="51" t="s">
        <v>42</v>
      </c>
      <c r="F1946" s="52" t="s">
        <v>34</v>
      </c>
      <c r="G1946" s="83"/>
      <c r="H1946" s="84"/>
      <c r="I1946" s="85"/>
      <c r="J1946" s="72"/>
      <c r="K1946" s="73"/>
      <c r="L1946" s="72"/>
      <c r="M1946" s="73"/>
      <c r="N1946" s="72"/>
      <c r="O1946" s="73"/>
      <c r="P1946" s="72"/>
      <c r="Q1946" s="73"/>
      <c r="R1946" s="72"/>
      <c r="S1946" s="73"/>
      <c r="T1946" s="72"/>
      <c r="U1946" s="73"/>
      <c r="V1946" s="72"/>
      <c r="W1946" s="73"/>
      <c r="X1946" s="72"/>
      <c r="Y1946" s="73"/>
      <c r="Z1946" s="74" t="b">
        <v>0</v>
      </c>
      <c r="AA1946" s="130">
        <f t="shared" si="775"/>
        <v>0</v>
      </c>
      <c r="AB1946" s="131">
        <f t="shared" si="776"/>
        <v>0</v>
      </c>
      <c r="AC1946" s="132">
        <f t="shared" si="777"/>
        <v>0</v>
      </c>
      <c r="AD1946" s="133">
        <f t="shared" si="778"/>
        <v>0</v>
      </c>
      <c r="AE1946" s="131">
        <f t="shared" si="779"/>
        <v>0</v>
      </c>
      <c r="AF1946" s="133">
        <f t="shared" si="780"/>
        <v>0</v>
      </c>
      <c r="AG1946" s="1"/>
    </row>
    <row r="1947" ht="21.0" customHeight="1">
      <c r="A1947" s="1"/>
      <c r="B1947" s="48" t="s">
        <v>43</v>
      </c>
      <c r="C1947" s="49"/>
      <c r="D1947" s="86" t="b">
        <v>0</v>
      </c>
      <c r="E1947" s="66"/>
      <c r="F1947" s="52" t="s">
        <v>37</v>
      </c>
      <c r="G1947" s="67"/>
      <c r="H1947" s="80"/>
      <c r="I1947" s="69"/>
      <c r="J1947" s="72"/>
      <c r="K1947" s="73"/>
      <c r="L1947" s="72"/>
      <c r="M1947" s="73"/>
      <c r="N1947" s="72"/>
      <c r="O1947" s="73"/>
      <c r="P1947" s="72"/>
      <c r="Q1947" s="73"/>
      <c r="R1947" s="72"/>
      <c r="S1947" s="73"/>
      <c r="T1947" s="72"/>
      <c r="U1947" s="73"/>
      <c r="V1947" s="72"/>
      <c r="W1947" s="73"/>
      <c r="X1947" s="72"/>
      <c r="Y1947" s="73"/>
      <c r="Z1947" s="74" t="b">
        <v>0</v>
      </c>
      <c r="AA1947" s="130">
        <f t="shared" si="775"/>
        <v>0</v>
      </c>
      <c r="AB1947" s="131">
        <f t="shared" si="776"/>
        <v>0</v>
      </c>
      <c r="AC1947" s="132">
        <f t="shared" si="777"/>
        <v>0</v>
      </c>
      <c r="AD1947" s="133">
        <f t="shared" si="778"/>
        <v>0</v>
      </c>
      <c r="AE1947" s="131">
        <f t="shared" si="779"/>
        <v>0</v>
      </c>
      <c r="AF1947" s="133">
        <f t="shared" si="780"/>
        <v>0</v>
      </c>
      <c r="AG1947" s="1"/>
    </row>
    <row r="1948" ht="21.0" customHeight="1">
      <c r="A1948" s="1"/>
      <c r="B1948" s="87" t="str">
        <f t="array" ref="B1948">"📌최근 인바디 결과 : "&amp;text(xlookup(B1940,'현황'!O:O,'현황'!O:O,,-1,-1),"m/d(ddd)")</f>
        <v>#REF!</v>
      </c>
      <c r="C1948" s="88"/>
      <c r="D1948" s="49"/>
      <c r="E1948" s="41"/>
      <c r="F1948" s="52" t="s">
        <v>40</v>
      </c>
      <c r="G1948" s="79"/>
      <c r="H1948" s="80"/>
      <c r="I1948" s="69"/>
      <c r="J1948" s="72"/>
      <c r="K1948" s="73"/>
      <c r="L1948" s="72"/>
      <c r="M1948" s="73"/>
      <c r="N1948" s="72"/>
      <c r="O1948" s="73"/>
      <c r="P1948" s="72"/>
      <c r="Q1948" s="73"/>
      <c r="R1948" s="72"/>
      <c r="S1948" s="73"/>
      <c r="T1948" s="72"/>
      <c r="U1948" s="73"/>
      <c r="V1948" s="72"/>
      <c r="W1948" s="73"/>
      <c r="X1948" s="72"/>
      <c r="Y1948" s="73"/>
      <c r="Z1948" s="74" t="b">
        <v>0</v>
      </c>
      <c r="AA1948" s="130">
        <f t="shared" si="775"/>
        <v>0</v>
      </c>
      <c r="AB1948" s="131">
        <f t="shared" si="776"/>
        <v>0</v>
      </c>
      <c r="AC1948" s="132">
        <f t="shared" si="777"/>
        <v>0</v>
      </c>
      <c r="AD1948" s="133">
        <f t="shared" si="778"/>
        <v>0</v>
      </c>
      <c r="AE1948" s="131">
        <f t="shared" si="779"/>
        <v>0</v>
      </c>
      <c r="AF1948" s="133">
        <f t="shared" si="780"/>
        <v>0</v>
      </c>
      <c r="AG1948" s="1"/>
    </row>
    <row r="1949" ht="21.0" customHeight="1">
      <c r="A1949" s="1"/>
      <c r="B1949" s="89" t="s">
        <v>44</v>
      </c>
      <c r="C1949" s="49"/>
      <c r="D1949" s="90">
        <f t="array" ref="D1949">iferror(vlookup(xlookup(B1940,'현황'!O:O,'현황'!O:O,,-1,-1),'현황'!O:S,2,false),0)</f>
        <v>0</v>
      </c>
      <c r="E1949" s="51" t="s">
        <v>45</v>
      </c>
      <c r="F1949" s="52" t="s">
        <v>34</v>
      </c>
      <c r="G1949" s="83"/>
      <c r="H1949" s="84"/>
      <c r="I1949" s="85"/>
      <c r="J1949" s="72"/>
      <c r="K1949" s="73"/>
      <c r="L1949" s="72"/>
      <c r="M1949" s="73"/>
      <c r="N1949" s="72"/>
      <c r="O1949" s="73"/>
      <c r="P1949" s="72"/>
      <c r="Q1949" s="73"/>
      <c r="R1949" s="72"/>
      <c r="S1949" s="73"/>
      <c r="T1949" s="72"/>
      <c r="U1949" s="73"/>
      <c r="V1949" s="72"/>
      <c r="W1949" s="73"/>
      <c r="X1949" s="72"/>
      <c r="Y1949" s="73"/>
      <c r="Z1949" s="74" t="b">
        <v>0</v>
      </c>
      <c r="AA1949" s="130">
        <f t="shared" si="775"/>
        <v>0</v>
      </c>
      <c r="AB1949" s="131">
        <f t="shared" si="776"/>
        <v>0</v>
      </c>
      <c r="AC1949" s="132">
        <f t="shared" si="777"/>
        <v>0</v>
      </c>
      <c r="AD1949" s="133">
        <f t="shared" si="778"/>
        <v>0</v>
      </c>
      <c r="AE1949" s="131">
        <f t="shared" si="779"/>
        <v>0</v>
      </c>
      <c r="AF1949" s="133">
        <f t="shared" si="780"/>
        <v>0</v>
      </c>
      <c r="AG1949" s="1"/>
    </row>
    <row r="1950" ht="21.0" customHeight="1">
      <c r="A1950" s="1"/>
      <c r="B1950" s="48" t="s">
        <v>46</v>
      </c>
      <c r="C1950" s="49"/>
      <c r="D1950" s="91">
        <f t="array" ref="D1950">iferror(vlookup(xlookup(B1940,'현황'!O:O,'현황'!O:O,,-1,-1),'현황'!O:S,3,false),0)</f>
        <v>0</v>
      </c>
      <c r="E1950" s="66"/>
      <c r="F1950" s="52" t="s">
        <v>37</v>
      </c>
      <c r="G1950" s="67"/>
      <c r="H1950" s="80"/>
      <c r="I1950" s="69"/>
      <c r="J1950" s="72"/>
      <c r="K1950" s="73"/>
      <c r="L1950" s="72"/>
      <c r="M1950" s="73"/>
      <c r="N1950" s="72"/>
      <c r="O1950" s="73"/>
      <c r="P1950" s="72"/>
      <c r="Q1950" s="73"/>
      <c r="R1950" s="72"/>
      <c r="S1950" s="73"/>
      <c r="T1950" s="72"/>
      <c r="U1950" s="73"/>
      <c r="V1950" s="72"/>
      <c r="W1950" s="73"/>
      <c r="X1950" s="72"/>
      <c r="Y1950" s="73"/>
      <c r="Z1950" s="74" t="b">
        <v>0</v>
      </c>
      <c r="AA1950" s="130">
        <f t="shared" si="775"/>
        <v>0</v>
      </c>
      <c r="AB1950" s="131">
        <f t="shared" si="776"/>
        <v>0</v>
      </c>
      <c r="AC1950" s="132">
        <f t="shared" si="777"/>
        <v>0</v>
      </c>
      <c r="AD1950" s="133">
        <f t="shared" si="778"/>
        <v>0</v>
      </c>
      <c r="AE1950" s="131">
        <f t="shared" si="779"/>
        <v>0</v>
      </c>
      <c r="AF1950" s="133">
        <f t="shared" si="780"/>
        <v>0</v>
      </c>
      <c r="AG1950" s="1"/>
    </row>
    <row r="1951" ht="21.0" customHeight="1">
      <c r="A1951" s="1"/>
      <c r="B1951" s="48" t="s">
        <v>47</v>
      </c>
      <c r="C1951" s="49"/>
      <c r="D1951" s="91">
        <f t="array" ref="D1951">iferror(vlookup(xlookup(B1940,'현황'!O:O,'현황'!O:O,,-1,-1),'현황'!O:S,4,false),0)</f>
        <v>0</v>
      </c>
      <c r="E1951" s="41"/>
      <c r="F1951" s="92" t="s">
        <v>40</v>
      </c>
      <c r="G1951" s="79"/>
      <c r="H1951" s="93"/>
      <c r="I1951" s="94"/>
      <c r="J1951" s="95"/>
      <c r="K1951" s="96"/>
      <c r="L1951" s="95"/>
      <c r="M1951" s="96"/>
      <c r="N1951" s="95"/>
      <c r="O1951" s="96"/>
      <c r="P1951" s="95"/>
      <c r="Q1951" s="96"/>
      <c r="R1951" s="95"/>
      <c r="S1951" s="96"/>
      <c r="T1951" s="95"/>
      <c r="U1951" s="96"/>
      <c r="V1951" s="95"/>
      <c r="W1951" s="96"/>
      <c r="X1951" s="95"/>
      <c r="Y1951" s="96"/>
      <c r="Z1951" s="97" t="b">
        <v>0</v>
      </c>
      <c r="AA1951" s="135">
        <f t="shared" si="775"/>
        <v>0</v>
      </c>
      <c r="AB1951" s="136">
        <f t="shared" si="776"/>
        <v>0</v>
      </c>
      <c r="AC1951" s="137">
        <f t="shared" si="777"/>
        <v>0</v>
      </c>
      <c r="AD1951" s="138">
        <f t="shared" si="778"/>
        <v>0</v>
      </c>
      <c r="AE1951" s="136">
        <f t="shared" si="779"/>
        <v>0</v>
      </c>
      <c r="AF1951" s="138">
        <f t="shared" si="780"/>
        <v>0</v>
      </c>
      <c r="AG1951" s="1"/>
    </row>
    <row r="1952" ht="21.0" customHeight="1">
      <c r="A1952" s="1"/>
      <c r="B1952" s="102" t="s">
        <v>48</v>
      </c>
      <c r="C1952" s="103"/>
      <c r="D1952" s="104">
        <f>iferror(D1951/D1949,0)</f>
        <v>0</v>
      </c>
      <c r="E1952" s="102" t="s">
        <v>49</v>
      </c>
      <c r="F1952" s="103"/>
      <c r="G1952" s="105"/>
      <c r="H1952" s="106" t="s">
        <v>50</v>
      </c>
      <c r="I1952" s="107"/>
      <c r="J1952" s="11"/>
      <c r="K1952" s="11"/>
      <c r="L1952" s="11"/>
      <c r="M1952" s="11"/>
      <c r="N1952" s="11"/>
      <c r="O1952" s="11"/>
      <c r="P1952" s="108" t="s">
        <v>51</v>
      </c>
      <c r="Q1952" s="12"/>
      <c r="R1952" s="109"/>
      <c r="S1952" s="11"/>
      <c r="T1952" s="11"/>
      <c r="U1952" s="11"/>
      <c r="V1952" s="11"/>
      <c r="W1952" s="11"/>
      <c r="X1952" s="11"/>
      <c r="Y1952" s="11"/>
      <c r="Z1952" s="12"/>
      <c r="AA1952" s="139">
        <f>SUM(AA1943:AA1951)</f>
        <v>0</v>
      </c>
      <c r="AB1952" s="140" t="s">
        <v>357</v>
      </c>
      <c r="AG1952" s="1"/>
    </row>
    <row r="1953" ht="21.0" customHeight="1">
      <c r="A1953" s="1"/>
      <c r="B1953" s="1"/>
      <c r="C1953" s="1"/>
      <c r="D1953" s="1"/>
      <c r="E1953" s="1"/>
      <c r="F1953" s="1"/>
      <c r="G1953" s="1"/>
      <c r="H1953" s="1"/>
      <c r="I1953" s="1"/>
      <c r="AA1953" s="1"/>
      <c r="AB1953" s="1"/>
      <c r="AC1953" s="3"/>
      <c r="AD1953" s="1"/>
      <c r="AE1953" s="1"/>
      <c r="AF1953" s="1"/>
      <c r="AG1953" s="1"/>
    </row>
    <row r="1954" ht="21.0" customHeight="1">
      <c r="A1954" s="1"/>
      <c r="B1954" s="4" t="s">
        <v>1</v>
      </c>
      <c r="C1954" s="5"/>
      <c r="D1954" s="6" t="s">
        <v>2</v>
      </c>
      <c r="E1954" s="7"/>
      <c r="F1954" s="7"/>
      <c r="G1954" s="5"/>
      <c r="H1954" s="8" t="s">
        <v>3</v>
      </c>
      <c r="I1954" s="8" t="s">
        <v>4</v>
      </c>
      <c r="J1954" s="9" t="s">
        <v>5</v>
      </c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5"/>
      <c r="AA1954" s="117" t="s">
        <v>6</v>
      </c>
      <c r="AB1954" s="11"/>
      <c r="AC1954" s="11"/>
      <c r="AD1954" s="11"/>
      <c r="AE1954" s="11"/>
      <c r="AF1954" s="12"/>
      <c r="AG1954" s="1"/>
    </row>
    <row r="1955" ht="21.0" customHeight="1">
      <c r="A1955" s="1"/>
      <c r="B1955" s="149" t="s">
        <v>138</v>
      </c>
      <c r="C1955" s="14" t="str">
        <f>if(B1955="0/0","",choose(weekday(B1955),"(일)","(월)","(화)","(수)","(목)","(금)","(토)"))</f>
        <v/>
      </c>
      <c r="D1955" s="15" t="s">
        <v>7</v>
      </c>
      <c r="E1955" s="16" t="s">
        <v>8</v>
      </c>
      <c r="F1955" s="17"/>
      <c r="G1955" s="18" t="s">
        <v>9</v>
      </c>
      <c r="H1955" s="150" t="s">
        <v>139</v>
      </c>
      <c r="I1955" s="151"/>
      <c r="J1955" s="21" t="s">
        <v>12</v>
      </c>
      <c r="K1955" s="22"/>
      <c r="L1955" s="21" t="s">
        <v>13</v>
      </c>
      <c r="M1955" s="22"/>
      <c r="N1955" s="21" t="s">
        <v>14</v>
      </c>
      <c r="O1955" s="22"/>
      <c r="P1955" s="21" t="s">
        <v>15</v>
      </c>
      <c r="Q1955" s="22"/>
      <c r="R1955" s="23" t="s">
        <v>16</v>
      </c>
      <c r="S1955" s="22"/>
      <c r="T1955" s="23" t="s">
        <v>17</v>
      </c>
      <c r="U1955" s="22"/>
      <c r="V1955" s="23" t="s">
        <v>18</v>
      </c>
      <c r="W1955" s="22"/>
      <c r="X1955" s="23" t="s">
        <v>19</v>
      </c>
      <c r="Y1955" s="22"/>
      <c r="Z1955" s="24" t="s">
        <v>358</v>
      </c>
      <c r="AA1955" s="118" t="s">
        <v>21</v>
      </c>
      <c r="AB1955" s="119" t="s">
        <v>22</v>
      </c>
      <c r="AC1955" s="7"/>
      <c r="AD1955" s="22"/>
      <c r="AE1955" s="120" t="s">
        <v>23</v>
      </c>
      <c r="AF1955" s="22"/>
      <c r="AG1955" s="1"/>
    </row>
    <row r="1956" ht="21.0" customHeight="1">
      <c r="A1956" s="1"/>
      <c r="B1956" s="27">
        <f>iferror(B1955-'현황'!$C$4+1,0)</f>
        <v>0</v>
      </c>
      <c r="C1956" s="28"/>
      <c r="D1956" s="29">
        <v>0.0</v>
      </c>
      <c r="E1956" s="30">
        <v>0.0</v>
      </c>
      <c r="F1956" s="31"/>
      <c r="G1956" s="32">
        <v>0.0</v>
      </c>
      <c r="H1956" s="33">
        <v>0.0</v>
      </c>
      <c r="I1956" s="34"/>
      <c r="J1956" s="35"/>
      <c r="K1956" s="36"/>
      <c r="L1956" s="35"/>
      <c r="M1956" s="36"/>
      <c r="N1956" s="35"/>
      <c r="O1956" s="36"/>
      <c r="P1956" s="35"/>
      <c r="Q1956" s="36"/>
      <c r="R1956" s="35"/>
      <c r="S1956" s="36"/>
      <c r="T1956" s="35"/>
      <c r="U1956" s="36"/>
      <c r="V1956" s="35"/>
      <c r="W1956" s="36"/>
      <c r="X1956" s="35"/>
      <c r="Y1956" s="36"/>
      <c r="Z1956" s="37"/>
      <c r="AA1956" s="37"/>
      <c r="AB1956" s="35"/>
      <c r="AC1956" s="38"/>
      <c r="AD1956" s="36"/>
      <c r="AE1956" s="35"/>
      <c r="AF1956" s="36"/>
      <c r="AG1956" s="1"/>
    </row>
    <row r="1957" ht="21.0" customHeight="1">
      <c r="A1957" s="1"/>
      <c r="B1957" s="39" t="s">
        <v>24</v>
      </c>
      <c r="C1957" s="40"/>
      <c r="D1957" s="41"/>
      <c r="E1957" s="42" t="s">
        <v>25</v>
      </c>
      <c r="F1957" s="40"/>
      <c r="G1957" s="41"/>
      <c r="H1957" s="43" t="s">
        <v>26</v>
      </c>
      <c r="J1957" s="44" t="s">
        <v>27</v>
      </c>
      <c r="K1957" s="45" t="s">
        <v>28</v>
      </c>
      <c r="L1957" s="44" t="s">
        <v>27</v>
      </c>
      <c r="M1957" s="45" t="s">
        <v>28</v>
      </c>
      <c r="N1957" s="44" t="s">
        <v>27</v>
      </c>
      <c r="O1957" s="45" t="s">
        <v>28</v>
      </c>
      <c r="P1957" s="44" t="s">
        <v>27</v>
      </c>
      <c r="Q1957" s="45" t="s">
        <v>28</v>
      </c>
      <c r="R1957" s="44" t="s">
        <v>27</v>
      </c>
      <c r="S1957" s="45" t="s">
        <v>28</v>
      </c>
      <c r="T1957" s="44" t="s">
        <v>27</v>
      </c>
      <c r="U1957" s="45" t="s">
        <v>28</v>
      </c>
      <c r="V1957" s="44" t="s">
        <v>27</v>
      </c>
      <c r="W1957" s="45" t="s">
        <v>28</v>
      </c>
      <c r="X1957" s="44" t="s">
        <v>27</v>
      </c>
      <c r="Y1957" s="45" t="s">
        <v>28</v>
      </c>
      <c r="Z1957" s="46"/>
      <c r="AA1957" s="46"/>
      <c r="AB1957" s="121" t="s">
        <v>29</v>
      </c>
      <c r="AC1957" s="122" t="s">
        <v>30</v>
      </c>
      <c r="AD1957" s="123" t="s">
        <v>31</v>
      </c>
      <c r="AE1957" s="121" t="s">
        <v>27</v>
      </c>
      <c r="AF1957" s="123" t="s">
        <v>28</v>
      </c>
      <c r="AG1957" s="1"/>
    </row>
    <row r="1958" ht="21.0" customHeight="1">
      <c r="A1958" s="1"/>
      <c r="B1958" s="48" t="s">
        <v>32</v>
      </c>
      <c r="C1958" s="49"/>
      <c r="D1958" s="50"/>
      <c r="E1958" s="51" t="s">
        <v>33</v>
      </c>
      <c r="F1958" s="52" t="s">
        <v>34</v>
      </c>
      <c r="G1958" s="53"/>
      <c r="H1958" s="148"/>
      <c r="I1958" s="55"/>
      <c r="J1958" s="58"/>
      <c r="K1958" s="59"/>
      <c r="L1958" s="58"/>
      <c r="M1958" s="59"/>
      <c r="N1958" s="58"/>
      <c r="O1958" s="59"/>
      <c r="P1958" s="58"/>
      <c r="Q1958" s="59"/>
      <c r="R1958" s="58"/>
      <c r="S1958" s="59"/>
      <c r="T1958" s="58"/>
      <c r="U1958" s="59"/>
      <c r="V1958" s="58"/>
      <c r="W1958" s="59"/>
      <c r="X1958" s="58"/>
      <c r="Y1958" s="59"/>
      <c r="Z1958" s="60" t="b">
        <v>0</v>
      </c>
      <c r="AA1958" s="125">
        <f t="shared" ref="AA1958:AA1966" si="781">(J1958*K1958+L1958*M1958+N1958*O1958+P1958*Q1958+R1958*S1958+T1958*U1958+V1958*W1958+X1958*Y1958)*if(Z1958=true,0.453592,1)</f>
        <v>0</v>
      </c>
      <c r="AB1958" s="126">
        <f t="shared" ref="AB1958:AB1966" si="782">SUM(AE1958*AF1958*0.025,AE1958)</f>
        <v>0</v>
      </c>
      <c r="AC1958" s="127">
        <f t="shared" ref="AC1958:AC1966" si="783">AB1958*87%</f>
        <v>0</v>
      </c>
      <c r="AD1958" s="128">
        <f t="shared" ref="AD1958:AD1966" si="784">AB1958*67%</f>
        <v>0</v>
      </c>
      <c r="AE1958" s="126">
        <f t="shared" ref="AE1958:AE1966" si="785">MAX(J1958,L1958,N1958,P1958,R1958,T1958,V1958,X1958)*if(Z1958=true,0.453592,1)</f>
        <v>0</v>
      </c>
      <c r="AF1958" s="128">
        <f t="shared" ref="AF1958:AF1966" si="786">MAX(IF(J1958*if(Z1958=true,0.453592,1)=$AE1958,K1958,0),IF(L1958*if(Z1958=true,0.453592,1)=$AE1958,M1958,0),IF(N1958*if(Z1958=true,0.453592,1)=$AE1958,O1958,0),IF(P1958*if(Z1958=true,0.453592,1)=$AE1958,Q1958,0),IF(R1958*if(Z1958=true,0.453592,1)=$AE1958,S1958,0),IF(T1958*if(Z1958=true,0.453592,1)=$AE1958,U1958,0),IF(V1958*if(Z1958=true,0.453592,1)=$AE1958,W1958,0),IF(X1958*if(Z1958=true,0.453592,1)=$AE1958,Y1958,0))</f>
        <v>0</v>
      </c>
      <c r="AG1958" s="1"/>
    </row>
    <row r="1959" ht="21.0" customHeight="1">
      <c r="A1959" s="1"/>
      <c r="B1959" s="48" t="s">
        <v>36</v>
      </c>
      <c r="C1959" s="49"/>
      <c r="D1959" s="65"/>
      <c r="E1959" s="66"/>
      <c r="F1959" s="52" t="s">
        <v>37</v>
      </c>
      <c r="G1959" s="67"/>
      <c r="H1959" s="129"/>
      <c r="I1959" s="69"/>
      <c r="J1959" s="72"/>
      <c r="K1959" s="73"/>
      <c r="L1959" s="72"/>
      <c r="M1959" s="73"/>
      <c r="N1959" s="72"/>
      <c r="O1959" s="73"/>
      <c r="P1959" s="72"/>
      <c r="Q1959" s="73"/>
      <c r="R1959" s="72"/>
      <c r="S1959" s="73"/>
      <c r="T1959" s="72"/>
      <c r="U1959" s="73"/>
      <c r="V1959" s="72"/>
      <c r="W1959" s="73"/>
      <c r="X1959" s="72"/>
      <c r="Y1959" s="73"/>
      <c r="Z1959" s="74" t="b">
        <v>0</v>
      </c>
      <c r="AA1959" s="130">
        <f t="shared" si="781"/>
        <v>0</v>
      </c>
      <c r="AB1959" s="131">
        <f t="shared" si="782"/>
        <v>0</v>
      </c>
      <c r="AC1959" s="132">
        <f t="shared" si="783"/>
        <v>0</v>
      </c>
      <c r="AD1959" s="133">
        <f t="shared" si="784"/>
        <v>0</v>
      </c>
      <c r="AE1959" s="131">
        <f t="shared" si="785"/>
        <v>0</v>
      </c>
      <c r="AF1959" s="133">
        <f t="shared" si="786"/>
        <v>0</v>
      </c>
      <c r="AG1959" s="1"/>
    </row>
    <row r="1960" ht="21.0" customHeight="1">
      <c r="A1960" s="1"/>
      <c r="B1960" s="48" t="s">
        <v>39</v>
      </c>
      <c r="C1960" s="49"/>
      <c r="D1960" s="65"/>
      <c r="E1960" s="41"/>
      <c r="F1960" s="52" t="s">
        <v>40</v>
      </c>
      <c r="G1960" s="79"/>
      <c r="H1960" s="80"/>
      <c r="I1960" s="69"/>
      <c r="J1960" s="72"/>
      <c r="K1960" s="73"/>
      <c r="L1960" s="72"/>
      <c r="M1960" s="73"/>
      <c r="N1960" s="72"/>
      <c r="O1960" s="73"/>
      <c r="P1960" s="72"/>
      <c r="Q1960" s="73"/>
      <c r="R1960" s="72"/>
      <c r="S1960" s="73"/>
      <c r="T1960" s="72"/>
      <c r="U1960" s="73"/>
      <c r="V1960" s="72"/>
      <c r="W1960" s="73"/>
      <c r="X1960" s="72"/>
      <c r="Y1960" s="73"/>
      <c r="Z1960" s="74" t="b">
        <v>0</v>
      </c>
      <c r="AA1960" s="130">
        <f t="shared" si="781"/>
        <v>0</v>
      </c>
      <c r="AB1960" s="131">
        <f t="shared" si="782"/>
        <v>0</v>
      </c>
      <c r="AC1960" s="132">
        <f t="shared" si="783"/>
        <v>0</v>
      </c>
      <c r="AD1960" s="133">
        <f t="shared" si="784"/>
        <v>0</v>
      </c>
      <c r="AE1960" s="131">
        <f t="shared" si="785"/>
        <v>0</v>
      </c>
      <c r="AF1960" s="133">
        <f t="shared" si="786"/>
        <v>0</v>
      </c>
      <c r="AG1960" s="1"/>
    </row>
    <row r="1961" ht="21.0" customHeight="1">
      <c r="A1961" s="1"/>
      <c r="B1961" s="48" t="s">
        <v>41</v>
      </c>
      <c r="C1961" s="81"/>
      <c r="D1961" s="82" t="b">
        <v>0</v>
      </c>
      <c r="E1961" s="51" t="s">
        <v>42</v>
      </c>
      <c r="F1961" s="52" t="s">
        <v>34</v>
      </c>
      <c r="G1961" s="83"/>
      <c r="H1961" s="84"/>
      <c r="I1961" s="85"/>
      <c r="J1961" s="72"/>
      <c r="K1961" s="73"/>
      <c r="L1961" s="72"/>
      <c r="M1961" s="73"/>
      <c r="N1961" s="72"/>
      <c r="O1961" s="73"/>
      <c r="P1961" s="72"/>
      <c r="Q1961" s="73"/>
      <c r="R1961" s="72"/>
      <c r="S1961" s="73"/>
      <c r="T1961" s="72"/>
      <c r="U1961" s="73"/>
      <c r="V1961" s="72"/>
      <c r="W1961" s="73"/>
      <c r="X1961" s="72"/>
      <c r="Y1961" s="73"/>
      <c r="Z1961" s="74" t="b">
        <v>0</v>
      </c>
      <c r="AA1961" s="130">
        <f t="shared" si="781"/>
        <v>0</v>
      </c>
      <c r="AB1961" s="131">
        <f t="shared" si="782"/>
        <v>0</v>
      </c>
      <c r="AC1961" s="132">
        <f t="shared" si="783"/>
        <v>0</v>
      </c>
      <c r="AD1961" s="133">
        <f t="shared" si="784"/>
        <v>0</v>
      </c>
      <c r="AE1961" s="131">
        <f t="shared" si="785"/>
        <v>0</v>
      </c>
      <c r="AF1961" s="133">
        <f t="shared" si="786"/>
        <v>0</v>
      </c>
      <c r="AG1961" s="1"/>
    </row>
    <row r="1962" ht="21.0" customHeight="1">
      <c r="A1962" s="1"/>
      <c r="B1962" s="48" t="s">
        <v>43</v>
      </c>
      <c r="C1962" s="49"/>
      <c r="D1962" s="86" t="b">
        <v>0</v>
      </c>
      <c r="E1962" s="66"/>
      <c r="F1962" s="52" t="s">
        <v>37</v>
      </c>
      <c r="G1962" s="67"/>
      <c r="H1962" s="80"/>
      <c r="I1962" s="69"/>
      <c r="J1962" s="72"/>
      <c r="K1962" s="73"/>
      <c r="L1962" s="72"/>
      <c r="M1962" s="73"/>
      <c r="N1962" s="72"/>
      <c r="O1962" s="73"/>
      <c r="P1962" s="72"/>
      <c r="Q1962" s="73"/>
      <c r="R1962" s="72"/>
      <c r="S1962" s="73"/>
      <c r="T1962" s="72"/>
      <c r="U1962" s="73"/>
      <c r="V1962" s="72"/>
      <c r="W1962" s="73"/>
      <c r="X1962" s="72"/>
      <c r="Y1962" s="73"/>
      <c r="Z1962" s="74" t="b">
        <v>0</v>
      </c>
      <c r="AA1962" s="130">
        <f t="shared" si="781"/>
        <v>0</v>
      </c>
      <c r="AB1962" s="131">
        <f t="shared" si="782"/>
        <v>0</v>
      </c>
      <c r="AC1962" s="132">
        <f t="shared" si="783"/>
        <v>0</v>
      </c>
      <c r="AD1962" s="133">
        <f t="shared" si="784"/>
        <v>0</v>
      </c>
      <c r="AE1962" s="131">
        <f t="shared" si="785"/>
        <v>0</v>
      </c>
      <c r="AF1962" s="133">
        <f t="shared" si="786"/>
        <v>0</v>
      </c>
      <c r="AG1962" s="1"/>
    </row>
    <row r="1963" ht="21.0" customHeight="1">
      <c r="A1963" s="1"/>
      <c r="B1963" s="87" t="str">
        <f t="array" ref="B1963">"📌최근 인바디 결과 : "&amp;text(xlookup(B1955,'현황'!O:O,'현황'!O:O,,-1,-1),"m/d(ddd)")</f>
        <v>#REF!</v>
      </c>
      <c r="C1963" s="88"/>
      <c r="D1963" s="49"/>
      <c r="E1963" s="41"/>
      <c r="F1963" s="52" t="s">
        <v>40</v>
      </c>
      <c r="G1963" s="79"/>
      <c r="H1963" s="80"/>
      <c r="I1963" s="69"/>
      <c r="J1963" s="72"/>
      <c r="K1963" s="73"/>
      <c r="L1963" s="72"/>
      <c r="M1963" s="73"/>
      <c r="N1963" s="72"/>
      <c r="O1963" s="73"/>
      <c r="P1963" s="72"/>
      <c r="Q1963" s="73"/>
      <c r="R1963" s="72"/>
      <c r="S1963" s="73"/>
      <c r="T1963" s="72"/>
      <c r="U1963" s="73"/>
      <c r="V1963" s="72"/>
      <c r="W1963" s="73"/>
      <c r="X1963" s="72"/>
      <c r="Y1963" s="73"/>
      <c r="Z1963" s="74" t="b">
        <v>0</v>
      </c>
      <c r="AA1963" s="130">
        <f t="shared" si="781"/>
        <v>0</v>
      </c>
      <c r="AB1963" s="131">
        <f t="shared" si="782"/>
        <v>0</v>
      </c>
      <c r="AC1963" s="132">
        <f t="shared" si="783"/>
        <v>0</v>
      </c>
      <c r="AD1963" s="133">
        <f t="shared" si="784"/>
        <v>0</v>
      </c>
      <c r="AE1963" s="131">
        <f t="shared" si="785"/>
        <v>0</v>
      </c>
      <c r="AF1963" s="133">
        <f t="shared" si="786"/>
        <v>0</v>
      </c>
      <c r="AG1963" s="1"/>
    </row>
    <row r="1964" ht="21.0" customHeight="1">
      <c r="A1964" s="1"/>
      <c r="B1964" s="89" t="s">
        <v>44</v>
      </c>
      <c r="C1964" s="49"/>
      <c r="D1964" s="90">
        <f t="array" ref="D1964">iferror(vlookup(xlookup(B1955,'현황'!O:O,'현황'!O:O,,-1,-1),'현황'!O:S,2,false),0)</f>
        <v>0</v>
      </c>
      <c r="E1964" s="51" t="s">
        <v>45</v>
      </c>
      <c r="F1964" s="52" t="s">
        <v>34</v>
      </c>
      <c r="G1964" s="83"/>
      <c r="H1964" s="84"/>
      <c r="I1964" s="85"/>
      <c r="J1964" s="72"/>
      <c r="K1964" s="73"/>
      <c r="L1964" s="72"/>
      <c r="M1964" s="73"/>
      <c r="N1964" s="72"/>
      <c r="O1964" s="73"/>
      <c r="P1964" s="72"/>
      <c r="Q1964" s="73"/>
      <c r="R1964" s="72"/>
      <c r="S1964" s="73"/>
      <c r="T1964" s="72"/>
      <c r="U1964" s="73"/>
      <c r="V1964" s="72"/>
      <c r="W1964" s="73"/>
      <c r="X1964" s="72"/>
      <c r="Y1964" s="73"/>
      <c r="Z1964" s="74" t="b">
        <v>0</v>
      </c>
      <c r="AA1964" s="130">
        <f t="shared" si="781"/>
        <v>0</v>
      </c>
      <c r="AB1964" s="131">
        <f t="shared" si="782"/>
        <v>0</v>
      </c>
      <c r="AC1964" s="132">
        <f t="shared" si="783"/>
        <v>0</v>
      </c>
      <c r="AD1964" s="133">
        <f t="shared" si="784"/>
        <v>0</v>
      </c>
      <c r="AE1964" s="131">
        <f t="shared" si="785"/>
        <v>0</v>
      </c>
      <c r="AF1964" s="133">
        <f t="shared" si="786"/>
        <v>0</v>
      </c>
      <c r="AG1964" s="1"/>
    </row>
    <row r="1965" ht="21.0" customHeight="1">
      <c r="A1965" s="1"/>
      <c r="B1965" s="48" t="s">
        <v>46</v>
      </c>
      <c r="C1965" s="49"/>
      <c r="D1965" s="91">
        <f t="array" ref="D1965">iferror(vlookup(xlookup(B1955,'현황'!O:O,'현황'!O:O,,-1,-1),'현황'!O:S,3,false),0)</f>
        <v>0</v>
      </c>
      <c r="E1965" s="66"/>
      <c r="F1965" s="52" t="s">
        <v>37</v>
      </c>
      <c r="G1965" s="67"/>
      <c r="H1965" s="80"/>
      <c r="I1965" s="69"/>
      <c r="J1965" s="72"/>
      <c r="K1965" s="73"/>
      <c r="L1965" s="72"/>
      <c r="M1965" s="73"/>
      <c r="N1965" s="72"/>
      <c r="O1965" s="73"/>
      <c r="P1965" s="72"/>
      <c r="Q1965" s="73"/>
      <c r="R1965" s="72"/>
      <c r="S1965" s="73"/>
      <c r="T1965" s="72"/>
      <c r="U1965" s="73"/>
      <c r="V1965" s="72"/>
      <c r="W1965" s="73"/>
      <c r="X1965" s="72"/>
      <c r="Y1965" s="73"/>
      <c r="Z1965" s="74" t="b">
        <v>0</v>
      </c>
      <c r="AA1965" s="130">
        <f t="shared" si="781"/>
        <v>0</v>
      </c>
      <c r="AB1965" s="131">
        <f t="shared" si="782"/>
        <v>0</v>
      </c>
      <c r="AC1965" s="132">
        <f t="shared" si="783"/>
        <v>0</v>
      </c>
      <c r="AD1965" s="133">
        <f t="shared" si="784"/>
        <v>0</v>
      </c>
      <c r="AE1965" s="131">
        <f t="shared" si="785"/>
        <v>0</v>
      </c>
      <c r="AF1965" s="133">
        <f t="shared" si="786"/>
        <v>0</v>
      </c>
      <c r="AG1965" s="1"/>
    </row>
    <row r="1966" ht="21.0" customHeight="1">
      <c r="A1966" s="1"/>
      <c r="B1966" s="48" t="s">
        <v>47</v>
      </c>
      <c r="C1966" s="49"/>
      <c r="D1966" s="91">
        <f t="array" ref="D1966">iferror(vlookup(xlookup(B1955,'현황'!O:O,'현황'!O:O,,-1,-1),'현황'!O:S,4,false),0)</f>
        <v>0</v>
      </c>
      <c r="E1966" s="41"/>
      <c r="F1966" s="92" t="s">
        <v>40</v>
      </c>
      <c r="G1966" s="79"/>
      <c r="H1966" s="93"/>
      <c r="I1966" s="94"/>
      <c r="J1966" s="95"/>
      <c r="K1966" s="96"/>
      <c r="L1966" s="95"/>
      <c r="M1966" s="96"/>
      <c r="N1966" s="95"/>
      <c r="O1966" s="96"/>
      <c r="P1966" s="95"/>
      <c r="Q1966" s="96"/>
      <c r="R1966" s="95"/>
      <c r="S1966" s="96"/>
      <c r="T1966" s="95"/>
      <c r="U1966" s="96"/>
      <c r="V1966" s="95"/>
      <c r="W1966" s="96"/>
      <c r="X1966" s="95"/>
      <c r="Y1966" s="96"/>
      <c r="Z1966" s="97" t="b">
        <v>0</v>
      </c>
      <c r="AA1966" s="135">
        <f t="shared" si="781"/>
        <v>0</v>
      </c>
      <c r="AB1966" s="136">
        <f t="shared" si="782"/>
        <v>0</v>
      </c>
      <c r="AC1966" s="137">
        <f t="shared" si="783"/>
        <v>0</v>
      </c>
      <c r="AD1966" s="138">
        <f t="shared" si="784"/>
        <v>0</v>
      </c>
      <c r="AE1966" s="136">
        <f t="shared" si="785"/>
        <v>0</v>
      </c>
      <c r="AF1966" s="138">
        <f t="shared" si="786"/>
        <v>0</v>
      </c>
      <c r="AG1966" s="1"/>
    </row>
    <row r="1967" ht="21.0" customHeight="1">
      <c r="A1967" s="1"/>
      <c r="B1967" s="102" t="s">
        <v>48</v>
      </c>
      <c r="C1967" s="103"/>
      <c r="D1967" s="104">
        <f>iferror(D1966/D1964,0)</f>
        <v>0</v>
      </c>
      <c r="E1967" s="102" t="s">
        <v>49</v>
      </c>
      <c r="F1967" s="103"/>
      <c r="G1967" s="105"/>
      <c r="H1967" s="106" t="s">
        <v>50</v>
      </c>
      <c r="I1967" s="107"/>
      <c r="J1967" s="11"/>
      <c r="K1967" s="11"/>
      <c r="L1967" s="11"/>
      <c r="M1967" s="11"/>
      <c r="N1967" s="11"/>
      <c r="O1967" s="11"/>
      <c r="P1967" s="108" t="s">
        <v>51</v>
      </c>
      <c r="Q1967" s="12"/>
      <c r="R1967" s="109"/>
      <c r="S1967" s="11"/>
      <c r="T1967" s="11"/>
      <c r="U1967" s="11"/>
      <c r="V1967" s="11"/>
      <c r="W1967" s="11"/>
      <c r="X1967" s="11"/>
      <c r="Y1967" s="11"/>
      <c r="Z1967" s="12"/>
      <c r="AA1967" s="139">
        <f>SUM(AA1958:AA1966)</f>
        <v>0</v>
      </c>
      <c r="AB1967" s="140" t="s">
        <v>359</v>
      </c>
      <c r="AG1967" s="1"/>
    </row>
    <row r="1968" ht="21.0" customHeight="1">
      <c r="A1968" s="1"/>
      <c r="B1968" s="1"/>
      <c r="C1968" s="1"/>
      <c r="D1968" s="1"/>
      <c r="E1968" s="1"/>
      <c r="F1968" s="1"/>
      <c r="G1968" s="1"/>
      <c r="H1968" s="1"/>
      <c r="I1968" s="1"/>
      <c r="AA1968" s="1"/>
      <c r="AB1968" s="1"/>
      <c r="AC1968" s="3"/>
      <c r="AD1968" s="1"/>
      <c r="AE1968" s="1"/>
      <c r="AF1968" s="1"/>
      <c r="AG1968" s="1"/>
    </row>
    <row r="1969" ht="21.0" customHeight="1">
      <c r="A1969" s="1"/>
      <c r="B1969" s="4" t="s">
        <v>1</v>
      </c>
      <c r="C1969" s="5"/>
      <c r="D1969" s="6" t="s">
        <v>2</v>
      </c>
      <c r="E1969" s="7"/>
      <c r="F1969" s="7"/>
      <c r="G1969" s="5"/>
      <c r="H1969" s="8" t="s">
        <v>3</v>
      </c>
      <c r="I1969" s="8" t="s">
        <v>4</v>
      </c>
      <c r="J1969" s="9" t="s">
        <v>5</v>
      </c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5"/>
      <c r="AA1969" s="117" t="s">
        <v>6</v>
      </c>
      <c r="AB1969" s="11"/>
      <c r="AC1969" s="11"/>
      <c r="AD1969" s="11"/>
      <c r="AE1969" s="11"/>
      <c r="AF1969" s="12"/>
      <c r="AG1969" s="1"/>
    </row>
    <row r="1970" ht="21.0" customHeight="1">
      <c r="A1970" s="1"/>
      <c r="B1970" s="149" t="s">
        <v>138</v>
      </c>
      <c r="C1970" s="14" t="str">
        <f>if(B1970="0/0","",choose(weekday(B1970),"(일)","(월)","(화)","(수)","(목)","(금)","(토)"))</f>
        <v/>
      </c>
      <c r="D1970" s="15" t="s">
        <v>7</v>
      </c>
      <c r="E1970" s="16" t="s">
        <v>8</v>
      </c>
      <c r="F1970" s="17"/>
      <c r="G1970" s="18" t="s">
        <v>9</v>
      </c>
      <c r="H1970" s="150" t="s">
        <v>139</v>
      </c>
      <c r="I1970" s="151"/>
      <c r="J1970" s="21" t="s">
        <v>12</v>
      </c>
      <c r="K1970" s="22"/>
      <c r="L1970" s="21" t="s">
        <v>13</v>
      </c>
      <c r="M1970" s="22"/>
      <c r="N1970" s="21" t="s">
        <v>14</v>
      </c>
      <c r="O1970" s="22"/>
      <c r="P1970" s="21" t="s">
        <v>15</v>
      </c>
      <c r="Q1970" s="22"/>
      <c r="R1970" s="23" t="s">
        <v>16</v>
      </c>
      <c r="S1970" s="22"/>
      <c r="T1970" s="23" t="s">
        <v>17</v>
      </c>
      <c r="U1970" s="22"/>
      <c r="V1970" s="23" t="s">
        <v>18</v>
      </c>
      <c r="W1970" s="22"/>
      <c r="X1970" s="23" t="s">
        <v>19</v>
      </c>
      <c r="Y1970" s="22"/>
      <c r="Z1970" s="24" t="s">
        <v>360</v>
      </c>
      <c r="AA1970" s="118" t="s">
        <v>21</v>
      </c>
      <c r="AB1970" s="119" t="s">
        <v>22</v>
      </c>
      <c r="AC1970" s="7"/>
      <c r="AD1970" s="22"/>
      <c r="AE1970" s="120" t="s">
        <v>23</v>
      </c>
      <c r="AF1970" s="22"/>
      <c r="AG1970" s="1"/>
    </row>
    <row r="1971" ht="21.0" customHeight="1">
      <c r="A1971" s="1"/>
      <c r="B1971" s="27">
        <f>iferror(B1970-'현황'!$C$4+1,0)</f>
        <v>0</v>
      </c>
      <c r="C1971" s="28"/>
      <c r="D1971" s="29">
        <v>0.0</v>
      </c>
      <c r="E1971" s="30">
        <v>0.0</v>
      </c>
      <c r="F1971" s="31"/>
      <c r="G1971" s="32">
        <v>0.0</v>
      </c>
      <c r="H1971" s="33">
        <v>0.0</v>
      </c>
      <c r="I1971" s="34"/>
      <c r="J1971" s="35"/>
      <c r="K1971" s="36"/>
      <c r="L1971" s="35"/>
      <c r="M1971" s="36"/>
      <c r="N1971" s="35"/>
      <c r="O1971" s="36"/>
      <c r="P1971" s="35"/>
      <c r="Q1971" s="36"/>
      <c r="R1971" s="35"/>
      <c r="S1971" s="36"/>
      <c r="T1971" s="35"/>
      <c r="U1971" s="36"/>
      <c r="V1971" s="35"/>
      <c r="W1971" s="36"/>
      <c r="X1971" s="35"/>
      <c r="Y1971" s="36"/>
      <c r="Z1971" s="37"/>
      <c r="AA1971" s="37"/>
      <c r="AB1971" s="35"/>
      <c r="AC1971" s="38"/>
      <c r="AD1971" s="36"/>
      <c r="AE1971" s="35"/>
      <c r="AF1971" s="36"/>
      <c r="AG1971" s="1"/>
    </row>
    <row r="1972" ht="21.0" customHeight="1">
      <c r="A1972" s="1"/>
      <c r="B1972" s="39" t="s">
        <v>24</v>
      </c>
      <c r="C1972" s="40"/>
      <c r="D1972" s="41"/>
      <c r="E1972" s="42" t="s">
        <v>25</v>
      </c>
      <c r="F1972" s="40"/>
      <c r="G1972" s="41"/>
      <c r="H1972" s="43" t="s">
        <v>26</v>
      </c>
      <c r="J1972" s="44" t="s">
        <v>27</v>
      </c>
      <c r="K1972" s="45" t="s">
        <v>28</v>
      </c>
      <c r="L1972" s="44" t="s">
        <v>27</v>
      </c>
      <c r="M1972" s="45" t="s">
        <v>28</v>
      </c>
      <c r="N1972" s="44" t="s">
        <v>27</v>
      </c>
      <c r="O1972" s="45" t="s">
        <v>28</v>
      </c>
      <c r="P1972" s="44" t="s">
        <v>27</v>
      </c>
      <c r="Q1972" s="45" t="s">
        <v>28</v>
      </c>
      <c r="R1972" s="44" t="s">
        <v>27</v>
      </c>
      <c r="S1972" s="45" t="s">
        <v>28</v>
      </c>
      <c r="T1972" s="44" t="s">
        <v>27</v>
      </c>
      <c r="U1972" s="45" t="s">
        <v>28</v>
      </c>
      <c r="V1972" s="44" t="s">
        <v>27</v>
      </c>
      <c r="W1972" s="45" t="s">
        <v>28</v>
      </c>
      <c r="X1972" s="44" t="s">
        <v>27</v>
      </c>
      <c r="Y1972" s="45" t="s">
        <v>28</v>
      </c>
      <c r="Z1972" s="46"/>
      <c r="AA1972" s="46"/>
      <c r="AB1972" s="121" t="s">
        <v>29</v>
      </c>
      <c r="AC1972" s="122" t="s">
        <v>30</v>
      </c>
      <c r="AD1972" s="123" t="s">
        <v>31</v>
      </c>
      <c r="AE1972" s="121" t="s">
        <v>27</v>
      </c>
      <c r="AF1972" s="123" t="s">
        <v>28</v>
      </c>
      <c r="AG1972" s="1"/>
    </row>
    <row r="1973" ht="21.0" customHeight="1">
      <c r="A1973" s="1"/>
      <c r="B1973" s="48" t="s">
        <v>32</v>
      </c>
      <c r="C1973" s="49"/>
      <c r="D1973" s="50"/>
      <c r="E1973" s="51" t="s">
        <v>33</v>
      </c>
      <c r="F1973" s="52" t="s">
        <v>34</v>
      </c>
      <c r="G1973" s="53"/>
      <c r="H1973" s="148"/>
      <c r="I1973" s="55"/>
      <c r="J1973" s="58"/>
      <c r="K1973" s="59"/>
      <c r="L1973" s="58"/>
      <c r="M1973" s="59"/>
      <c r="N1973" s="58"/>
      <c r="O1973" s="59"/>
      <c r="P1973" s="58"/>
      <c r="Q1973" s="59"/>
      <c r="R1973" s="58"/>
      <c r="S1973" s="59"/>
      <c r="T1973" s="58"/>
      <c r="U1973" s="59"/>
      <c r="V1973" s="58"/>
      <c r="W1973" s="59"/>
      <c r="X1973" s="58"/>
      <c r="Y1973" s="59"/>
      <c r="Z1973" s="60" t="b">
        <v>0</v>
      </c>
      <c r="AA1973" s="125">
        <f t="shared" ref="AA1973:AA1981" si="787">(J1973*K1973+L1973*M1973+N1973*O1973+P1973*Q1973+R1973*S1973+T1973*U1973+V1973*W1973+X1973*Y1973)*if(Z1973=true,0.453592,1)</f>
        <v>0</v>
      </c>
      <c r="AB1973" s="126">
        <f t="shared" ref="AB1973:AB1981" si="788">SUM(AE1973*AF1973*0.025,AE1973)</f>
        <v>0</v>
      </c>
      <c r="AC1973" s="127">
        <f t="shared" ref="AC1973:AC1981" si="789">AB1973*87%</f>
        <v>0</v>
      </c>
      <c r="AD1973" s="128">
        <f t="shared" ref="AD1973:AD1981" si="790">AB1973*67%</f>
        <v>0</v>
      </c>
      <c r="AE1973" s="126">
        <f t="shared" ref="AE1973:AE1981" si="791">MAX(J1973,L1973,N1973,P1973,R1973,T1973,V1973,X1973)*if(Z1973=true,0.453592,1)</f>
        <v>0</v>
      </c>
      <c r="AF1973" s="128">
        <f t="shared" ref="AF1973:AF1981" si="792">MAX(IF(J1973*if(Z1973=true,0.453592,1)=$AE1973,K1973,0),IF(L1973*if(Z1973=true,0.453592,1)=$AE1973,M1973,0),IF(N1973*if(Z1973=true,0.453592,1)=$AE1973,O1973,0),IF(P1973*if(Z1973=true,0.453592,1)=$AE1973,Q1973,0),IF(R1973*if(Z1973=true,0.453592,1)=$AE1973,S1973,0),IF(T1973*if(Z1973=true,0.453592,1)=$AE1973,U1973,0),IF(V1973*if(Z1973=true,0.453592,1)=$AE1973,W1973,0),IF(X1973*if(Z1973=true,0.453592,1)=$AE1973,Y1973,0))</f>
        <v>0</v>
      </c>
      <c r="AG1973" s="1"/>
    </row>
    <row r="1974" ht="21.0" customHeight="1">
      <c r="A1974" s="1"/>
      <c r="B1974" s="48" t="s">
        <v>36</v>
      </c>
      <c r="C1974" s="49"/>
      <c r="D1974" s="65"/>
      <c r="E1974" s="66"/>
      <c r="F1974" s="52" t="s">
        <v>37</v>
      </c>
      <c r="G1974" s="67"/>
      <c r="H1974" s="129"/>
      <c r="I1974" s="69"/>
      <c r="J1974" s="72"/>
      <c r="K1974" s="73"/>
      <c r="L1974" s="72"/>
      <c r="M1974" s="73"/>
      <c r="N1974" s="72"/>
      <c r="O1974" s="73"/>
      <c r="P1974" s="72"/>
      <c r="Q1974" s="73"/>
      <c r="R1974" s="72"/>
      <c r="S1974" s="73"/>
      <c r="T1974" s="72"/>
      <c r="U1974" s="73"/>
      <c r="V1974" s="72"/>
      <c r="W1974" s="73"/>
      <c r="X1974" s="72"/>
      <c r="Y1974" s="73"/>
      <c r="Z1974" s="74" t="b">
        <v>0</v>
      </c>
      <c r="AA1974" s="130">
        <f t="shared" si="787"/>
        <v>0</v>
      </c>
      <c r="AB1974" s="131">
        <f t="shared" si="788"/>
        <v>0</v>
      </c>
      <c r="AC1974" s="132">
        <f t="shared" si="789"/>
        <v>0</v>
      </c>
      <c r="AD1974" s="133">
        <f t="shared" si="790"/>
        <v>0</v>
      </c>
      <c r="AE1974" s="131">
        <f t="shared" si="791"/>
        <v>0</v>
      </c>
      <c r="AF1974" s="133">
        <f t="shared" si="792"/>
        <v>0</v>
      </c>
      <c r="AG1974" s="1"/>
    </row>
    <row r="1975" ht="21.0" customHeight="1">
      <c r="A1975" s="1"/>
      <c r="B1975" s="48" t="s">
        <v>39</v>
      </c>
      <c r="C1975" s="49"/>
      <c r="D1975" s="65"/>
      <c r="E1975" s="41"/>
      <c r="F1975" s="52" t="s">
        <v>40</v>
      </c>
      <c r="G1975" s="79"/>
      <c r="H1975" s="80"/>
      <c r="I1975" s="69"/>
      <c r="J1975" s="72"/>
      <c r="K1975" s="73"/>
      <c r="L1975" s="72"/>
      <c r="M1975" s="73"/>
      <c r="N1975" s="72"/>
      <c r="O1975" s="73"/>
      <c r="P1975" s="72"/>
      <c r="Q1975" s="73"/>
      <c r="R1975" s="72"/>
      <c r="S1975" s="73"/>
      <c r="T1975" s="72"/>
      <c r="U1975" s="73"/>
      <c r="V1975" s="72"/>
      <c r="W1975" s="73"/>
      <c r="X1975" s="72"/>
      <c r="Y1975" s="73"/>
      <c r="Z1975" s="74" t="b">
        <v>0</v>
      </c>
      <c r="AA1975" s="130">
        <f t="shared" si="787"/>
        <v>0</v>
      </c>
      <c r="AB1975" s="131">
        <f t="shared" si="788"/>
        <v>0</v>
      </c>
      <c r="AC1975" s="132">
        <f t="shared" si="789"/>
        <v>0</v>
      </c>
      <c r="AD1975" s="133">
        <f t="shared" si="790"/>
        <v>0</v>
      </c>
      <c r="AE1975" s="131">
        <f t="shared" si="791"/>
        <v>0</v>
      </c>
      <c r="AF1975" s="133">
        <f t="shared" si="792"/>
        <v>0</v>
      </c>
      <c r="AG1975" s="1"/>
    </row>
    <row r="1976" ht="21.0" customHeight="1">
      <c r="A1976" s="1"/>
      <c r="B1976" s="48" t="s">
        <v>41</v>
      </c>
      <c r="C1976" s="81"/>
      <c r="D1976" s="82" t="b">
        <v>0</v>
      </c>
      <c r="E1976" s="51" t="s">
        <v>42</v>
      </c>
      <c r="F1976" s="52" t="s">
        <v>34</v>
      </c>
      <c r="G1976" s="83"/>
      <c r="H1976" s="84"/>
      <c r="I1976" s="85"/>
      <c r="J1976" s="72"/>
      <c r="K1976" s="73"/>
      <c r="L1976" s="72"/>
      <c r="M1976" s="73"/>
      <c r="N1976" s="72"/>
      <c r="O1976" s="73"/>
      <c r="P1976" s="72"/>
      <c r="Q1976" s="73"/>
      <c r="R1976" s="72"/>
      <c r="S1976" s="73"/>
      <c r="T1976" s="72"/>
      <c r="U1976" s="73"/>
      <c r="V1976" s="72"/>
      <c r="W1976" s="73"/>
      <c r="X1976" s="72"/>
      <c r="Y1976" s="73"/>
      <c r="Z1976" s="74" t="b">
        <v>0</v>
      </c>
      <c r="AA1976" s="130">
        <f t="shared" si="787"/>
        <v>0</v>
      </c>
      <c r="AB1976" s="131">
        <f t="shared" si="788"/>
        <v>0</v>
      </c>
      <c r="AC1976" s="132">
        <f t="shared" si="789"/>
        <v>0</v>
      </c>
      <c r="AD1976" s="133">
        <f t="shared" si="790"/>
        <v>0</v>
      </c>
      <c r="AE1976" s="131">
        <f t="shared" si="791"/>
        <v>0</v>
      </c>
      <c r="AF1976" s="133">
        <f t="shared" si="792"/>
        <v>0</v>
      </c>
      <c r="AG1976" s="1"/>
    </row>
    <row r="1977" ht="21.0" customHeight="1">
      <c r="A1977" s="1"/>
      <c r="B1977" s="48" t="s">
        <v>43</v>
      </c>
      <c r="C1977" s="49"/>
      <c r="D1977" s="86" t="b">
        <v>0</v>
      </c>
      <c r="E1977" s="66"/>
      <c r="F1977" s="52" t="s">
        <v>37</v>
      </c>
      <c r="G1977" s="67"/>
      <c r="H1977" s="80"/>
      <c r="I1977" s="69"/>
      <c r="J1977" s="72"/>
      <c r="K1977" s="73"/>
      <c r="L1977" s="72"/>
      <c r="M1977" s="73"/>
      <c r="N1977" s="72"/>
      <c r="O1977" s="73"/>
      <c r="P1977" s="72"/>
      <c r="Q1977" s="73"/>
      <c r="R1977" s="72"/>
      <c r="S1977" s="73"/>
      <c r="T1977" s="72"/>
      <c r="U1977" s="73"/>
      <c r="V1977" s="72"/>
      <c r="W1977" s="73"/>
      <c r="X1977" s="72"/>
      <c r="Y1977" s="73"/>
      <c r="Z1977" s="74" t="b">
        <v>0</v>
      </c>
      <c r="AA1977" s="130">
        <f t="shared" si="787"/>
        <v>0</v>
      </c>
      <c r="AB1977" s="131">
        <f t="shared" si="788"/>
        <v>0</v>
      </c>
      <c r="AC1977" s="132">
        <f t="shared" si="789"/>
        <v>0</v>
      </c>
      <c r="AD1977" s="133">
        <f t="shared" si="790"/>
        <v>0</v>
      </c>
      <c r="AE1977" s="131">
        <f t="shared" si="791"/>
        <v>0</v>
      </c>
      <c r="AF1977" s="133">
        <f t="shared" si="792"/>
        <v>0</v>
      </c>
      <c r="AG1977" s="1"/>
    </row>
    <row r="1978" ht="21.0" customHeight="1">
      <c r="A1978" s="1"/>
      <c r="B1978" s="87" t="str">
        <f t="array" ref="B1978">"📌최근 인바디 결과 : "&amp;text(xlookup(B1970,'현황'!O:O,'현황'!O:O,,-1,-1),"m/d(ddd)")</f>
        <v>#REF!</v>
      </c>
      <c r="C1978" s="88"/>
      <c r="D1978" s="49"/>
      <c r="E1978" s="41"/>
      <c r="F1978" s="52" t="s">
        <v>40</v>
      </c>
      <c r="G1978" s="79"/>
      <c r="H1978" s="80"/>
      <c r="I1978" s="69"/>
      <c r="J1978" s="72"/>
      <c r="K1978" s="73"/>
      <c r="L1978" s="72"/>
      <c r="M1978" s="73"/>
      <c r="N1978" s="72"/>
      <c r="O1978" s="73"/>
      <c r="P1978" s="72"/>
      <c r="Q1978" s="73"/>
      <c r="R1978" s="72"/>
      <c r="S1978" s="73"/>
      <c r="T1978" s="72"/>
      <c r="U1978" s="73"/>
      <c r="V1978" s="72"/>
      <c r="W1978" s="73"/>
      <c r="X1978" s="72"/>
      <c r="Y1978" s="73"/>
      <c r="Z1978" s="74" t="b">
        <v>0</v>
      </c>
      <c r="AA1978" s="130">
        <f t="shared" si="787"/>
        <v>0</v>
      </c>
      <c r="AB1978" s="131">
        <f t="shared" si="788"/>
        <v>0</v>
      </c>
      <c r="AC1978" s="132">
        <f t="shared" si="789"/>
        <v>0</v>
      </c>
      <c r="AD1978" s="133">
        <f t="shared" si="790"/>
        <v>0</v>
      </c>
      <c r="AE1978" s="131">
        <f t="shared" si="791"/>
        <v>0</v>
      </c>
      <c r="AF1978" s="133">
        <f t="shared" si="792"/>
        <v>0</v>
      </c>
      <c r="AG1978" s="1"/>
    </row>
    <row r="1979" ht="21.0" customHeight="1">
      <c r="A1979" s="1"/>
      <c r="B1979" s="89" t="s">
        <v>44</v>
      </c>
      <c r="C1979" s="49"/>
      <c r="D1979" s="90">
        <f t="array" ref="D1979">iferror(vlookup(xlookup(B1970,'현황'!O:O,'현황'!O:O,,-1,-1),'현황'!O:S,2,false),0)</f>
        <v>0</v>
      </c>
      <c r="E1979" s="51" t="s">
        <v>45</v>
      </c>
      <c r="F1979" s="52" t="s">
        <v>34</v>
      </c>
      <c r="G1979" s="83"/>
      <c r="H1979" s="84"/>
      <c r="I1979" s="85"/>
      <c r="J1979" s="72"/>
      <c r="K1979" s="73"/>
      <c r="L1979" s="72"/>
      <c r="M1979" s="73"/>
      <c r="N1979" s="72"/>
      <c r="O1979" s="73"/>
      <c r="P1979" s="72"/>
      <c r="Q1979" s="73"/>
      <c r="R1979" s="72"/>
      <c r="S1979" s="73"/>
      <c r="T1979" s="72"/>
      <c r="U1979" s="73"/>
      <c r="V1979" s="72"/>
      <c r="W1979" s="73"/>
      <c r="X1979" s="72"/>
      <c r="Y1979" s="73"/>
      <c r="Z1979" s="74" t="b">
        <v>0</v>
      </c>
      <c r="AA1979" s="130">
        <f t="shared" si="787"/>
        <v>0</v>
      </c>
      <c r="AB1979" s="131">
        <f t="shared" si="788"/>
        <v>0</v>
      </c>
      <c r="AC1979" s="132">
        <f t="shared" si="789"/>
        <v>0</v>
      </c>
      <c r="AD1979" s="133">
        <f t="shared" si="790"/>
        <v>0</v>
      </c>
      <c r="AE1979" s="131">
        <f t="shared" si="791"/>
        <v>0</v>
      </c>
      <c r="AF1979" s="133">
        <f t="shared" si="792"/>
        <v>0</v>
      </c>
      <c r="AG1979" s="1"/>
    </row>
    <row r="1980" ht="21.0" customHeight="1">
      <c r="A1980" s="1"/>
      <c r="B1980" s="48" t="s">
        <v>46</v>
      </c>
      <c r="C1980" s="49"/>
      <c r="D1980" s="91">
        <f t="array" ref="D1980">iferror(vlookup(xlookup(B1970,'현황'!O:O,'현황'!O:O,,-1,-1),'현황'!O:S,3,false),0)</f>
        <v>0</v>
      </c>
      <c r="E1980" s="66"/>
      <c r="F1980" s="52" t="s">
        <v>37</v>
      </c>
      <c r="G1980" s="67"/>
      <c r="H1980" s="80"/>
      <c r="I1980" s="69"/>
      <c r="J1980" s="72"/>
      <c r="K1980" s="73"/>
      <c r="L1980" s="72"/>
      <c r="M1980" s="73"/>
      <c r="N1980" s="72"/>
      <c r="O1980" s="73"/>
      <c r="P1980" s="72"/>
      <c r="Q1980" s="73"/>
      <c r="R1980" s="72"/>
      <c r="S1980" s="73"/>
      <c r="T1980" s="72"/>
      <c r="U1980" s="73"/>
      <c r="V1980" s="72"/>
      <c r="W1980" s="73"/>
      <c r="X1980" s="72"/>
      <c r="Y1980" s="73"/>
      <c r="Z1980" s="74" t="b">
        <v>0</v>
      </c>
      <c r="AA1980" s="130">
        <f t="shared" si="787"/>
        <v>0</v>
      </c>
      <c r="AB1980" s="131">
        <f t="shared" si="788"/>
        <v>0</v>
      </c>
      <c r="AC1980" s="132">
        <f t="shared" si="789"/>
        <v>0</v>
      </c>
      <c r="AD1980" s="133">
        <f t="shared" si="790"/>
        <v>0</v>
      </c>
      <c r="AE1980" s="131">
        <f t="shared" si="791"/>
        <v>0</v>
      </c>
      <c r="AF1980" s="133">
        <f t="shared" si="792"/>
        <v>0</v>
      </c>
      <c r="AG1980" s="1"/>
    </row>
    <row r="1981" ht="21.0" customHeight="1">
      <c r="A1981" s="1"/>
      <c r="B1981" s="48" t="s">
        <v>47</v>
      </c>
      <c r="C1981" s="49"/>
      <c r="D1981" s="91">
        <f t="array" ref="D1981">iferror(vlookup(xlookup(B1970,'현황'!O:O,'현황'!O:O,,-1,-1),'현황'!O:S,4,false),0)</f>
        <v>0</v>
      </c>
      <c r="E1981" s="41"/>
      <c r="F1981" s="92" t="s">
        <v>40</v>
      </c>
      <c r="G1981" s="79"/>
      <c r="H1981" s="93"/>
      <c r="I1981" s="94"/>
      <c r="J1981" s="95"/>
      <c r="K1981" s="96"/>
      <c r="L1981" s="95"/>
      <c r="M1981" s="96"/>
      <c r="N1981" s="95"/>
      <c r="O1981" s="96"/>
      <c r="P1981" s="95"/>
      <c r="Q1981" s="96"/>
      <c r="R1981" s="95"/>
      <c r="S1981" s="96"/>
      <c r="T1981" s="95"/>
      <c r="U1981" s="96"/>
      <c r="V1981" s="95"/>
      <c r="W1981" s="96"/>
      <c r="X1981" s="95"/>
      <c r="Y1981" s="96"/>
      <c r="Z1981" s="97" t="b">
        <v>0</v>
      </c>
      <c r="AA1981" s="135">
        <f t="shared" si="787"/>
        <v>0</v>
      </c>
      <c r="AB1981" s="136">
        <f t="shared" si="788"/>
        <v>0</v>
      </c>
      <c r="AC1981" s="137">
        <f t="shared" si="789"/>
        <v>0</v>
      </c>
      <c r="AD1981" s="138">
        <f t="shared" si="790"/>
        <v>0</v>
      </c>
      <c r="AE1981" s="136">
        <f t="shared" si="791"/>
        <v>0</v>
      </c>
      <c r="AF1981" s="138">
        <f t="shared" si="792"/>
        <v>0</v>
      </c>
      <c r="AG1981" s="1"/>
    </row>
    <row r="1982" ht="21.0" customHeight="1">
      <c r="A1982" s="1"/>
      <c r="B1982" s="102" t="s">
        <v>48</v>
      </c>
      <c r="C1982" s="103"/>
      <c r="D1982" s="104">
        <f>iferror(D1981/D1979,0)</f>
        <v>0</v>
      </c>
      <c r="E1982" s="102" t="s">
        <v>49</v>
      </c>
      <c r="F1982" s="103"/>
      <c r="G1982" s="105"/>
      <c r="H1982" s="143" t="s">
        <v>50</v>
      </c>
      <c r="I1982" s="144"/>
      <c r="J1982" s="11"/>
      <c r="K1982" s="11"/>
      <c r="L1982" s="11"/>
      <c r="M1982" s="11"/>
      <c r="N1982" s="11"/>
      <c r="O1982" s="11"/>
      <c r="P1982" s="145" t="s">
        <v>51</v>
      </c>
      <c r="Q1982" s="12"/>
      <c r="R1982" s="146"/>
      <c r="S1982" s="11"/>
      <c r="T1982" s="11"/>
      <c r="U1982" s="11"/>
      <c r="V1982" s="11"/>
      <c r="W1982" s="11"/>
      <c r="X1982" s="11"/>
      <c r="Y1982" s="11"/>
      <c r="Z1982" s="12"/>
      <c r="AA1982" s="139">
        <f>SUM(AA1973:AA1981)</f>
        <v>0</v>
      </c>
      <c r="AB1982" s="140" t="s">
        <v>361</v>
      </c>
      <c r="AG1982" s="1"/>
    </row>
    <row r="1983" ht="21.0" customHeight="1">
      <c r="A1983" s="1"/>
      <c r="B1983" s="1"/>
      <c r="C1983" s="1"/>
      <c r="D1983" s="1"/>
      <c r="E1983" s="1"/>
      <c r="F1983" s="1"/>
      <c r="G1983" s="1"/>
      <c r="H1983" s="1"/>
      <c r="I1983" s="1"/>
      <c r="AA1983" s="1"/>
      <c r="AB1983" s="1"/>
      <c r="AC1983" s="3"/>
      <c r="AD1983" s="1"/>
      <c r="AE1983" s="1"/>
      <c r="AF1983" s="1"/>
      <c r="AG1983" s="1"/>
    </row>
    <row r="1984" ht="21.0" customHeight="1">
      <c r="A1984" s="1"/>
      <c r="B1984" s="4" t="s">
        <v>1</v>
      </c>
      <c r="C1984" s="5"/>
      <c r="D1984" s="6" t="s">
        <v>2</v>
      </c>
      <c r="E1984" s="7"/>
      <c r="F1984" s="7"/>
      <c r="G1984" s="5"/>
      <c r="H1984" s="8" t="s">
        <v>3</v>
      </c>
      <c r="I1984" s="8" t="s">
        <v>4</v>
      </c>
      <c r="J1984" s="9" t="s">
        <v>5</v>
      </c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5"/>
      <c r="AA1984" s="117" t="s">
        <v>6</v>
      </c>
      <c r="AB1984" s="11"/>
      <c r="AC1984" s="11"/>
      <c r="AD1984" s="11"/>
      <c r="AE1984" s="11"/>
      <c r="AF1984" s="12"/>
      <c r="AG1984" s="1"/>
    </row>
    <row r="1985" ht="21.0" customHeight="1">
      <c r="A1985" s="1"/>
      <c r="B1985" s="149" t="s">
        <v>138</v>
      </c>
      <c r="C1985" s="14" t="str">
        <f>if(B1985="0/0","",choose(weekday(B1985),"(일)","(월)","(화)","(수)","(목)","(금)","(토)"))</f>
        <v/>
      </c>
      <c r="D1985" s="15" t="s">
        <v>7</v>
      </c>
      <c r="E1985" s="16" t="s">
        <v>8</v>
      </c>
      <c r="F1985" s="17"/>
      <c r="G1985" s="18" t="s">
        <v>9</v>
      </c>
      <c r="H1985" s="150" t="s">
        <v>139</v>
      </c>
      <c r="I1985" s="151"/>
      <c r="J1985" s="21" t="s">
        <v>12</v>
      </c>
      <c r="K1985" s="22"/>
      <c r="L1985" s="21" t="s">
        <v>13</v>
      </c>
      <c r="M1985" s="22"/>
      <c r="N1985" s="21" t="s">
        <v>14</v>
      </c>
      <c r="O1985" s="22"/>
      <c r="P1985" s="21" t="s">
        <v>15</v>
      </c>
      <c r="Q1985" s="22"/>
      <c r="R1985" s="23" t="s">
        <v>16</v>
      </c>
      <c r="S1985" s="22"/>
      <c r="T1985" s="23" t="s">
        <v>17</v>
      </c>
      <c r="U1985" s="22"/>
      <c r="V1985" s="23" t="s">
        <v>18</v>
      </c>
      <c r="W1985" s="22"/>
      <c r="X1985" s="23" t="s">
        <v>19</v>
      </c>
      <c r="Y1985" s="22"/>
      <c r="Z1985" s="24" t="s">
        <v>362</v>
      </c>
      <c r="AA1985" s="118" t="s">
        <v>21</v>
      </c>
      <c r="AB1985" s="119" t="s">
        <v>22</v>
      </c>
      <c r="AC1985" s="7"/>
      <c r="AD1985" s="22"/>
      <c r="AE1985" s="120" t="s">
        <v>23</v>
      </c>
      <c r="AF1985" s="22"/>
      <c r="AG1985" s="1"/>
    </row>
    <row r="1986" ht="21.0" customHeight="1">
      <c r="A1986" s="1"/>
      <c r="B1986" s="27">
        <f>iferror(B1985-'현황'!$C$4+1,0)</f>
        <v>0</v>
      </c>
      <c r="C1986" s="28"/>
      <c r="D1986" s="29">
        <v>0.0</v>
      </c>
      <c r="E1986" s="30">
        <v>0.0</v>
      </c>
      <c r="F1986" s="31"/>
      <c r="G1986" s="32">
        <v>0.0</v>
      </c>
      <c r="H1986" s="33">
        <v>0.0</v>
      </c>
      <c r="I1986" s="34"/>
      <c r="J1986" s="35"/>
      <c r="K1986" s="36"/>
      <c r="L1986" s="35"/>
      <c r="M1986" s="36"/>
      <c r="N1986" s="35"/>
      <c r="O1986" s="36"/>
      <c r="P1986" s="35"/>
      <c r="Q1986" s="36"/>
      <c r="R1986" s="35"/>
      <c r="S1986" s="36"/>
      <c r="T1986" s="35"/>
      <c r="U1986" s="36"/>
      <c r="V1986" s="35"/>
      <c r="W1986" s="36"/>
      <c r="X1986" s="35"/>
      <c r="Y1986" s="36"/>
      <c r="Z1986" s="37"/>
      <c r="AA1986" s="37"/>
      <c r="AB1986" s="35"/>
      <c r="AC1986" s="38"/>
      <c r="AD1986" s="36"/>
      <c r="AE1986" s="35"/>
      <c r="AF1986" s="36"/>
      <c r="AG1986" s="1"/>
    </row>
    <row r="1987" ht="21.0" customHeight="1">
      <c r="A1987" s="1"/>
      <c r="B1987" s="39" t="s">
        <v>24</v>
      </c>
      <c r="C1987" s="40"/>
      <c r="D1987" s="41"/>
      <c r="E1987" s="42" t="s">
        <v>25</v>
      </c>
      <c r="F1987" s="40"/>
      <c r="G1987" s="41"/>
      <c r="H1987" s="43" t="s">
        <v>26</v>
      </c>
      <c r="J1987" s="44" t="s">
        <v>27</v>
      </c>
      <c r="K1987" s="45" t="s">
        <v>28</v>
      </c>
      <c r="L1987" s="44" t="s">
        <v>27</v>
      </c>
      <c r="M1987" s="45" t="s">
        <v>28</v>
      </c>
      <c r="N1987" s="44" t="s">
        <v>27</v>
      </c>
      <c r="O1987" s="45" t="s">
        <v>28</v>
      </c>
      <c r="P1987" s="44" t="s">
        <v>27</v>
      </c>
      <c r="Q1987" s="45" t="s">
        <v>28</v>
      </c>
      <c r="R1987" s="44" t="s">
        <v>27</v>
      </c>
      <c r="S1987" s="45" t="s">
        <v>28</v>
      </c>
      <c r="T1987" s="44" t="s">
        <v>27</v>
      </c>
      <c r="U1987" s="45" t="s">
        <v>28</v>
      </c>
      <c r="V1987" s="44" t="s">
        <v>27</v>
      </c>
      <c r="W1987" s="45" t="s">
        <v>28</v>
      </c>
      <c r="X1987" s="44" t="s">
        <v>27</v>
      </c>
      <c r="Y1987" s="45" t="s">
        <v>28</v>
      </c>
      <c r="Z1987" s="46"/>
      <c r="AA1987" s="46"/>
      <c r="AB1987" s="121" t="s">
        <v>29</v>
      </c>
      <c r="AC1987" s="122" t="s">
        <v>30</v>
      </c>
      <c r="AD1987" s="123" t="s">
        <v>31</v>
      </c>
      <c r="AE1987" s="121" t="s">
        <v>27</v>
      </c>
      <c r="AF1987" s="123" t="s">
        <v>28</v>
      </c>
      <c r="AG1987" s="1"/>
    </row>
    <row r="1988" ht="21.0" customHeight="1">
      <c r="A1988" s="1"/>
      <c r="B1988" s="48" t="s">
        <v>32</v>
      </c>
      <c r="C1988" s="49"/>
      <c r="D1988" s="50"/>
      <c r="E1988" s="51" t="s">
        <v>33</v>
      </c>
      <c r="F1988" s="52" t="s">
        <v>34</v>
      </c>
      <c r="G1988" s="53"/>
      <c r="H1988" s="148"/>
      <c r="I1988" s="55"/>
      <c r="J1988" s="58"/>
      <c r="K1988" s="59"/>
      <c r="L1988" s="58"/>
      <c r="M1988" s="59"/>
      <c r="N1988" s="58"/>
      <c r="O1988" s="59"/>
      <c r="P1988" s="58"/>
      <c r="Q1988" s="59"/>
      <c r="R1988" s="58"/>
      <c r="S1988" s="59"/>
      <c r="T1988" s="58"/>
      <c r="U1988" s="59"/>
      <c r="V1988" s="58"/>
      <c r="W1988" s="59"/>
      <c r="X1988" s="58"/>
      <c r="Y1988" s="59"/>
      <c r="Z1988" s="60" t="b">
        <v>0</v>
      </c>
      <c r="AA1988" s="125">
        <f t="shared" ref="AA1988:AA1996" si="793">(J1988*K1988+L1988*M1988+N1988*O1988+P1988*Q1988+R1988*S1988+T1988*U1988+V1988*W1988+X1988*Y1988)*if(Z1988=true,0.453592,1)</f>
        <v>0</v>
      </c>
      <c r="AB1988" s="126">
        <f t="shared" ref="AB1988:AB1996" si="794">SUM(AE1988*AF1988*0.025,AE1988)</f>
        <v>0</v>
      </c>
      <c r="AC1988" s="127">
        <f t="shared" ref="AC1988:AC1996" si="795">AB1988*87%</f>
        <v>0</v>
      </c>
      <c r="AD1988" s="128">
        <f t="shared" ref="AD1988:AD1996" si="796">AB1988*67%</f>
        <v>0</v>
      </c>
      <c r="AE1988" s="126">
        <f t="shared" ref="AE1988:AE1996" si="797">MAX(J1988,L1988,N1988,P1988,R1988,T1988,V1988,X1988)*if(Z1988=true,0.453592,1)</f>
        <v>0</v>
      </c>
      <c r="AF1988" s="128">
        <f t="shared" ref="AF1988:AF1996" si="798">MAX(IF(J1988*if(Z1988=true,0.453592,1)=$AE1988,K1988,0),IF(L1988*if(Z1988=true,0.453592,1)=$AE1988,M1988,0),IF(N1988*if(Z1988=true,0.453592,1)=$AE1988,O1988,0),IF(P1988*if(Z1988=true,0.453592,1)=$AE1988,Q1988,0),IF(R1988*if(Z1988=true,0.453592,1)=$AE1988,S1988,0),IF(T1988*if(Z1988=true,0.453592,1)=$AE1988,U1988,0),IF(V1988*if(Z1988=true,0.453592,1)=$AE1988,W1988,0),IF(X1988*if(Z1988=true,0.453592,1)=$AE1988,Y1988,0))</f>
        <v>0</v>
      </c>
      <c r="AG1988" s="1"/>
    </row>
    <row r="1989" ht="21.0" customHeight="1">
      <c r="A1989" s="1"/>
      <c r="B1989" s="48" t="s">
        <v>36</v>
      </c>
      <c r="C1989" s="49"/>
      <c r="D1989" s="65"/>
      <c r="E1989" s="66"/>
      <c r="F1989" s="52" t="s">
        <v>37</v>
      </c>
      <c r="G1989" s="67"/>
      <c r="H1989" s="129"/>
      <c r="I1989" s="69"/>
      <c r="J1989" s="72"/>
      <c r="K1989" s="73"/>
      <c r="L1989" s="72"/>
      <c r="M1989" s="73"/>
      <c r="N1989" s="72"/>
      <c r="O1989" s="73"/>
      <c r="P1989" s="72"/>
      <c r="Q1989" s="73"/>
      <c r="R1989" s="72"/>
      <c r="S1989" s="73"/>
      <c r="T1989" s="72"/>
      <c r="U1989" s="73"/>
      <c r="V1989" s="72"/>
      <c r="W1989" s="73"/>
      <c r="X1989" s="72"/>
      <c r="Y1989" s="73"/>
      <c r="Z1989" s="74" t="b">
        <v>0</v>
      </c>
      <c r="AA1989" s="130">
        <f t="shared" si="793"/>
        <v>0</v>
      </c>
      <c r="AB1989" s="131">
        <f t="shared" si="794"/>
        <v>0</v>
      </c>
      <c r="AC1989" s="132">
        <f t="shared" si="795"/>
        <v>0</v>
      </c>
      <c r="AD1989" s="133">
        <f t="shared" si="796"/>
        <v>0</v>
      </c>
      <c r="AE1989" s="131">
        <f t="shared" si="797"/>
        <v>0</v>
      </c>
      <c r="AF1989" s="133">
        <f t="shared" si="798"/>
        <v>0</v>
      </c>
      <c r="AG1989" s="1"/>
    </row>
    <row r="1990" ht="21.0" customHeight="1">
      <c r="A1990" s="1"/>
      <c r="B1990" s="48" t="s">
        <v>39</v>
      </c>
      <c r="C1990" s="49"/>
      <c r="D1990" s="65"/>
      <c r="E1990" s="41"/>
      <c r="F1990" s="52" t="s">
        <v>40</v>
      </c>
      <c r="G1990" s="79"/>
      <c r="H1990" s="80"/>
      <c r="I1990" s="69"/>
      <c r="J1990" s="72"/>
      <c r="K1990" s="73"/>
      <c r="L1990" s="72"/>
      <c r="M1990" s="73"/>
      <c r="N1990" s="72"/>
      <c r="O1990" s="73"/>
      <c r="P1990" s="72"/>
      <c r="Q1990" s="73"/>
      <c r="R1990" s="72"/>
      <c r="S1990" s="73"/>
      <c r="T1990" s="72"/>
      <c r="U1990" s="73"/>
      <c r="V1990" s="72"/>
      <c r="W1990" s="73"/>
      <c r="X1990" s="72"/>
      <c r="Y1990" s="73"/>
      <c r="Z1990" s="74" t="b">
        <v>0</v>
      </c>
      <c r="AA1990" s="130">
        <f t="shared" si="793"/>
        <v>0</v>
      </c>
      <c r="AB1990" s="131">
        <f t="shared" si="794"/>
        <v>0</v>
      </c>
      <c r="AC1990" s="132">
        <f t="shared" si="795"/>
        <v>0</v>
      </c>
      <c r="AD1990" s="133">
        <f t="shared" si="796"/>
        <v>0</v>
      </c>
      <c r="AE1990" s="131">
        <f t="shared" si="797"/>
        <v>0</v>
      </c>
      <c r="AF1990" s="133">
        <f t="shared" si="798"/>
        <v>0</v>
      </c>
      <c r="AG1990" s="1"/>
    </row>
    <row r="1991" ht="21.0" customHeight="1">
      <c r="A1991" s="1"/>
      <c r="B1991" s="48" t="s">
        <v>41</v>
      </c>
      <c r="C1991" s="81"/>
      <c r="D1991" s="82" t="b">
        <v>0</v>
      </c>
      <c r="E1991" s="51" t="s">
        <v>42</v>
      </c>
      <c r="F1991" s="52" t="s">
        <v>34</v>
      </c>
      <c r="G1991" s="83"/>
      <c r="H1991" s="84"/>
      <c r="I1991" s="85"/>
      <c r="J1991" s="72"/>
      <c r="K1991" s="73"/>
      <c r="L1991" s="72"/>
      <c r="M1991" s="73"/>
      <c r="N1991" s="72"/>
      <c r="O1991" s="73"/>
      <c r="P1991" s="72"/>
      <c r="Q1991" s="73"/>
      <c r="R1991" s="72"/>
      <c r="S1991" s="73"/>
      <c r="T1991" s="72"/>
      <c r="U1991" s="73"/>
      <c r="V1991" s="72"/>
      <c r="W1991" s="73"/>
      <c r="X1991" s="72"/>
      <c r="Y1991" s="73"/>
      <c r="Z1991" s="74" t="b">
        <v>0</v>
      </c>
      <c r="AA1991" s="130">
        <f t="shared" si="793"/>
        <v>0</v>
      </c>
      <c r="AB1991" s="131">
        <f t="shared" si="794"/>
        <v>0</v>
      </c>
      <c r="AC1991" s="132">
        <f t="shared" si="795"/>
        <v>0</v>
      </c>
      <c r="AD1991" s="133">
        <f t="shared" si="796"/>
        <v>0</v>
      </c>
      <c r="AE1991" s="131">
        <f t="shared" si="797"/>
        <v>0</v>
      </c>
      <c r="AF1991" s="133">
        <f t="shared" si="798"/>
        <v>0</v>
      </c>
      <c r="AG1991" s="1"/>
    </row>
    <row r="1992" ht="21.0" customHeight="1">
      <c r="A1992" s="1"/>
      <c r="B1992" s="48" t="s">
        <v>43</v>
      </c>
      <c r="C1992" s="49"/>
      <c r="D1992" s="86" t="b">
        <v>0</v>
      </c>
      <c r="E1992" s="66"/>
      <c r="F1992" s="52" t="s">
        <v>37</v>
      </c>
      <c r="G1992" s="67"/>
      <c r="H1992" s="80"/>
      <c r="I1992" s="69"/>
      <c r="J1992" s="72"/>
      <c r="K1992" s="73"/>
      <c r="L1992" s="72"/>
      <c r="M1992" s="73"/>
      <c r="N1992" s="72"/>
      <c r="O1992" s="73"/>
      <c r="P1992" s="72"/>
      <c r="Q1992" s="73"/>
      <c r="R1992" s="72"/>
      <c r="S1992" s="73"/>
      <c r="T1992" s="72"/>
      <c r="U1992" s="73"/>
      <c r="V1992" s="72"/>
      <c r="W1992" s="73"/>
      <c r="X1992" s="72"/>
      <c r="Y1992" s="73"/>
      <c r="Z1992" s="74" t="b">
        <v>0</v>
      </c>
      <c r="AA1992" s="130">
        <f t="shared" si="793"/>
        <v>0</v>
      </c>
      <c r="AB1992" s="131">
        <f t="shared" si="794"/>
        <v>0</v>
      </c>
      <c r="AC1992" s="132">
        <f t="shared" si="795"/>
        <v>0</v>
      </c>
      <c r="AD1992" s="133">
        <f t="shared" si="796"/>
        <v>0</v>
      </c>
      <c r="AE1992" s="131">
        <f t="shared" si="797"/>
        <v>0</v>
      </c>
      <c r="AF1992" s="133">
        <f t="shared" si="798"/>
        <v>0</v>
      </c>
      <c r="AG1992" s="1"/>
    </row>
    <row r="1993" ht="21.0" customHeight="1">
      <c r="A1993" s="1"/>
      <c r="B1993" s="87" t="str">
        <f t="array" ref="B1993">"📌최근 인바디 결과 : "&amp;text(xlookup(B1985,'현황'!O:O,'현황'!O:O,,-1,-1),"m/d(ddd)")</f>
        <v>#REF!</v>
      </c>
      <c r="C1993" s="88"/>
      <c r="D1993" s="49"/>
      <c r="E1993" s="41"/>
      <c r="F1993" s="52" t="s">
        <v>40</v>
      </c>
      <c r="G1993" s="79"/>
      <c r="H1993" s="80"/>
      <c r="I1993" s="69"/>
      <c r="J1993" s="72"/>
      <c r="K1993" s="73"/>
      <c r="L1993" s="72"/>
      <c r="M1993" s="73"/>
      <c r="N1993" s="72"/>
      <c r="O1993" s="73"/>
      <c r="P1993" s="72"/>
      <c r="Q1993" s="73"/>
      <c r="R1993" s="72"/>
      <c r="S1993" s="73"/>
      <c r="T1993" s="72"/>
      <c r="U1993" s="73"/>
      <c r="V1993" s="72"/>
      <c r="W1993" s="73"/>
      <c r="X1993" s="72"/>
      <c r="Y1993" s="73"/>
      <c r="Z1993" s="74" t="b">
        <v>0</v>
      </c>
      <c r="AA1993" s="130">
        <f t="shared" si="793"/>
        <v>0</v>
      </c>
      <c r="AB1993" s="131">
        <f t="shared" si="794"/>
        <v>0</v>
      </c>
      <c r="AC1993" s="132">
        <f t="shared" si="795"/>
        <v>0</v>
      </c>
      <c r="AD1993" s="133">
        <f t="shared" si="796"/>
        <v>0</v>
      </c>
      <c r="AE1993" s="131">
        <f t="shared" si="797"/>
        <v>0</v>
      </c>
      <c r="AF1993" s="133">
        <f t="shared" si="798"/>
        <v>0</v>
      </c>
      <c r="AG1993" s="1"/>
    </row>
    <row r="1994" ht="21.0" customHeight="1">
      <c r="A1994" s="1"/>
      <c r="B1994" s="89" t="s">
        <v>44</v>
      </c>
      <c r="C1994" s="49"/>
      <c r="D1994" s="90">
        <f t="array" ref="D1994">iferror(vlookup(xlookup(B1985,'현황'!O:O,'현황'!O:O,,-1,-1),'현황'!O:S,2,false),0)</f>
        <v>0</v>
      </c>
      <c r="E1994" s="51" t="s">
        <v>45</v>
      </c>
      <c r="F1994" s="52" t="s">
        <v>34</v>
      </c>
      <c r="G1994" s="83"/>
      <c r="H1994" s="84"/>
      <c r="I1994" s="85"/>
      <c r="J1994" s="72"/>
      <c r="K1994" s="73"/>
      <c r="L1994" s="72"/>
      <c r="M1994" s="73"/>
      <c r="N1994" s="72"/>
      <c r="O1994" s="73"/>
      <c r="P1994" s="72"/>
      <c r="Q1994" s="73"/>
      <c r="R1994" s="72"/>
      <c r="S1994" s="73"/>
      <c r="T1994" s="72"/>
      <c r="U1994" s="73"/>
      <c r="V1994" s="72"/>
      <c r="W1994" s="73"/>
      <c r="X1994" s="72"/>
      <c r="Y1994" s="73"/>
      <c r="Z1994" s="74" t="b">
        <v>0</v>
      </c>
      <c r="AA1994" s="130">
        <f t="shared" si="793"/>
        <v>0</v>
      </c>
      <c r="AB1994" s="131">
        <f t="shared" si="794"/>
        <v>0</v>
      </c>
      <c r="AC1994" s="132">
        <f t="shared" si="795"/>
        <v>0</v>
      </c>
      <c r="AD1994" s="133">
        <f t="shared" si="796"/>
        <v>0</v>
      </c>
      <c r="AE1994" s="131">
        <f t="shared" si="797"/>
        <v>0</v>
      </c>
      <c r="AF1994" s="133">
        <f t="shared" si="798"/>
        <v>0</v>
      </c>
      <c r="AG1994" s="1"/>
    </row>
    <row r="1995" ht="21.0" customHeight="1">
      <c r="A1995" s="1"/>
      <c r="B1995" s="48" t="s">
        <v>46</v>
      </c>
      <c r="C1995" s="49"/>
      <c r="D1995" s="91">
        <f t="array" ref="D1995">iferror(vlookup(xlookup(B1985,'현황'!O:O,'현황'!O:O,,-1,-1),'현황'!O:S,3,false),0)</f>
        <v>0</v>
      </c>
      <c r="E1995" s="66"/>
      <c r="F1995" s="52" t="s">
        <v>37</v>
      </c>
      <c r="G1995" s="67"/>
      <c r="H1995" s="80"/>
      <c r="I1995" s="69"/>
      <c r="J1995" s="72"/>
      <c r="K1995" s="73"/>
      <c r="L1995" s="72"/>
      <c r="M1995" s="73"/>
      <c r="N1995" s="72"/>
      <c r="O1995" s="73"/>
      <c r="P1995" s="72"/>
      <c r="Q1995" s="73"/>
      <c r="R1995" s="72"/>
      <c r="S1995" s="73"/>
      <c r="T1995" s="72"/>
      <c r="U1995" s="73"/>
      <c r="V1995" s="72"/>
      <c r="W1995" s="73"/>
      <c r="X1995" s="72"/>
      <c r="Y1995" s="73"/>
      <c r="Z1995" s="74" t="b">
        <v>0</v>
      </c>
      <c r="AA1995" s="130">
        <f t="shared" si="793"/>
        <v>0</v>
      </c>
      <c r="AB1995" s="131">
        <f t="shared" si="794"/>
        <v>0</v>
      </c>
      <c r="AC1995" s="132">
        <f t="shared" si="795"/>
        <v>0</v>
      </c>
      <c r="AD1995" s="133">
        <f t="shared" si="796"/>
        <v>0</v>
      </c>
      <c r="AE1995" s="131">
        <f t="shared" si="797"/>
        <v>0</v>
      </c>
      <c r="AF1995" s="133">
        <f t="shared" si="798"/>
        <v>0</v>
      </c>
      <c r="AG1995" s="1"/>
    </row>
    <row r="1996" ht="21.0" customHeight="1">
      <c r="A1996" s="1"/>
      <c r="B1996" s="48" t="s">
        <v>47</v>
      </c>
      <c r="C1996" s="49"/>
      <c r="D1996" s="91">
        <f t="array" ref="D1996">iferror(vlookup(xlookup(B1985,'현황'!O:O,'현황'!O:O,,-1,-1),'현황'!O:S,4,false),0)</f>
        <v>0</v>
      </c>
      <c r="E1996" s="41"/>
      <c r="F1996" s="92" t="s">
        <v>40</v>
      </c>
      <c r="G1996" s="79"/>
      <c r="H1996" s="93"/>
      <c r="I1996" s="94"/>
      <c r="J1996" s="95"/>
      <c r="K1996" s="96"/>
      <c r="L1996" s="95"/>
      <c r="M1996" s="96"/>
      <c r="N1996" s="95"/>
      <c r="O1996" s="96"/>
      <c r="P1996" s="95"/>
      <c r="Q1996" s="96"/>
      <c r="R1996" s="95"/>
      <c r="S1996" s="96"/>
      <c r="T1996" s="95"/>
      <c r="U1996" s="96"/>
      <c r="V1996" s="95"/>
      <c r="W1996" s="96"/>
      <c r="X1996" s="95"/>
      <c r="Y1996" s="96"/>
      <c r="Z1996" s="97" t="b">
        <v>0</v>
      </c>
      <c r="AA1996" s="135">
        <f t="shared" si="793"/>
        <v>0</v>
      </c>
      <c r="AB1996" s="136">
        <f t="shared" si="794"/>
        <v>0</v>
      </c>
      <c r="AC1996" s="137">
        <f t="shared" si="795"/>
        <v>0</v>
      </c>
      <c r="AD1996" s="138">
        <f t="shared" si="796"/>
        <v>0</v>
      </c>
      <c r="AE1996" s="136">
        <f t="shared" si="797"/>
        <v>0</v>
      </c>
      <c r="AF1996" s="138">
        <f t="shared" si="798"/>
        <v>0</v>
      </c>
      <c r="AG1996" s="1"/>
    </row>
    <row r="1997" ht="21.0" customHeight="1">
      <c r="A1997" s="1"/>
      <c r="B1997" s="102" t="s">
        <v>48</v>
      </c>
      <c r="C1997" s="103"/>
      <c r="D1997" s="104">
        <f>iferror(D1996/D1994,0)</f>
        <v>0</v>
      </c>
      <c r="E1997" s="102" t="s">
        <v>49</v>
      </c>
      <c r="F1997" s="103"/>
      <c r="G1997" s="105"/>
      <c r="H1997" s="106" t="s">
        <v>50</v>
      </c>
      <c r="I1997" s="107"/>
      <c r="J1997" s="11"/>
      <c r="K1997" s="11"/>
      <c r="L1997" s="11"/>
      <c r="M1997" s="11"/>
      <c r="N1997" s="11"/>
      <c r="O1997" s="11"/>
      <c r="P1997" s="108" t="s">
        <v>51</v>
      </c>
      <c r="Q1997" s="12"/>
      <c r="R1997" s="109"/>
      <c r="S1997" s="11"/>
      <c r="T1997" s="11"/>
      <c r="U1997" s="11"/>
      <c r="V1997" s="11"/>
      <c r="W1997" s="11"/>
      <c r="X1997" s="11"/>
      <c r="Y1997" s="11"/>
      <c r="Z1997" s="12"/>
      <c r="AA1997" s="139">
        <f>SUM(AA1988:AA1996)</f>
        <v>0</v>
      </c>
      <c r="AB1997" s="140" t="s">
        <v>363</v>
      </c>
      <c r="AG1997" s="1"/>
    </row>
    <row r="1998" ht="21.0" customHeight="1">
      <c r="A1998" s="1"/>
      <c r="B1998" s="1"/>
      <c r="C1998" s="1"/>
      <c r="D1998" s="1"/>
      <c r="E1998" s="1"/>
      <c r="F1998" s="1"/>
      <c r="G1998" s="1"/>
      <c r="H1998" s="1"/>
      <c r="I1998" s="1"/>
      <c r="AA1998" s="1"/>
      <c r="AB1998" s="1"/>
      <c r="AC1998" s="3"/>
      <c r="AD1998" s="1"/>
      <c r="AE1998" s="1"/>
      <c r="AF1998" s="1"/>
      <c r="AG1998" s="1"/>
    </row>
    <row r="1999" ht="21.0" customHeight="1">
      <c r="A1999" s="1"/>
      <c r="B1999" s="4" t="s">
        <v>1</v>
      </c>
      <c r="C1999" s="5"/>
      <c r="D1999" s="6" t="s">
        <v>2</v>
      </c>
      <c r="E1999" s="7"/>
      <c r="F1999" s="7"/>
      <c r="G1999" s="5"/>
      <c r="H1999" s="8" t="s">
        <v>3</v>
      </c>
      <c r="I1999" s="8" t="s">
        <v>4</v>
      </c>
      <c r="J1999" s="9" t="s">
        <v>5</v>
      </c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5"/>
      <c r="AA1999" s="117" t="s">
        <v>6</v>
      </c>
      <c r="AB1999" s="11"/>
      <c r="AC1999" s="11"/>
      <c r="AD1999" s="11"/>
      <c r="AE1999" s="11"/>
      <c r="AF1999" s="12"/>
      <c r="AG1999" s="1"/>
    </row>
    <row r="2000" ht="21.0" customHeight="1">
      <c r="A2000" s="1"/>
      <c r="B2000" s="149" t="s">
        <v>138</v>
      </c>
      <c r="C2000" s="14" t="str">
        <f>if(B2000="0/0","",choose(weekday(B2000),"(일)","(월)","(화)","(수)","(목)","(금)","(토)"))</f>
        <v/>
      </c>
      <c r="D2000" s="15" t="s">
        <v>7</v>
      </c>
      <c r="E2000" s="16" t="s">
        <v>8</v>
      </c>
      <c r="F2000" s="17"/>
      <c r="G2000" s="18" t="s">
        <v>9</v>
      </c>
      <c r="H2000" s="150" t="s">
        <v>139</v>
      </c>
      <c r="I2000" s="151"/>
      <c r="J2000" s="21" t="s">
        <v>12</v>
      </c>
      <c r="K2000" s="22"/>
      <c r="L2000" s="21" t="s">
        <v>13</v>
      </c>
      <c r="M2000" s="22"/>
      <c r="N2000" s="21" t="s">
        <v>14</v>
      </c>
      <c r="O2000" s="22"/>
      <c r="P2000" s="21" t="s">
        <v>15</v>
      </c>
      <c r="Q2000" s="22"/>
      <c r="R2000" s="23" t="s">
        <v>16</v>
      </c>
      <c r="S2000" s="22"/>
      <c r="T2000" s="23" t="s">
        <v>17</v>
      </c>
      <c r="U2000" s="22"/>
      <c r="V2000" s="23" t="s">
        <v>18</v>
      </c>
      <c r="W2000" s="22"/>
      <c r="X2000" s="23" t="s">
        <v>19</v>
      </c>
      <c r="Y2000" s="22"/>
      <c r="Z2000" s="24" t="s">
        <v>364</v>
      </c>
      <c r="AA2000" s="118" t="s">
        <v>21</v>
      </c>
      <c r="AB2000" s="119" t="s">
        <v>22</v>
      </c>
      <c r="AC2000" s="7"/>
      <c r="AD2000" s="22"/>
      <c r="AE2000" s="120" t="s">
        <v>23</v>
      </c>
      <c r="AF2000" s="22"/>
      <c r="AG2000" s="1"/>
    </row>
    <row r="2001" ht="21.0" customHeight="1">
      <c r="A2001" s="1"/>
      <c r="B2001" s="27">
        <f>iferror(B2000-'현황'!$C$4+1,0)</f>
        <v>0</v>
      </c>
      <c r="C2001" s="28"/>
      <c r="D2001" s="29">
        <v>0.0</v>
      </c>
      <c r="E2001" s="30">
        <v>0.0</v>
      </c>
      <c r="F2001" s="31"/>
      <c r="G2001" s="32">
        <v>0.0</v>
      </c>
      <c r="H2001" s="33">
        <v>0.0</v>
      </c>
      <c r="I2001" s="34"/>
      <c r="J2001" s="35"/>
      <c r="K2001" s="36"/>
      <c r="L2001" s="35"/>
      <c r="M2001" s="36"/>
      <c r="N2001" s="35"/>
      <c r="O2001" s="36"/>
      <c r="P2001" s="35"/>
      <c r="Q2001" s="36"/>
      <c r="R2001" s="35"/>
      <c r="S2001" s="36"/>
      <c r="T2001" s="35"/>
      <c r="U2001" s="36"/>
      <c r="V2001" s="35"/>
      <c r="W2001" s="36"/>
      <c r="X2001" s="35"/>
      <c r="Y2001" s="36"/>
      <c r="Z2001" s="37"/>
      <c r="AA2001" s="37"/>
      <c r="AB2001" s="35"/>
      <c r="AC2001" s="38"/>
      <c r="AD2001" s="36"/>
      <c r="AE2001" s="35"/>
      <c r="AF2001" s="36"/>
      <c r="AG2001" s="1"/>
    </row>
    <row r="2002" ht="21.0" customHeight="1">
      <c r="A2002" s="1"/>
      <c r="B2002" s="39" t="s">
        <v>24</v>
      </c>
      <c r="C2002" s="40"/>
      <c r="D2002" s="41"/>
      <c r="E2002" s="42" t="s">
        <v>25</v>
      </c>
      <c r="F2002" s="40"/>
      <c r="G2002" s="41"/>
      <c r="H2002" s="43" t="s">
        <v>26</v>
      </c>
      <c r="J2002" s="44" t="s">
        <v>27</v>
      </c>
      <c r="K2002" s="45" t="s">
        <v>28</v>
      </c>
      <c r="L2002" s="44" t="s">
        <v>27</v>
      </c>
      <c r="M2002" s="45" t="s">
        <v>28</v>
      </c>
      <c r="N2002" s="44" t="s">
        <v>27</v>
      </c>
      <c r="O2002" s="45" t="s">
        <v>28</v>
      </c>
      <c r="P2002" s="44" t="s">
        <v>27</v>
      </c>
      <c r="Q2002" s="45" t="s">
        <v>28</v>
      </c>
      <c r="R2002" s="44" t="s">
        <v>27</v>
      </c>
      <c r="S2002" s="45" t="s">
        <v>28</v>
      </c>
      <c r="T2002" s="44" t="s">
        <v>27</v>
      </c>
      <c r="U2002" s="45" t="s">
        <v>28</v>
      </c>
      <c r="V2002" s="44" t="s">
        <v>27</v>
      </c>
      <c r="W2002" s="45" t="s">
        <v>28</v>
      </c>
      <c r="X2002" s="44" t="s">
        <v>27</v>
      </c>
      <c r="Y2002" s="45" t="s">
        <v>28</v>
      </c>
      <c r="Z2002" s="46"/>
      <c r="AA2002" s="46"/>
      <c r="AB2002" s="121" t="s">
        <v>29</v>
      </c>
      <c r="AC2002" s="122" t="s">
        <v>30</v>
      </c>
      <c r="AD2002" s="123" t="s">
        <v>31</v>
      </c>
      <c r="AE2002" s="121" t="s">
        <v>27</v>
      </c>
      <c r="AF2002" s="123" t="s">
        <v>28</v>
      </c>
      <c r="AG2002" s="1"/>
    </row>
    <row r="2003" ht="21.0" customHeight="1">
      <c r="A2003" s="1"/>
      <c r="B2003" s="48" t="s">
        <v>32</v>
      </c>
      <c r="C2003" s="49"/>
      <c r="D2003" s="50"/>
      <c r="E2003" s="51" t="s">
        <v>33</v>
      </c>
      <c r="F2003" s="52" t="s">
        <v>34</v>
      </c>
      <c r="G2003" s="53"/>
      <c r="H2003" s="148"/>
      <c r="I2003" s="55"/>
      <c r="J2003" s="58"/>
      <c r="K2003" s="59"/>
      <c r="L2003" s="58"/>
      <c r="M2003" s="59"/>
      <c r="N2003" s="58"/>
      <c r="O2003" s="59"/>
      <c r="P2003" s="58"/>
      <c r="Q2003" s="59"/>
      <c r="R2003" s="58"/>
      <c r="S2003" s="59"/>
      <c r="T2003" s="58"/>
      <c r="U2003" s="59"/>
      <c r="V2003" s="58"/>
      <c r="W2003" s="59"/>
      <c r="X2003" s="58"/>
      <c r="Y2003" s="59"/>
      <c r="Z2003" s="60" t="b">
        <v>0</v>
      </c>
      <c r="AA2003" s="125">
        <f t="shared" ref="AA2003:AA2011" si="799">(J2003*K2003+L2003*M2003+N2003*O2003+P2003*Q2003+R2003*S2003+T2003*U2003+V2003*W2003+X2003*Y2003)*if(Z2003=true,0.453592,1)</f>
        <v>0</v>
      </c>
      <c r="AB2003" s="126">
        <f t="shared" ref="AB2003:AB2011" si="800">SUM(AE2003*AF2003*0.025,AE2003)</f>
        <v>0</v>
      </c>
      <c r="AC2003" s="127">
        <f t="shared" ref="AC2003:AC2011" si="801">AB2003*87%</f>
        <v>0</v>
      </c>
      <c r="AD2003" s="128">
        <f t="shared" ref="AD2003:AD2011" si="802">AB2003*67%</f>
        <v>0</v>
      </c>
      <c r="AE2003" s="126">
        <f t="shared" ref="AE2003:AE2011" si="803">MAX(J2003,L2003,N2003,P2003,R2003,T2003,V2003,X2003)*if(Z2003=true,0.453592,1)</f>
        <v>0</v>
      </c>
      <c r="AF2003" s="128">
        <f t="shared" ref="AF2003:AF2011" si="804">MAX(IF(J2003*if(Z2003=true,0.453592,1)=$AE2003,K2003,0),IF(L2003*if(Z2003=true,0.453592,1)=$AE2003,M2003,0),IF(N2003*if(Z2003=true,0.453592,1)=$AE2003,O2003,0),IF(P2003*if(Z2003=true,0.453592,1)=$AE2003,Q2003,0),IF(R2003*if(Z2003=true,0.453592,1)=$AE2003,S2003,0),IF(T2003*if(Z2003=true,0.453592,1)=$AE2003,U2003,0),IF(V2003*if(Z2003=true,0.453592,1)=$AE2003,W2003,0),IF(X2003*if(Z2003=true,0.453592,1)=$AE2003,Y2003,0))</f>
        <v>0</v>
      </c>
      <c r="AG2003" s="1"/>
    </row>
    <row r="2004" ht="21.0" customHeight="1">
      <c r="A2004" s="1"/>
      <c r="B2004" s="48" t="s">
        <v>36</v>
      </c>
      <c r="C2004" s="49"/>
      <c r="D2004" s="65"/>
      <c r="E2004" s="66"/>
      <c r="F2004" s="52" t="s">
        <v>37</v>
      </c>
      <c r="G2004" s="67"/>
      <c r="H2004" s="129"/>
      <c r="I2004" s="69"/>
      <c r="J2004" s="72"/>
      <c r="K2004" s="73"/>
      <c r="L2004" s="72"/>
      <c r="M2004" s="73"/>
      <c r="N2004" s="72"/>
      <c r="O2004" s="73"/>
      <c r="P2004" s="72"/>
      <c r="Q2004" s="73"/>
      <c r="R2004" s="72"/>
      <c r="S2004" s="73"/>
      <c r="T2004" s="72"/>
      <c r="U2004" s="73"/>
      <c r="V2004" s="72"/>
      <c r="W2004" s="73"/>
      <c r="X2004" s="72"/>
      <c r="Y2004" s="73"/>
      <c r="Z2004" s="74" t="b">
        <v>0</v>
      </c>
      <c r="AA2004" s="130">
        <f t="shared" si="799"/>
        <v>0</v>
      </c>
      <c r="AB2004" s="131">
        <f t="shared" si="800"/>
        <v>0</v>
      </c>
      <c r="AC2004" s="132">
        <f t="shared" si="801"/>
        <v>0</v>
      </c>
      <c r="AD2004" s="133">
        <f t="shared" si="802"/>
        <v>0</v>
      </c>
      <c r="AE2004" s="131">
        <f t="shared" si="803"/>
        <v>0</v>
      </c>
      <c r="AF2004" s="133">
        <f t="shared" si="804"/>
        <v>0</v>
      </c>
      <c r="AG2004" s="1"/>
    </row>
    <row r="2005" ht="21.0" customHeight="1">
      <c r="A2005" s="1"/>
      <c r="B2005" s="48" t="s">
        <v>39</v>
      </c>
      <c r="C2005" s="49"/>
      <c r="D2005" s="65"/>
      <c r="E2005" s="41"/>
      <c r="F2005" s="52" t="s">
        <v>40</v>
      </c>
      <c r="G2005" s="79"/>
      <c r="H2005" s="80"/>
      <c r="I2005" s="69"/>
      <c r="J2005" s="72"/>
      <c r="K2005" s="73"/>
      <c r="L2005" s="72"/>
      <c r="M2005" s="73"/>
      <c r="N2005" s="72"/>
      <c r="O2005" s="73"/>
      <c r="P2005" s="72"/>
      <c r="Q2005" s="73"/>
      <c r="R2005" s="72"/>
      <c r="S2005" s="73"/>
      <c r="T2005" s="72"/>
      <c r="U2005" s="73"/>
      <c r="V2005" s="72"/>
      <c r="W2005" s="73"/>
      <c r="X2005" s="72"/>
      <c r="Y2005" s="73"/>
      <c r="Z2005" s="74" t="b">
        <v>0</v>
      </c>
      <c r="AA2005" s="130">
        <f t="shared" si="799"/>
        <v>0</v>
      </c>
      <c r="AB2005" s="131">
        <f t="shared" si="800"/>
        <v>0</v>
      </c>
      <c r="AC2005" s="132">
        <f t="shared" si="801"/>
        <v>0</v>
      </c>
      <c r="AD2005" s="133">
        <f t="shared" si="802"/>
        <v>0</v>
      </c>
      <c r="AE2005" s="131">
        <f t="shared" si="803"/>
        <v>0</v>
      </c>
      <c r="AF2005" s="133">
        <f t="shared" si="804"/>
        <v>0</v>
      </c>
      <c r="AG2005" s="1"/>
    </row>
    <row r="2006" ht="21.0" customHeight="1">
      <c r="A2006" s="1"/>
      <c r="B2006" s="48" t="s">
        <v>41</v>
      </c>
      <c r="C2006" s="81"/>
      <c r="D2006" s="82" t="b">
        <v>0</v>
      </c>
      <c r="E2006" s="51" t="s">
        <v>42</v>
      </c>
      <c r="F2006" s="52" t="s">
        <v>34</v>
      </c>
      <c r="G2006" s="83"/>
      <c r="H2006" s="84"/>
      <c r="I2006" s="85"/>
      <c r="J2006" s="72"/>
      <c r="K2006" s="73"/>
      <c r="L2006" s="72"/>
      <c r="M2006" s="73"/>
      <c r="N2006" s="72"/>
      <c r="O2006" s="73"/>
      <c r="P2006" s="72"/>
      <c r="Q2006" s="73"/>
      <c r="R2006" s="72"/>
      <c r="S2006" s="73"/>
      <c r="T2006" s="72"/>
      <c r="U2006" s="73"/>
      <c r="V2006" s="72"/>
      <c r="W2006" s="73"/>
      <c r="X2006" s="72"/>
      <c r="Y2006" s="73"/>
      <c r="Z2006" s="74" t="b">
        <v>0</v>
      </c>
      <c r="AA2006" s="130">
        <f t="shared" si="799"/>
        <v>0</v>
      </c>
      <c r="AB2006" s="131">
        <f t="shared" si="800"/>
        <v>0</v>
      </c>
      <c r="AC2006" s="132">
        <f t="shared" si="801"/>
        <v>0</v>
      </c>
      <c r="AD2006" s="133">
        <f t="shared" si="802"/>
        <v>0</v>
      </c>
      <c r="AE2006" s="131">
        <f t="shared" si="803"/>
        <v>0</v>
      </c>
      <c r="AF2006" s="133">
        <f t="shared" si="804"/>
        <v>0</v>
      </c>
      <c r="AG2006" s="1"/>
    </row>
    <row r="2007" ht="21.0" customHeight="1">
      <c r="A2007" s="1"/>
      <c r="B2007" s="48" t="s">
        <v>43</v>
      </c>
      <c r="C2007" s="49"/>
      <c r="D2007" s="86" t="b">
        <v>0</v>
      </c>
      <c r="E2007" s="66"/>
      <c r="F2007" s="52" t="s">
        <v>37</v>
      </c>
      <c r="G2007" s="67"/>
      <c r="H2007" s="80"/>
      <c r="I2007" s="69"/>
      <c r="J2007" s="72"/>
      <c r="K2007" s="73"/>
      <c r="L2007" s="72"/>
      <c r="M2007" s="73"/>
      <c r="N2007" s="72"/>
      <c r="O2007" s="73"/>
      <c r="P2007" s="72"/>
      <c r="Q2007" s="73"/>
      <c r="R2007" s="72"/>
      <c r="S2007" s="73"/>
      <c r="T2007" s="72"/>
      <c r="U2007" s="73"/>
      <c r="V2007" s="72"/>
      <c r="W2007" s="73"/>
      <c r="X2007" s="72"/>
      <c r="Y2007" s="73"/>
      <c r="Z2007" s="74" t="b">
        <v>0</v>
      </c>
      <c r="AA2007" s="130">
        <f t="shared" si="799"/>
        <v>0</v>
      </c>
      <c r="AB2007" s="131">
        <f t="shared" si="800"/>
        <v>0</v>
      </c>
      <c r="AC2007" s="132">
        <f t="shared" si="801"/>
        <v>0</v>
      </c>
      <c r="AD2007" s="133">
        <f t="shared" si="802"/>
        <v>0</v>
      </c>
      <c r="AE2007" s="131">
        <f t="shared" si="803"/>
        <v>0</v>
      </c>
      <c r="AF2007" s="133">
        <f t="shared" si="804"/>
        <v>0</v>
      </c>
      <c r="AG2007" s="1"/>
    </row>
    <row r="2008" ht="21.0" customHeight="1">
      <c r="A2008" s="1"/>
      <c r="B2008" s="87" t="str">
        <f t="array" ref="B2008">"📌최근 인바디 결과 : "&amp;text(xlookup(B2000,'현황'!O:O,'현황'!O:O,,-1,-1),"m/d(ddd)")</f>
        <v>#REF!</v>
      </c>
      <c r="C2008" s="88"/>
      <c r="D2008" s="49"/>
      <c r="E2008" s="41"/>
      <c r="F2008" s="52" t="s">
        <v>40</v>
      </c>
      <c r="G2008" s="79"/>
      <c r="H2008" s="80"/>
      <c r="I2008" s="69"/>
      <c r="J2008" s="72"/>
      <c r="K2008" s="73"/>
      <c r="L2008" s="72"/>
      <c r="M2008" s="73"/>
      <c r="N2008" s="72"/>
      <c r="O2008" s="73"/>
      <c r="P2008" s="72"/>
      <c r="Q2008" s="73"/>
      <c r="R2008" s="72"/>
      <c r="S2008" s="73"/>
      <c r="T2008" s="72"/>
      <c r="U2008" s="73"/>
      <c r="V2008" s="72"/>
      <c r="W2008" s="73"/>
      <c r="X2008" s="72"/>
      <c r="Y2008" s="73"/>
      <c r="Z2008" s="74" t="b">
        <v>0</v>
      </c>
      <c r="AA2008" s="130">
        <f t="shared" si="799"/>
        <v>0</v>
      </c>
      <c r="AB2008" s="131">
        <f t="shared" si="800"/>
        <v>0</v>
      </c>
      <c r="AC2008" s="132">
        <f t="shared" si="801"/>
        <v>0</v>
      </c>
      <c r="AD2008" s="133">
        <f t="shared" si="802"/>
        <v>0</v>
      </c>
      <c r="AE2008" s="131">
        <f t="shared" si="803"/>
        <v>0</v>
      </c>
      <c r="AF2008" s="133">
        <f t="shared" si="804"/>
        <v>0</v>
      </c>
      <c r="AG2008" s="1"/>
    </row>
    <row r="2009" ht="21.0" customHeight="1">
      <c r="A2009" s="1"/>
      <c r="B2009" s="89" t="s">
        <v>44</v>
      </c>
      <c r="C2009" s="49"/>
      <c r="D2009" s="90">
        <f t="array" ref="D2009">iferror(vlookup(xlookup(B2000,'현황'!O:O,'현황'!O:O,,-1,-1),'현황'!O:S,2,false),0)</f>
        <v>0</v>
      </c>
      <c r="E2009" s="51" t="s">
        <v>45</v>
      </c>
      <c r="F2009" s="52" t="s">
        <v>34</v>
      </c>
      <c r="G2009" s="83"/>
      <c r="H2009" s="84"/>
      <c r="I2009" s="85"/>
      <c r="J2009" s="72"/>
      <c r="K2009" s="73"/>
      <c r="L2009" s="72"/>
      <c r="M2009" s="73"/>
      <c r="N2009" s="72"/>
      <c r="O2009" s="73"/>
      <c r="P2009" s="72"/>
      <c r="Q2009" s="73"/>
      <c r="R2009" s="72"/>
      <c r="S2009" s="73"/>
      <c r="T2009" s="72"/>
      <c r="U2009" s="73"/>
      <c r="V2009" s="72"/>
      <c r="W2009" s="73"/>
      <c r="X2009" s="72"/>
      <c r="Y2009" s="73"/>
      <c r="Z2009" s="74" t="b">
        <v>0</v>
      </c>
      <c r="AA2009" s="130">
        <f t="shared" si="799"/>
        <v>0</v>
      </c>
      <c r="AB2009" s="131">
        <f t="shared" si="800"/>
        <v>0</v>
      </c>
      <c r="AC2009" s="132">
        <f t="shared" si="801"/>
        <v>0</v>
      </c>
      <c r="AD2009" s="133">
        <f t="shared" si="802"/>
        <v>0</v>
      </c>
      <c r="AE2009" s="131">
        <f t="shared" si="803"/>
        <v>0</v>
      </c>
      <c r="AF2009" s="133">
        <f t="shared" si="804"/>
        <v>0</v>
      </c>
      <c r="AG2009" s="1"/>
    </row>
    <row r="2010" ht="21.0" customHeight="1">
      <c r="A2010" s="1"/>
      <c r="B2010" s="48" t="s">
        <v>46</v>
      </c>
      <c r="C2010" s="49"/>
      <c r="D2010" s="91">
        <f t="array" ref="D2010">iferror(vlookup(xlookup(B2000,'현황'!O:O,'현황'!O:O,,-1,-1),'현황'!O:S,3,false),0)</f>
        <v>0</v>
      </c>
      <c r="E2010" s="66"/>
      <c r="F2010" s="52" t="s">
        <v>37</v>
      </c>
      <c r="G2010" s="67"/>
      <c r="H2010" s="80"/>
      <c r="I2010" s="69"/>
      <c r="J2010" s="72"/>
      <c r="K2010" s="73"/>
      <c r="L2010" s="72"/>
      <c r="M2010" s="73"/>
      <c r="N2010" s="72"/>
      <c r="O2010" s="73"/>
      <c r="P2010" s="72"/>
      <c r="Q2010" s="73"/>
      <c r="R2010" s="72"/>
      <c r="S2010" s="73"/>
      <c r="T2010" s="72"/>
      <c r="U2010" s="73"/>
      <c r="V2010" s="72"/>
      <c r="W2010" s="73"/>
      <c r="X2010" s="72"/>
      <c r="Y2010" s="73"/>
      <c r="Z2010" s="74" t="b">
        <v>0</v>
      </c>
      <c r="AA2010" s="130">
        <f t="shared" si="799"/>
        <v>0</v>
      </c>
      <c r="AB2010" s="131">
        <f t="shared" si="800"/>
        <v>0</v>
      </c>
      <c r="AC2010" s="132">
        <f t="shared" si="801"/>
        <v>0</v>
      </c>
      <c r="AD2010" s="133">
        <f t="shared" si="802"/>
        <v>0</v>
      </c>
      <c r="AE2010" s="131">
        <f t="shared" si="803"/>
        <v>0</v>
      </c>
      <c r="AF2010" s="133">
        <f t="shared" si="804"/>
        <v>0</v>
      </c>
      <c r="AG2010" s="1"/>
    </row>
    <row r="2011" ht="21.0" customHeight="1">
      <c r="A2011" s="1"/>
      <c r="B2011" s="48" t="s">
        <v>47</v>
      </c>
      <c r="C2011" s="49"/>
      <c r="D2011" s="91">
        <f t="array" ref="D2011">iferror(vlookup(xlookup(B2000,'현황'!O:O,'현황'!O:O,,-1,-1),'현황'!O:S,4,false),0)</f>
        <v>0</v>
      </c>
      <c r="E2011" s="41"/>
      <c r="F2011" s="92" t="s">
        <v>40</v>
      </c>
      <c r="G2011" s="79"/>
      <c r="H2011" s="93"/>
      <c r="I2011" s="94"/>
      <c r="J2011" s="95"/>
      <c r="K2011" s="96"/>
      <c r="L2011" s="95"/>
      <c r="M2011" s="96"/>
      <c r="N2011" s="95"/>
      <c r="O2011" s="96"/>
      <c r="P2011" s="95"/>
      <c r="Q2011" s="96"/>
      <c r="R2011" s="95"/>
      <c r="S2011" s="96"/>
      <c r="T2011" s="95"/>
      <c r="U2011" s="96"/>
      <c r="V2011" s="95"/>
      <c r="W2011" s="96"/>
      <c r="X2011" s="95"/>
      <c r="Y2011" s="96"/>
      <c r="Z2011" s="97" t="b">
        <v>0</v>
      </c>
      <c r="AA2011" s="135">
        <f t="shared" si="799"/>
        <v>0</v>
      </c>
      <c r="AB2011" s="136">
        <f t="shared" si="800"/>
        <v>0</v>
      </c>
      <c r="AC2011" s="137">
        <f t="shared" si="801"/>
        <v>0</v>
      </c>
      <c r="AD2011" s="138">
        <f t="shared" si="802"/>
        <v>0</v>
      </c>
      <c r="AE2011" s="136">
        <f t="shared" si="803"/>
        <v>0</v>
      </c>
      <c r="AF2011" s="138">
        <f t="shared" si="804"/>
        <v>0</v>
      </c>
      <c r="AG2011" s="1"/>
    </row>
    <row r="2012" ht="21.0" customHeight="1">
      <c r="A2012" s="1"/>
      <c r="B2012" s="102" t="s">
        <v>48</v>
      </c>
      <c r="C2012" s="103"/>
      <c r="D2012" s="104">
        <f>iferror(D2011/D2009,0)</f>
        <v>0</v>
      </c>
      <c r="E2012" s="102" t="s">
        <v>49</v>
      </c>
      <c r="F2012" s="103"/>
      <c r="G2012" s="105"/>
      <c r="H2012" s="106" t="s">
        <v>50</v>
      </c>
      <c r="I2012" s="107"/>
      <c r="J2012" s="11"/>
      <c r="K2012" s="11"/>
      <c r="L2012" s="11"/>
      <c r="M2012" s="11"/>
      <c r="N2012" s="11"/>
      <c r="O2012" s="11"/>
      <c r="P2012" s="108" t="s">
        <v>51</v>
      </c>
      <c r="Q2012" s="12"/>
      <c r="R2012" s="109"/>
      <c r="S2012" s="11"/>
      <c r="T2012" s="11"/>
      <c r="U2012" s="11"/>
      <c r="V2012" s="11"/>
      <c r="W2012" s="11"/>
      <c r="X2012" s="11"/>
      <c r="Y2012" s="11"/>
      <c r="Z2012" s="12"/>
      <c r="AA2012" s="139">
        <f>SUM(AA2003:AA2011)</f>
        <v>0</v>
      </c>
      <c r="AB2012" s="140" t="s">
        <v>365</v>
      </c>
      <c r="AG2012" s="1"/>
    </row>
    <row r="2013" ht="21.0" customHeight="1">
      <c r="A2013" s="1"/>
      <c r="B2013" s="1"/>
      <c r="C2013" s="1"/>
      <c r="D2013" s="1"/>
      <c r="E2013" s="1"/>
      <c r="F2013" s="1"/>
      <c r="G2013" s="1"/>
      <c r="H2013" s="1"/>
      <c r="I2013" s="1"/>
      <c r="AA2013" s="1"/>
      <c r="AB2013" s="1"/>
      <c r="AC2013" s="3"/>
      <c r="AD2013" s="1"/>
      <c r="AE2013" s="1"/>
      <c r="AF2013" s="1"/>
      <c r="AG2013" s="1"/>
    </row>
    <row r="2014" ht="21.0" customHeight="1">
      <c r="A2014" s="1"/>
      <c r="B2014" s="4" t="s">
        <v>1</v>
      </c>
      <c r="C2014" s="5"/>
      <c r="D2014" s="6" t="s">
        <v>2</v>
      </c>
      <c r="E2014" s="7"/>
      <c r="F2014" s="7"/>
      <c r="G2014" s="5"/>
      <c r="H2014" s="8" t="s">
        <v>3</v>
      </c>
      <c r="I2014" s="8" t="s">
        <v>4</v>
      </c>
      <c r="J2014" s="9" t="s">
        <v>5</v>
      </c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5"/>
      <c r="AA2014" s="117" t="s">
        <v>6</v>
      </c>
      <c r="AB2014" s="11"/>
      <c r="AC2014" s="11"/>
      <c r="AD2014" s="11"/>
      <c r="AE2014" s="11"/>
      <c r="AF2014" s="12"/>
      <c r="AG2014" s="1"/>
    </row>
    <row r="2015" ht="21.0" customHeight="1">
      <c r="A2015" s="1"/>
      <c r="B2015" s="149" t="s">
        <v>138</v>
      </c>
      <c r="C2015" s="14" t="str">
        <f>if(B2015="0/0","",choose(weekday(B2015),"(일)","(월)","(화)","(수)","(목)","(금)","(토)"))</f>
        <v/>
      </c>
      <c r="D2015" s="15" t="s">
        <v>7</v>
      </c>
      <c r="E2015" s="16" t="s">
        <v>8</v>
      </c>
      <c r="F2015" s="17"/>
      <c r="G2015" s="18" t="s">
        <v>9</v>
      </c>
      <c r="H2015" s="150" t="s">
        <v>139</v>
      </c>
      <c r="I2015" s="151"/>
      <c r="J2015" s="21" t="s">
        <v>12</v>
      </c>
      <c r="K2015" s="22"/>
      <c r="L2015" s="21" t="s">
        <v>13</v>
      </c>
      <c r="M2015" s="22"/>
      <c r="N2015" s="21" t="s">
        <v>14</v>
      </c>
      <c r="O2015" s="22"/>
      <c r="P2015" s="21" t="s">
        <v>15</v>
      </c>
      <c r="Q2015" s="22"/>
      <c r="R2015" s="23" t="s">
        <v>16</v>
      </c>
      <c r="S2015" s="22"/>
      <c r="T2015" s="23" t="s">
        <v>17</v>
      </c>
      <c r="U2015" s="22"/>
      <c r="V2015" s="23" t="s">
        <v>18</v>
      </c>
      <c r="W2015" s="22"/>
      <c r="X2015" s="23" t="s">
        <v>19</v>
      </c>
      <c r="Y2015" s="22"/>
      <c r="Z2015" s="24" t="s">
        <v>366</v>
      </c>
      <c r="AA2015" s="118" t="s">
        <v>21</v>
      </c>
      <c r="AB2015" s="119" t="s">
        <v>22</v>
      </c>
      <c r="AC2015" s="7"/>
      <c r="AD2015" s="22"/>
      <c r="AE2015" s="120" t="s">
        <v>23</v>
      </c>
      <c r="AF2015" s="22"/>
      <c r="AG2015" s="1"/>
    </row>
    <row r="2016" ht="21.0" customHeight="1">
      <c r="A2016" s="1"/>
      <c r="B2016" s="27">
        <f>iferror(B2015-'현황'!$C$4+1,0)</f>
        <v>0</v>
      </c>
      <c r="C2016" s="28"/>
      <c r="D2016" s="29">
        <v>0.0</v>
      </c>
      <c r="E2016" s="30">
        <v>0.0</v>
      </c>
      <c r="F2016" s="31"/>
      <c r="G2016" s="32">
        <v>0.0</v>
      </c>
      <c r="H2016" s="33">
        <v>0.0</v>
      </c>
      <c r="I2016" s="34"/>
      <c r="J2016" s="35"/>
      <c r="K2016" s="36"/>
      <c r="L2016" s="35"/>
      <c r="M2016" s="36"/>
      <c r="N2016" s="35"/>
      <c r="O2016" s="36"/>
      <c r="P2016" s="35"/>
      <c r="Q2016" s="36"/>
      <c r="R2016" s="35"/>
      <c r="S2016" s="36"/>
      <c r="T2016" s="35"/>
      <c r="U2016" s="36"/>
      <c r="V2016" s="35"/>
      <c r="W2016" s="36"/>
      <c r="X2016" s="35"/>
      <c r="Y2016" s="36"/>
      <c r="Z2016" s="37"/>
      <c r="AA2016" s="37"/>
      <c r="AB2016" s="35"/>
      <c r="AC2016" s="38"/>
      <c r="AD2016" s="36"/>
      <c r="AE2016" s="35"/>
      <c r="AF2016" s="36"/>
      <c r="AG2016" s="1"/>
    </row>
    <row r="2017" ht="21.0" customHeight="1">
      <c r="A2017" s="1"/>
      <c r="B2017" s="39" t="s">
        <v>24</v>
      </c>
      <c r="C2017" s="40"/>
      <c r="D2017" s="41"/>
      <c r="E2017" s="42" t="s">
        <v>25</v>
      </c>
      <c r="F2017" s="40"/>
      <c r="G2017" s="41"/>
      <c r="H2017" s="43" t="s">
        <v>26</v>
      </c>
      <c r="J2017" s="44" t="s">
        <v>27</v>
      </c>
      <c r="K2017" s="45" t="s">
        <v>28</v>
      </c>
      <c r="L2017" s="44" t="s">
        <v>27</v>
      </c>
      <c r="M2017" s="45" t="s">
        <v>28</v>
      </c>
      <c r="N2017" s="44" t="s">
        <v>27</v>
      </c>
      <c r="O2017" s="45" t="s">
        <v>28</v>
      </c>
      <c r="P2017" s="44" t="s">
        <v>27</v>
      </c>
      <c r="Q2017" s="45" t="s">
        <v>28</v>
      </c>
      <c r="R2017" s="44" t="s">
        <v>27</v>
      </c>
      <c r="S2017" s="45" t="s">
        <v>28</v>
      </c>
      <c r="T2017" s="44" t="s">
        <v>27</v>
      </c>
      <c r="U2017" s="45" t="s">
        <v>28</v>
      </c>
      <c r="V2017" s="44" t="s">
        <v>27</v>
      </c>
      <c r="W2017" s="45" t="s">
        <v>28</v>
      </c>
      <c r="X2017" s="44" t="s">
        <v>27</v>
      </c>
      <c r="Y2017" s="45" t="s">
        <v>28</v>
      </c>
      <c r="Z2017" s="46"/>
      <c r="AA2017" s="46"/>
      <c r="AB2017" s="121" t="s">
        <v>29</v>
      </c>
      <c r="AC2017" s="122" t="s">
        <v>30</v>
      </c>
      <c r="AD2017" s="123" t="s">
        <v>31</v>
      </c>
      <c r="AE2017" s="121" t="s">
        <v>27</v>
      </c>
      <c r="AF2017" s="123" t="s">
        <v>28</v>
      </c>
      <c r="AG2017" s="1"/>
    </row>
    <row r="2018" ht="21.0" customHeight="1">
      <c r="A2018" s="1"/>
      <c r="B2018" s="48" t="s">
        <v>32</v>
      </c>
      <c r="C2018" s="49"/>
      <c r="D2018" s="50"/>
      <c r="E2018" s="51" t="s">
        <v>33</v>
      </c>
      <c r="F2018" s="52" t="s">
        <v>34</v>
      </c>
      <c r="G2018" s="53"/>
      <c r="H2018" s="148"/>
      <c r="I2018" s="55"/>
      <c r="J2018" s="58"/>
      <c r="K2018" s="59"/>
      <c r="L2018" s="58"/>
      <c r="M2018" s="59"/>
      <c r="N2018" s="58"/>
      <c r="O2018" s="59"/>
      <c r="P2018" s="58"/>
      <c r="Q2018" s="59"/>
      <c r="R2018" s="58"/>
      <c r="S2018" s="59"/>
      <c r="T2018" s="58"/>
      <c r="U2018" s="59"/>
      <c r="V2018" s="58"/>
      <c r="W2018" s="59"/>
      <c r="X2018" s="58"/>
      <c r="Y2018" s="59"/>
      <c r="Z2018" s="60" t="b">
        <v>0</v>
      </c>
      <c r="AA2018" s="125">
        <f t="shared" ref="AA2018:AA2026" si="805">(J2018*K2018+L2018*M2018+N2018*O2018+P2018*Q2018+R2018*S2018+T2018*U2018+V2018*W2018+X2018*Y2018)*if(Z2018=true,0.453592,1)</f>
        <v>0</v>
      </c>
      <c r="AB2018" s="126">
        <f t="shared" ref="AB2018:AB2026" si="806">SUM(AE2018*AF2018*0.025,AE2018)</f>
        <v>0</v>
      </c>
      <c r="AC2018" s="127">
        <f t="shared" ref="AC2018:AC2026" si="807">AB2018*87%</f>
        <v>0</v>
      </c>
      <c r="AD2018" s="128">
        <f t="shared" ref="AD2018:AD2026" si="808">AB2018*67%</f>
        <v>0</v>
      </c>
      <c r="AE2018" s="126">
        <f t="shared" ref="AE2018:AE2026" si="809">MAX(J2018,L2018,N2018,P2018,R2018,T2018,V2018,X2018)*if(Z2018=true,0.453592,1)</f>
        <v>0</v>
      </c>
      <c r="AF2018" s="128">
        <f t="shared" ref="AF2018:AF2026" si="810">MAX(IF(J2018*if(Z2018=true,0.453592,1)=$AE2018,K2018,0),IF(L2018*if(Z2018=true,0.453592,1)=$AE2018,M2018,0),IF(N2018*if(Z2018=true,0.453592,1)=$AE2018,O2018,0),IF(P2018*if(Z2018=true,0.453592,1)=$AE2018,Q2018,0),IF(R2018*if(Z2018=true,0.453592,1)=$AE2018,S2018,0),IF(T2018*if(Z2018=true,0.453592,1)=$AE2018,U2018,0),IF(V2018*if(Z2018=true,0.453592,1)=$AE2018,W2018,0),IF(X2018*if(Z2018=true,0.453592,1)=$AE2018,Y2018,0))</f>
        <v>0</v>
      </c>
      <c r="AG2018" s="1"/>
    </row>
    <row r="2019" ht="21.0" customHeight="1">
      <c r="A2019" s="1"/>
      <c r="B2019" s="48" t="s">
        <v>36</v>
      </c>
      <c r="C2019" s="49"/>
      <c r="D2019" s="65"/>
      <c r="E2019" s="66"/>
      <c r="F2019" s="52" t="s">
        <v>37</v>
      </c>
      <c r="G2019" s="67"/>
      <c r="H2019" s="129"/>
      <c r="I2019" s="69"/>
      <c r="J2019" s="72"/>
      <c r="K2019" s="73"/>
      <c r="L2019" s="72"/>
      <c r="M2019" s="73"/>
      <c r="N2019" s="72"/>
      <c r="O2019" s="73"/>
      <c r="P2019" s="72"/>
      <c r="Q2019" s="73"/>
      <c r="R2019" s="72"/>
      <c r="S2019" s="73"/>
      <c r="T2019" s="72"/>
      <c r="U2019" s="73"/>
      <c r="V2019" s="72"/>
      <c r="W2019" s="73"/>
      <c r="X2019" s="72"/>
      <c r="Y2019" s="73"/>
      <c r="Z2019" s="74" t="b">
        <v>0</v>
      </c>
      <c r="AA2019" s="130">
        <f t="shared" si="805"/>
        <v>0</v>
      </c>
      <c r="AB2019" s="131">
        <f t="shared" si="806"/>
        <v>0</v>
      </c>
      <c r="AC2019" s="132">
        <f t="shared" si="807"/>
        <v>0</v>
      </c>
      <c r="AD2019" s="133">
        <f t="shared" si="808"/>
        <v>0</v>
      </c>
      <c r="AE2019" s="131">
        <f t="shared" si="809"/>
        <v>0</v>
      </c>
      <c r="AF2019" s="133">
        <f t="shared" si="810"/>
        <v>0</v>
      </c>
      <c r="AG2019" s="1"/>
    </row>
    <row r="2020" ht="21.0" customHeight="1">
      <c r="A2020" s="1"/>
      <c r="B2020" s="48" t="s">
        <v>39</v>
      </c>
      <c r="C2020" s="49"/>
      <c r="D2020" s="65"/>
      <c r="E2020" s="41"/>
      <c r="F2020" s="52" t="s">
        <v>40</v>
      </c>
      <c r="G2020" s="79"/>
      <c r="H2020" s="80"/>
      <c r="I2020" s="69"/>
      <c r="J2020" s="72"/>
      <c r="K2020" s="73"/>
      <c r="L2020" s="72"/>
      <c r="M2020" s="73"/>
      <c r="N2020" s="72"/>
      <c r="O2020" s="73"/>
      <c r="P2020" s="72"/>
      <c r="Q2020" s="73"/>
      <c r="R2020" s="72"/>
      <c r="S2020" s="73"/>
      <c r="T2020" s="72"/>
      <c r="U2020" s="73"/>
      <c r="V2020" s="72"/>
      <c r="W2020" s="73"/>
      <c r="X2020" s="72"/>
      <c r="Y2020" s="73"/>
      <c r="Z2020" s="74" t="b">
        <v>0</v>
      </c>
      <c r="AA2020" s="130">
        <f t="shared" si="805"/>
        <v>0</v>
      </c>
      <c r="AB2020" s="131">
        <f t="shared" si="806"/>
        <v>0</v>
      </c>
      <c r="AC2020" s="132">
        <f t="shared" si="807"/>
        <v>0</v>
      </c>
      <c r="AD2020" s="133">
        <f t="shared" si="808"/>
        <v>0</v>
      </c>
      <c r="AE2020" s="131">
        <f t="shared" si="809"/>
        <v>0</v>
      </c>
      <c r="AF2020" s="133">
        <f t="shared" si="810"/>
        <v>0</v>
      </c>
      <c r="AG2020" s="1"/>
    </row>
    <row r="2021" ht="21.0" customHeight="1">
      <c r="A2021" s="1"/>
      <c r="B2021" s="48" t="s">
        <v>41</v>
      </c>
      <c r="C2021" s="81"/>
      <c r="D2021" s="82" t="b">
        <v>0</v>
      </c>
      <c r="E2021" s="51" t="s">
        <v>42</v>
      </c>
      <c r="F2021" s="52" t="s">
        <v>34</v>
      </c>
      <c r="G2021" s="83"/>
      <c r="H2021" s="84"/>
      <c r="I2021" s="85"/>
      <c r="J2021" s="72"/>
      <c r="K2021" s="73"/>
      <c r="L2021" s="72"/>
      <c r="M2021" s="73"/>
      <c r="N2021" s="72"/>
      <c r="O2021" s="73"/>
      <c r="P2021" s="72"/>
      <c r="Q2021" s="73"/>
      <c r="R2021" s="72"/>
      <c r="S2021" s="73"/>
      <c r="T2021" s="72"/>
      <c r="U2021" s="73"/>
      <c r="V2021" s="72"/>
      <c r="W2021" s="73"/>
      <c r="X2021" s="72"/>
      <c r="Y2021" s="73"/>
      <c r="Z2021" s="74" t="b">
        <v>0</v>
      </c>
      <c r="AA2021" s="130">
        <f t="shared" si="805"/>
        <v>0</v>
      </c>
      <c r="AB2021" s="131">
        <f t="shared" si="806"/>
        <v>0</v>
      </c>
      <c r="AC2021" s="132">
        <f t="shared" si="807"/>
        <v>0</v>
      </c>
      <c r="AD2021" s="133">
        <f t="shared" si="808"/>
        <v>0</v>
      </c>
      <c r="AE2021" s="131">
        <f t="shared" si="809"/>
        <v>0</v>
      </c>
      <c r="AF2021" s="133">
        <f t="shared" si="810"/>
        <v>0</v>
      </c>
      <c r="AG2021" s="1"/>
    </row>
    <row r="2022" ht="21.0" customHeight="1">
      <c r="A2022" s="1"/>
      <c r="B2022" s="48" t="s">
        <v>43</v>
      </c>
      <c r="C2022" s="49"/>
      <c r="D2022" s="86" t="b">
        <v>0</v>
      </c>
      <c r="E2022" s="66"/>
      <c r="F2022" s="52" t="s">
        <v>37</v>
      </c>
      <c r="G2022" s="67"/>
      <c r="H2022" s="80"/>
      <c r="I2022" s="69"/>
      <c r="J2022" s="72"/>
      <c r="K2022" s="73"/>
      <c r="L2022" s="72"/>
      <c r="M2022" s="73"/>
      <c r="N2022" s="72"/>
      <c r="O2022" s="73"/>
      <c r="P2022" s="72"/>
      <c r="Q2022" s="73"/>
      <c r="R2022" s="72"/>
      <c r="S2022" s="73"/>
      <c r="T2022" s="72"/>
      <c r="U2022" s="73"/>
      <c r="V2022" s="72"/>
      <c r="W2022" s="73"/>
      <c r="X2022" s="72"/>
      <c r="Y2022" s="73"/>
      <c r="Z2022" s="74" t="b">
        <v>0</v>
      </c>
      <c r="AA2022" s="130">
        <f t="shared" si="805"/>
        <v>0</v>
      </c>
      <c r="AB2022" s="131">
        <f t="shared" si="806"/>
        <v>0</v>
      </c>
      <c r="AC2022" s="132">
        <f t="shared" si="807"/>
        <v>0</v>
      </c>
      <c r="AD2022" s="133">
        <f t="shared" si="808"/>
        <v>0</v>
      </c>
      <c r="AE2022" s="131">
        <f t="shared" si="809"/>
        <v>0</v>
      </c>
      <c r="AF2022" s="133">
        <f t="shared" si="810"/>
        <v>0</v>
      </c>
      <c r="AG2022" s="1"/>
    </row>
    <row r="2023" ht="21.0" customHeight="1">
      <c r="A2023" s="1"/>
      <c r="B2023" s="87" t="str">
        <f t="array" ref="B2023">"📌최근 인바디 결과 : "&amp;text(xlookup(B2015,'현황'!O:O,'현황'!O:O,,-1,-1),"m/d(ddd)")</f>
        <v>#REF!</v>
      </c>
      <c r="C2023" s="88"/>
      <c r="D2023" s="49"/>
      <c r="E2023" s="41"/>
      <c r="F2023" s="52" t="s">
        <v>40</v>
      </c>
      <c r="G2023" s="79"/>
      <c r="H2023" s="80"/>
      <c r="I2023" s="69"/>
      <c r="J2023" s="72"/>
      <c r="K2023" s="73"/>
      <c r="L2023" s="72"/>
      <c r="M2023" s="73"/>
      <c r="N2023" s="72"/>
      <c r="O2023" s="73"/>
      <c r="P2023" s="72"/>
      <c r="Q2023" s="73"/>
      <c r="R2023" s="72"/>
      <c r="S2023" s="73"/>
      <c r="T2023" s="72"/>
      <c r="U2023" s="73"/>
      <c r="V2023" s="72"/>
      <c r="W2023" s="73"/>
      <c r="X2023" s="72"/>
      <c r="Y2023" s="73"/>
      <c r="Z2023" s="74" t="b">
        <v>0</v>
      </c>
      <c r="AA2023" s="130">
        <f t="shared" si="805"/>
        <v>0</v>
      </c>
      <c r="AB2023" s="131">
        <f t="shared" si="806"/>
        <v>0</v>
      </c>
      <c r="AC2023" s="132">
        <f t="shared" si="807"/>
        <v>0</v>
      </c>
      <c r="AD2023" s="133">
        <f t="shared" si="808"/>
        <v>0</v>
      </c>
      <c r="AE2023" s="131">
        <f t="shared" si="809"/>
        <v>0</v>
      </c>
      <c r="AF2023" s="133">
        <f t="shared" si="810"/>
        <v>0</v>
      </c>
      <c r="AG2023" s="1"/>
    </row>
    <row r="2024" ht="21.0" customHeight="1">
      <c r="A2024" s="1"/>
      <c r="B2024" s="89" t="s">
        <v>44</v>
      </c>
      <c r="C2024" s="49"/>
      <c r="D2024" s="90">
        <f t="array" ref="D2024">iferror(vlookup(xlookup(B2015,'현황'!O:O,'현황'!O:O,,-1,-1),'현황'!O:S,2,false),0)</f>
        <v>0</v>
      </c>
      <c r="E2024" s="51" t="s">
        <v>45</v>
      </c>
      <c r="F2024" s="52" t="s">
        <v>34</v>
      </c>
      <c r="G2024" s="83"/>
      <c r="H2024" s="84"/>
      <c r="I2024" s="85"/>
      <c r="J2024" s="72"/>
      <c r="K2024" s="73"/>
      <c r="L2024" s="72"/>
      <c r="M2024" s="73"/>
      <c r="N2024" s="72"/>
      <c r="O2024" s="73"/>
      <c r="P2024" s="72"/>
      <c r="Q2024" s="73"/>
      <c r="R2024" s="72"/>
      <c r="S2024" s="73"/>
      <c r="T2024" s="72"/>
      <c r="U2024" s="73"/>
      <c r="V2024" s="72"/>
      <c r="W2024" s="73"/>
      <c r="X2024" s="72"/>
      <c r="Y2024" s="73"/>
      <c r="Z2024" s="74" t="b">
        <v>0</v>
      </c>
      <c r="AA2024" s="130">
        <f t="shared" si="805"/>
        <v>0</v>
      </c>
      <c r="AB2024" s="131">
        <f t="shared" si="806"/>
        <v>0</v>
      </c>
      <c r="AC2024" s="132">
        <f t="shared" si="807"/>
        <v>0</v>
      </c>
      <c r="AD2024" s="133">
        <f t="shared" si="808"/>
        <v>0</v>
      </c>
      <c r="AE2024" s="131">
        <f t="shared" si="809"/>
        <v>0</v>
      </c>
      <c r="AF2024" s="133">
        <f t="shared" si="810"/>
        <v>0</v>
      </c>
      <c r="AG2024" s="1"/>
    </row>
    <row r="2025" ht="21.0" customHeight="1">
      <c r="A2025" s="1"/>
      <c r="B2025" s="48" t="s">
        <v>46</v>
      </c>
      <c r="C2025" s="49"/>
      <c r="D2025" s="91">
        <f t="array" ref="D2025">iferror(vlookup(xlookup(B2015,'현황'!O:O,'현황'!O:O,,-1,-1),'현황'!O:S,3,false),0)</f>
        <v>0</v>
      </c>
      <c r="E2025" s="66"/>
      <c r="F2025" s="52" t="s">
        <v>37</v>
      </c>
      <c r="G2025" s="67"/>
      <c r="H2025" s="80"/>
      <c r="I2025" s="69"/>
      <c r="J2025" s="72"/>
      <c r="K2025" s="73"/>
      <c r="L2025" s="72"/>
      <c r="M2025" s="73"/>
      <c r="N2025" s="72"/>
      <c r="O2025" s="73"/>
      <c r="P2025" s="72"/>
      <c r="Q2025" s="73"/>
      <c r="R2025" s="72"/>
      <c r="S2025" s="73"/>
      <c r="T2025" s="72"/>
      <c r="U2025" s="73"/>
      <c r="V2025" s="72"/>
      <c r="W2025" s="73"/>
      <c r="X2025" s="72"/>
      <c r="Y2025" s="73"/>
      <c r="Z2025" s="74" t="b">
        <v>0</v>
      </c>
      <c r="AA2025" s="130">
        <f t="shared" si="805"/>
        <v>0</v>
      </c>
      <c r="AB2025" s="131">
        <f t="shared" si="806"/>
        <v>0</v>
      </c>
      <c r="AC2025" s="132">
        <f t="shared" si="807"/>
        <v>0</v>
      </c>
      <c r="AD2025" s="133">
        <f t="shared" si="808"/>
        <v>0</v>
      </c>
      <c r="AE2025" s="131">
        <f t="shared" si="809"/>
        <v>0</v>
      </c>
      <c r="AF2025" s="133">
        <f t="shared" si="810"/>
        <v>0</v>
      </c>
      <c r="AG2025" s="1"/>
    </row>
    <row r="2026" ht="21.0" customHeight="1">
      <c r="A2026" s="1"/>
      <c r="B2026" s="48" t="s">
        <v>47</v>
      </c>
      <c r="C2026" s="49"/>
      <c r="D2026" s="91">
        <f t="array" ref="D2026">iferror(vlookup(xlookup(B2015,'현황'!O:O,'현황'!O:O,,-1,-1),'현황'!O:S,4,false),0)</f>
        <v>0</v>
      </c>
      <c r="E2026" s="41"/>
      <c r="F2026" s="92" t="s">
        <v>40</v>
      </c>
      <c r="G2026" s="79"/>
      <c r="H2026" s="93"/>
      <c r="I2026" s="94"/>
      <c r="J2026" s="95"/>
      <c r="K2026" s="96"/>
      <c r="L2026" s="95"/>
      <c r="M2026" s="96"/>
      <c r="N2026" s="95"/>
      <c r="O2026" s="96"/>
      <c r="P2026" s="95"/>
      <c r="Q2026" s="96"/>
      <c r="R2026" s="95"/>
      <c r="S2026" s="96"/>
      <c r="T2026" s="95"/>
      <c r="U2026" s="96"/>
      <c r="V2026" s="95"/>
      <c r="W2026" s="96"/>
      <c r="X2026" s="95"/>
      <c r="Y2026" s="96"/>
      <c r="Z2026" s="97" t="b">
        <v>0</v>
      </c>
      <c r="AA2026" s="135">
        <f t="shared" si="805"/>
        <v>0</v>
      </c>
      <c r="AB2026" s="136">
        <f t="shared" si="806"/>
        <v>0</v>
      </c>
      <c r="AC2026" s="137">
        <f t="shared" si="807"/>
        <v>0</v>
      </c>
      <c r="AD2026" s="138">
        <f t="shared" si="808"/>
        <v>0</v>
      </c>
      <c r="AE2026" s="136">
        <f t="shared" si="809"/>
        <v>0</v>
      </c>
      <c r="AF2026" s="138">
        <f t="shared" si="810"/>
        <v>0</v>
      </c>
      <c r="AG2026" s="1"/>
    </row>
    <row r="2027" ht="21.0" customHeight="1">
      <c r="A2027" s="1"/>
      <c r="B2027" s="102" t="s">
        <v>48</v>
      </c>
      <c r="C2027" s="103"/>
      <c r="D2027" s="104">
        <f>iferror(D2026/D2024,0)</f>
        <v>0</v>
      </c>
      <c r="E2027" s="102" t="s">
        <v>49</v>
      </c>
      <c r="F2027" s="103"/>
      <c r="G2027" s="105"/>
      <c r="H2027" s="106" t="s">
        <v>50</v>
      </c>
      <c r="I2027" s="107"/>
      <c r="J2027" s="11"/>
      <c r="K2027" s="11"/>
      <c r="L2027" s="11"/>
      <c r="M2027" s="11"/>
      <c r="N2027" s="11"/>
      <c r="O2027" s="11"/>
      <c r="P2027" s="108" t="s">
        <v>51</v>
      </c>
      <c r="Q2027" s="12"/>
      <c r="R2027" s="109"/>
      <c r="S2027" s="11"/>
      <c r="T2027" s="11"/>
      <c r="U2027" s="11"/>
      <c r="V2027" s="11"/>
      <c r="W2027" s="11"/>
      <c r="X2027" s="11"/>
      <c r="Y2027" s="11"/>
      <c r="Z2027" s="12"/>
      <c r="AA2027" s="139">
        <f>SUM(AA2018:AA2026)</f>
        <v>0</v>
      </c>
      <c r="AB2027" s="140" t="s">
        <v>367</v>
      </c>
      <c r="AG2027" s="1"/>
    </row>
    <row r="2028" ht="21.0" customHeight="1">
      <c r="A2028" s="1"/>
      <c r="B2028" s="1"/>
      <c r="C2028" s="1"/>
      <c r="D2028" s="1"/>
      <c r="E2028" s="1"/>
      <c r="F2028" s="1"/>
      <c r="G2028" s="1"/>
      <c r="H2028" s="1"/>
      <c r="I2028" s="1"/>
      <c r="AA2028" s="1"/>
      <c r="AB2028" s="1"/>
      <c r="AC2028" s="3"/>
      <c r="AD2028" s="1"/>
      <c r="AE2028" s="1"/>
      <c r="AF2028" s="1"/>
      <c r="AG2028" s="1"/>
    </row>
    <row r="2029" ht="21.0" customHeight="1">
      <c r="A2029" s="1"/>
      <c r="B2029" s="4" t="s">
        <v>1</v>
      </c>
      <c r="C2029" s="5"/>
      <c r="D2029" s="6" t="s">
        <v>2</v>
      </c>
      <c r="E2029" s="7"/>
      <c r="F2029" s="7"/>
      <c r="G2029" s="5"/>
      <c r="H2029" s="8" t="s">
        <v>3</v>
      </c>
      <c r="I2029" s="8" t="s">
        <v>4</v>
      </c>
      <c r="J2029" s="9" t="s">
        <v>5</v>
      </c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5"/>
      <c r="AA2029" s="117" t="s">
        <v>6</v>
      </c>
      <c r="AB2029" s="11"/>
      <c r="AC2029" s="11"/>
      <c r="AD2029" s="11"/>
      <c r="AE2029" s="11"/>
      <c r="AF2029" s="12"/>
      <c r="AG2029" s="1"/>
    </row>
    <row r="2030" ht="21.0" customHeight="1">
      <c r="A2030" s="1"/>
      <c r="B2030" s="149" t="s">
        <v>138</v>
      </c>
      <c r="C2030" s="14" t="str">
        <f>if(B2030="0/0","",choose(weekday(B2030),"(일)","(월)","(화)","(수)","(목)","(금)","(토)"))</f>
        <v/>
      </c>
      <c r="D2030" s="15" t="s">
        <v>7</v>
      </c>
      <c r="E2030" s="16" t="s">
        <v>8</v>
      </c>
      <c r="F2030" s="17"/>
      <c r="G2030" s="18" t="s">
        <v>9</v>
      </c>
      <c r="H2030" s="150" t="s">
        <v>139</v>
      </c>
      <c r="I2030" s="151"/>
      <c r="J2030" s="21" t="s">
        <v>12</v>
      </c>
      <c r="K2030" s="22"/>
      <c r="L2030" s="21" t="s">
        <v>13</v>
      </c>
      <c r="M2030" s="22"/>
      <c r="N2030" s="21" t="s">
        <v>14</v>
      </c>
      <c r="O2030" s="22"/>
      <c r="P2030" s="21" t="s">
        <v>15</v>
      </c>
      <c r="Q2030" s="22"/>
      <c r="R2030" s="23" t="s">
        <v>16</v>
      </c>
      <c r="S2030" s="22"/>
      <c r="T2030" s="23" t="s">
        <v>17</v>
      </c>
      <c r="U2030" s="22"/>
      <c r="V2030" s="23" t="s">
        <v>18</v>
      </c>
      <c r="W2030" s="22"/>
      <c r="X2030" s="23" t="s">
        <v>19</v>
      </c>
      <c r="Y2030" s="22"/>
      <c r="Z2030" s="24" t="s">
        <v>368</v>
      </c>
      <c r="AA2030" s="118" t="s">
        <v>21</v>
      </c>
      <c r="AB2030" s="119" t="s">
        <v>22</v>
      </c>
      <c r="AC2030" s="7"/>
      <c r="AD2030" s="22"/>
      <c r="AE2030" s="120" t="s">
        <v>23</v>
      </c>
      <c r="AF2030" s="22"/>
      <c r="AG2030" s="1"/>
    </row>
    <row r="2031" ht="21.0" customHeight="1">
      <c r="A2031" s="1"/>
      <c r="B2031" s="27">
        <f>iferror(B2030-'현황'!$C$4+1,0)</f>
        <v>0</v>
      </c>
      <c r="C2031" s="28"/>
      <c r="D2031" s="29">
        <v>0.0</v>
      </c>
      <c r="E2031" s="30">
        <v>0.0</v>
      </c>
      <c r="F2031" s="31"/>
      <c r="G2031" s="32">
        <v>0.0</v>
      </c>
      <c r="H2031" s="33">
        <v>0.0</v>
      </c>
      <c r="I2031" s="34"/>
      <c r="J2031" s="35"/>
      <c r="K2031" s="36"/>
      <c r="L2031" s="35"/>
      <c r="M2031" s="36"/>
      <c r="N2031" s="35"/>
      <c r="O2031" s="36"/>
      <c r="P2031" s="35"/>
      <c r="Q2031" s="36"/>
      <c r="R2031" s="35"/>
      <c r="S2031" s="36"/>
      <c r="T2031" s="35"/>
      <c r="U2031" s="36"/>
      <c r="V2031" s="35"/>
      <c r="W2031" s="36"/>
      <c r="X2031" s="35"/>
      <c r="Y2031" s="36"/>
      <c r="Z2031" s="37"/>
      <c r="AA2031" s="37"/>
      <c r="AB2031" s="35"/>
      <c r="AC2031" s="38"/>
      <c r="AD2031" s="36"/>
      <c r="AE2031" s="35"/>
      <c r="AF2031" s="36"/>
      <c r="AG2031" s="1"/>
    </row>
    <row r="2032" ht="21.0" customHeight="1">
      <c r="A2032" s="1"/>
      <c r="B2032" s="39" t="s">
        <v>24</v>
      </c>
      <c r="C2032" s="40"/>
      <c r="D2032" s="41"/>
      <c r="E2032" s="42" t="s">
        <v>25</v>
      </c>
      <c r="F2032" s="40"/>
      <c r="G2032" s="41"/>
      <c r="H2032" s="43" t="s">
        <v>26</v>
      </c>
      <c r="J2032" s="44" t="s">
        <v>27</v>
      </c>
      <c r="K2032" s="45" t="s">
        <v>28</v>
      </c>
      <c r="L2032" s="44" t="s">
        <v>27</v>
      </c>
      <c r="M2032" s="45" t="s">
        <v>28</v>
      </c>
      <c r="N2032" s="44" t="s">
        <v>27</v>
      </c>
      <c r="O2032" s="45" t="s">
        <v>28</v>
      </c>
      <c r="P2032" s="44" t="s">
        <v>27</v>
      </c>
      <c r="Q2032" s="45" t="s">
        <v>28</v>
      </c>
      <c r="R2032" s="44" t="s">
        <v>27</v>
      </c>
      <c r="S2032" s="45" t="s">
        <v>28</v>
      </c>
      <c r="T2032" s="44" t="s">
        <v>27</v>
      </c>
      <c r="U2032" s="45" t="s">
        <v>28</v>
      </c>
      <c r="V2032" s="44" t="s">
        <v>27</v>
      </c>
      <c r="W2032" s="45" t="s">
        <v>28</v>
      </c>
      <c r="X2032" s="44" t="s">
        <v>27</v>
      </c>
      <c r="Y2032" s="45" t="s">
        <v>28</v>
      </c>
      <c r="Z2032" s="46"/>
      <c r="AA2032" s="46"/>
      <c r="AB2032" s="121" t="s">
        <v>29</v>
      </c>
      <c r="AC2032" s="122" t="s">
        <v>30</v>
      </c>
      <c r="AD2032" s="123" t="s">
        <v>31</v>
      </c>
      <c r="AE2032" s="121" t="s">
        <v>27</v>
      </c>
      <c r="AF2032" s="123" t="s">
        <v>28</v>
      </c>
      <c r="AG2032" s="1"/>
    </row>
    <row r="2033" ht="21.0" customHeight="1">
      <c r="A2033" s="1"/>
      <c r="B2033" s="48" t="s">
        <v>32</v>
      </c>
      <c r="C2033" s="49"/>
      <c r="D2033" s="50"/>
      <c r="E2033" s="51" t="s">
        <v>33</v>
      </c>
      <c r="F2033" s="52" t="s">
        <v>34</v>
      </c>
      <c r="G2033" s="53"/>
      <c r="H2033" s="148"/>
      <c r="I2033" s="55"/>
      <c r="J2033" s="58"/>
      <c r="K2033" s="59"/>
      <c r="L2033" s="58"/>
      <c r="M2033" s="59"/>
      <c r="N2033" s="58"/>
      <c r="O2033" s="59"/>
      <c r="P2033" s="58"/>
      <c r="Q2033" s="59"/>
      <c r="R2033" s="58"/>
      <c r="S2033" s="59"/>
      <c r="T2033" s="58"/>
      <c r="U2033" s="59"/>
      <c r="V2033" s="58"/>
      <c r="W2033" s="59"/>
      <c r="X2033" s="58"/>
      <c r="Y2033" s="59"/>
      <c r="Z2033" s="60" t="b">
        <v>0</v>
      </c>
      <c r="AA2033" s="125">
        <f t="shared" ref="AA2033:AA2041" si="811">(J2033*K2033+L2033*M2033+N2033*O2033+P2033*Q2033+R2033*S2033+T2033*U2033+V2033*W2033+X2033*Y2033)*if(Z2033=true,0.453592,1)</f>
        <v>0</v>
      </c>
      <c r="AB2033" s="126">
        <f t="shared" ref="AB2033:AB2041" si="812">SUM(AE2033*AF2033*0.025,AE2033)</f>
        <v>0</v>
      </c>
      <c r="AC2033" s="127">
        <f t="shared" ref="AC2033:AC2041" si="813">AB2033*87%</f>
        <v>0</v>
      </c>
      <c r="AD2033" s="128">
        <f t="shared" ref="AD2033:AD2041" si="814">AB2033*67%</f>
        <v>0</v>
      </c>
      <c r="AE2033" s="126">
        <f t="shared" ref="AE2033:AE2041" si="815">MAX(J2033,L2033,N2033,P2033,R2033,T2033,V2033,X2033)*if(Z2033=true,0.453592,1)</f>
        <v>0</v>
      </c>
      <c r="AF2033" s="128">
        <f t="shared" ref="AF2033:AF2041" si="816">MAX(IF(J2033*if(Z2033=true,0.453592,1)=$AE2033,K2033,0),IF(L2033*if(Z2033=true,0.453592,1)=$AE2033,M2033,0),IF(N2033*if(Z2033=true,0.453592,1)=$AE2033,O2033,0),IF(P2033*if(Z2033=true,0.453592,1)=$AE2033,Q2033,0),IF(R2033*if(Z2033=true,0.453592,1)=$AE2033,S2033,0),IF(T2033*if(Z2033=true,0.453592,1)=$AE2033,U2033,0),IF(V2033*if(Z2033=true,0.453592,1)=$AE2033,W2033,0),IF(X2033*if(Z2033=true,0.453592,1)=$AE2033,Y2033,0))</f>
        <v>0</v>
      </c>
      <c r="AG2033" s="1"/>
    </row>
    <row r="2034" ht="21.0" customHeight="1">
      <c r="A2034" s="1"/>
      <c r="B2034" s="48" t="s">
        <v>36</v>
      </c>
      <c r="C2034" s="49"/>
      <c r="D2034" s="65"/>
      <c r="E2034" s="66"/>
      <c r="F2034" s="52" t="s">
        <v>37</v>
      </c>
      <c r="G2034" s="67"/>
      <c r="H2034" s="129"/>
      <c r="I2034" s="69"/>
      <c r="J2034" s="72"/>
      <c r="K2034" s="73"/>
      <c r="L2034" s="72"/>
      <c r="M2034" s="73"/>
      <c r="N2034" s="72"/>
      <c r="O2034" s="73"/>
      <c r="P2034" s="72"/>
      <c r="Q2034" s="73"/>
      <c r="R2034" s="72"/>
      <c r="S2034" s="73"/>
      <c r="T2034" s="72"/>
      <c r="U2034" s="73"/>
      <c r="V2034" s="72"/>
      <c r="W2034" s="73"/>
      <c r="X2034" s="72"/>
      <c r="Y2034" s="73"/>
      <c r="Z2034" s="74" t="b">
        <v>0</v>
      </c>
      <c r="AA2034" s="130">
        <f t="shared" si="811"/>
        <v>0</v>
      </c>
      <c r="AB2034" s="131">
        <f t="shared" si="812"/>
        <v>0</v>
      </c>
      <c r="AC2034" s="132">
        <f t="shared" si="813"/>
        <v>0</v>
      </c>
      <c r="AD2034" s="133">
        <f t="shared" si="814"/>
        <v>0</v>
      </c>
      <c r="AE2034" s="131">
        <f t="shared" si="815"/>
        <v>0</v>
      </c>
      <c r="AF2034" s="133">
        <f t="shared" si="816"/>
        <v>0</v>
      </c>
      <c r="AG2034" s="1"/>
    </row>
    <row r="2035" ht="21.0" customHeight="1">
      <c r="A2035" s="1"/>
      <c r="B2035" s="48" t="s">
        <v>39</v>
      </c>
      <c r="C2035" s="49"/>
      <c r="D2035" s="65"/>
      <c r="E2035" s="41"/>
      <c r="F2035" s="52" t="s">
        <v>40</v>
      </c>
      <c r="G2035" s="79"/>
      <c r="H2035" s="80"/>
      <c r="I2035" s="69"/>
      <c r="J2035" s="72"/>
      <c r="K2035" s="73"/>
      <c r="L2035" s="72"/>
      <c r="M2035" s="73"/>
      <c r="N2035" s="72"/>
      <c r="O2035" s="73"/>
      <c r="P2035" s="72"/>
      <c r="Q2035" s="73"/>
      <c r="R2035" s="72"/>
      <c r="S2035" s="73"/>
      <c r="T2035" s="72"/>
      <c r="U2035" s="73"/>
      <c r="V2035" s="72"/>
      <c r="W2035" s="73"/>
      <c r="X2035" s="72"/>
      <c r="Y2035" s="73"/>
      <c r="Z2035" s="74" t="b">
        <v>0</v>
      </c>
      <c r="AA2035" s="130">
        <f t="shared" si="811"/>
        <v>0</v>
      </c>
      <c r="AB2035" s="131">
        <f t="shared" si="812"/>
        <v>0</v>
      </c>
      <c r="AC2035" s="132">
        <f t="shared" si="813"/>
        <v>0</v>
      </c>
      <c r="AD2035" s="133">
        <f t="shared" si="814"/>
        <v>0</v>
      </c>
      <c r="AE2035" s="131">
        <f t="shared" si="815"/>
        <v>0</v>
      </c>
      <c r="AF2035" s="133">
        <f t="shared" si="816"/>
        <v>0</v>
      </c>
      <c r="AG2035" s="1"/>
    </row>
    <row r="2036" ht="21.0" customHeight="1">
      <c r="A2036" s="1"/>
      <c r="B2036" s="48" t="s">
        <v>41</v>
      </c>
      <c r="C2036" s="81"/>
      <c r="D2036" s="82" t="b">
        <v>0</v>
      </c>
      <c r="E2036" s="51" t="s">
        <v>42</v>
      </c>
      <c r="F2036" s="52" t="s">
        <v>34</v>
      </c>
      <c r="G2036" s="83"/>
      <c r="H2036" s="84"/>
      <c r="I2036" s="85"/>
      <c r="J2036" s="72"/>
      <c r="K2036" s="73"/>
      <c r="L2036" s="72"/>
      <c r="M2036" s="73"/>
      <c r="N2036" s="72"/>
      <c r="O2036" s="73"/>
      <c r="P2036" s="72"/>
      <c r="Q2036" s="73"/>
      <c r="R2036" s="72"/>
      <c r="S2036" s="73"/>
      <c r="T2036" s="72"/>
      <c r="U2036" s="73"/>
      <c r="V2036" s="72"/>
      <c r="W2036" s="73"/>
      <c r="X2036" s="72"/>
      <c r="Y2036" s="73"/>
      <c r="Z2036" s="74" t="b">
        <v>0</v>
      </c>
      <c r="AA2036" s="130">
        <f t="shared" si="811"/>
        <v>0</v>
      </c>
      <c r="AB2036" s="131">
        <f t="shared" si="812"/>
        <v>0</v>
      </c>
      <c r="AC2036" s="132">
        <f t="shared" si="813"/>
        <v>0</v>
      </c>
      <c r="AD2036" s="133">
        <f t="shared" si="814"/>
        <v>0</v>
      </c>
      <c r="AE2036" s="131">
        <f t="shared" si="815"/>
        <v>0</v>
      </c>
      <c r="AF2036" s="133">
        <f t="shared" si="816"/>
        <v>0</v>
      </c>
      <c r="AG2036" s="1"/>
    </row>
    <row r="2037" ht="21.0" customHeight="1">
      <c r="A2037" s="1"/>
      <c r="B2037" s="48" t="s">
        <v>43</v>
      </c>
      <c r="C2037" s="49"/>
      <c r="D2037" s="86" t="b">
        <v>0</v>
      </c>
      <c r="E2037" s="66"/>
      <c r="F2037" s="52" t="s">
        <v>37</v>
      </c>
      <c r="G2037" s="67"/>
      <c r="H2037" s="80"/>
      <c r="I2037" s="69"/>
      <c r="J2037" s="72"/>
      <c r="K2037" s="73"/>
      <c r="L2037" s="72"/>
      <c r="M2037" s="73"/>
      <c r="N2037" s="72"/>
      <c r="O2037" s="73"/>
      <c r="P2037" s="72"/>
      <c r="Q2037" s="73"/>
      <c r="R2037" s="72"/>
      <c r="S2037" s="73"/>
      <c r="T2037" s="72"/>
      <c r="U2037" s="73"/>
      <c r="V2037" s="72"/>
      <c r="W2037" s="73"/>
      <c r="X2037" s="72"/>
      <c r="Y2037" s="73"/>
      <c r="Z2037" s="74" t="b">
        <v>0</v>
      </c>
      <c r="AA2037" s="130">
        <f t="shared" si="811"/>
        <v>0</v>
      </c>
      <c r="AB2037" s="131">
        <f t="shared" si="812"/>
        <v>0</v>
      </c>
      <c r="AC2037" s="132">
        <f t="shared" si="813"/>
        <v>0</v>
      </c>
      <c r="AD2037" s="133">
        <f t="shared" si="814"/>
        <v>0</v>
      </c>
      <c r="AE2037" s="131">
        <f t="shared" si="815"/>
        <v>0</v>
      </c>
      <c r="AF2037" s="133">
        <f t="shared" si="816"/>
        <v>0</v>
      </c>
      <c r="AG2037" s="1"/>
    </row>
    <row r="2038" ht="21.0" customHeight="1">
      <c r="A2038" s="1"/>
      <c r="B2038" s="87" t="str">
        <f t="array" ref="B2038">"📌최근 인바디 결과 : "&amp;text(xlookup(B2030,'현황'!O:O,'현황'!O:O,,-1,-1),"m/d(ddd)")</f>
        <v>#REF!</v>
      </c>
      <c r="C2038" s="88"/>
      <c r="D2038" s="49"/>
      <c r="E2038" s="41"/>
      <c r="F2038" s="52" t="s">
        <v>40</v>
      </c>
      <c r="G2038" s="79"/>
      <c r="H2038" s="80"/>
      <c r="I2038" s="69"/>
      <c r="J2038" s="72"/>
      <c r="K2038" s="73"/>
      <c r="L2038" s="72"/>
      <c r="M2038" s="73"/>
      <c r="N2038" s="72"/>
      <c r="O2038" s="73"/>
      <c r="P2038" s="72"/>
      <c r="Q2038" s="73"/>
      <c r="R2038" s="72"/>
      <c r="S2038" s="73"/>
      <c r="T2038" s="72"/>
      <c r="U2038" s="73"/>
      <c r="V2038" s="72"/>
      <c r="W2038" s="73"/>
      <c r="X2038" s="72"/>
      <c r="Y2038" s="73"/>
      <c r="Z2038" s="74" t="b">
        <v>0</v>
      </c>
      <c r="AA2038" s="130">
        <f t="shared" si="811"/>
        <v>0</v>
      </c>
      <c r="AB2038" s="131">
        <f t="shared" si="812"/>
        <v>0</v>
      </c>
      <c r="AC2038" s="132">
        <f t="shared" si="813"/>
        <v>0</v>
      </c>
      <c r="AD2038" s="133">
        <f t="shared" si="814"/>
        <v>0</v>
      </c>
      <c r="AE2038" s="131">
        <f t="shared" si="815"/>
        <v>0</v>
      </c>
      <c r="AF2038" s="133">
        <f t="shared" si="816"/>
        <v>0</v>
      </c>
      <c r="AG2038" s="1"/>
    </row>
    <row r="2039" ht="21.0" customHeight="1">
      <c r="A2039" s="1"/>
      <c r="B2039" s="89" t="s">
        <v>44</v>
      </c>
      <c r="C2039" s="49"/>
      <c r="D2039" s="90">
        <f t="array" ref="D2039">iferror(vlookup(xlookup(B2030,'현황'!O:O,'현황'!O:O,,-1,-1),'현황'!O:S,2,false),0)</f>
        <v>0</v>
      </c>
      <c r="E2039" s="51" t="s">
        <v>45</v>
      </c>
      <c r="F2039" s="52" t="s">
        <v>34</v>
      </c>
      <c r="G2039" s="83"/>
      <c r="H2039" s="84"/>
      <c r="I2039" s="85"/>
      <c r="J2039" s="72"/>
      <c r="K2039" s="73"/>
      <c r="L2039" s="72"/>
      <c r="M2039" s="73"/>
      <c r="N2039" s="72"/>
      <c r="O2039" s="73"/>
      <c r="P2039" s="72"/>
      <c r="Q2039" s="73"/>
      <c r="R2039" s="72"/>
      <c r="S2039" s="73"/>
      <c r="T2039" s="72"/>
      <c r="U2039" s="73"/>
      <c r="V2039" s="72"/>
      <c r="W2039" s="73"/>
      <c r="X2039" s="72"/>
      <c r="Y2039" s="73"/>
      <c r="Z2039" s="74" t="b">
        <v>0</v>
      </c>
      <c r="AA2039" s="130">
        <f t="shared" si="811"/>
        <v>0</v>
      </c>
      <c r="AB2039" s="131">
        <f t="shared" si="812"/>
        <v>0</v>
      </c>
      <c r="AC2039" s="132">
        <f t="shared" si="813"/>
        <v>0</v>
      </c>
      <c r="AD2039" s="133">
        <f t="shared" si="814"/>
        <v>0</v>
      </c>
      <c r="AE2039" s="131">
        <f t="shared" si="815"/>
        <v>0</v>
      </c>
      <c r="AF2039" s="133">
        <f t="shared" si="816"/>
        <v>0</v>
      </c>
      <c r="AG2039" s="1"/>
    </row>
    <row r="2040" ht="21.0" customHeight="1">
      <c r="A2040" s="1"/>
      <c r="B2040" s="48" t="s">
        <v>46</v>
      </c>
      <c r="C2040" s="49"/>
      <c r="D2040" s="91">
        <f t="array" ref="D2040">iferror(vlookup(xlookup(B2030,'현황'!O:O,'현황'!O:O,,-1,-1),'현황'!O:S,3,false),0)</f>
        <v>0</v>
      </c>
      <c r="E2040" s="66"/>
      <c r="F2040" s="52" t="s">
        <v>37</v>
      </c>
      <c r="G2040" s="67"/>
      <c r="H2040" s="80"/>
      <c r="I2040" s="69"/>
      <c r="J2040" s="72"/>
      <c r="K2040" s="73"/>
      <c r="L2040" s="72"/>
      <c r="M2040" s="73"/>
      <c r="N2040" s="72"/>
      <c r="O2040" s="73"/>
      <c r="P2040" s="72"/>
      <c r="Q2040" s="73"/>
      <c r="R2040" s="72"/>
      <c r="S2040" s="73"/>
      <c r="T2040" s="72"/>
      <c r="U2040" s="73"/>
      <c r="V2040" s="72"/>
      <c r="W2040" s="73"/>
      <c r="X2040" s="72"/>
      <c r="Y2040" s="73"/>
      <c r="Z2040" s="74" t="b">
        <v>0</v>
      </c>
      <c r="AA2040" s="130">
        <f t="shared" si="811"/>
        <v>0</v>
      </c>
      <c r="AB2040" s="131">
        <f t="shared" si="812"/>
        <v>0</v>
      </c>
      <c r="AC2040" s="132">
        <f t="shared" si="813"/>
        <v>0</v>
      </c>
      <c r="AD2040" s="133">
        <f t="shared" si="814"/>
        <v>0</v>
      </c>
      <c r="AE2040" s="131">
        <f t="shared" si="815"/>
        <v>0</v>
      </c>
      <c r="AF2040" s="133">
        <f t="shared" si="816"/>
        <v>0</v>
      </c>
      <c r="AG2040" s="1"/>
    </row>
    <row r="2041" ht="21.0" customHeight="1">
      <c r="A2041" s="1"/>
      <c r="B2041" s="48" t="s">
        <v>47</v>
      </c>
      <c r="C2041" s="49"/>
      <c r="D2041" s="91">
        <f t="array" ref="D2041">iferror(vlookup(xlookup(B2030,'현황'!O:O,'현황'!O:O,,-1,-1),'현황'!O:S,4,false),0)</f>
        <v>0</v>
      </c>
      <c r="E2041" s="41"/>
      <c r="F2041" s="92" t="s">
        <v>40</v>
      </c>
      <c r="G2041" s="79"/>
      <c r="H2041" s="93"/>
      <c r="I2041" s="94"/>
      <c r="J2041" s="95"/>
      <c r="K2041" s="96"/>
      <c r="L2041" s="95"/>
      <c r="M2041" s="96"/>
      <c r="N2041" s="95"/>
      <c r="O2041" s="96"/>
      <c r="P2041" s="95"/>
      <c r="Q2041" s="96"/>
      <c r="R2041" s="95"/>
      <c r="S2041" s="96"/>
      <c r="T2041" s="95"/>
      <c r="U2041" s="96"/>
      <c r="V2041" s="95"/>
      <c r="W2041" s="96"/>
      <c r="X2041" s="95"/>
      <c r="Y2041" s="96"/>
      <c r="Z2041" s="97" t="b">
        <v>0</v>
      </c>
      <c r="AA2041" s="135">
        <f t="shared" si="811"/>
        <v>0</v>
      </c>
      <c r="AB2041" s="136">
        <f t="shared" si="812"/>
        <v>0</v>
      </c>
      <c r="AC2041" s="137">
        <f t="shared" si="813"/>
        <v>0</v>
      </c>
      <c r="AD2041" s="138">
        <f t="shared" si="814"/>
        <v>0</v>
      </c>
      <c r="AE2041" s="136">
        <f t="shared" si="815"/>
        <v>0</v>
      </c>
      <c r="AF2041" s="138">
        <f t="shared" si="816"/>
        <v>0</v>
      </c>
      <c r="AG2041" s="1"/>
    </row>
    <row r="2042" ht="21.0" customHeight="1">
      <c r="A2042" s="1"/>
      <c r="B2042" s="102" t="s">
        <v>48</v>
      </c>
      <c r="C2042" s="103"/>
      <c r="D2042" s="104">
        <f>iferror(D2041/D2039,0)</f>
        <v>0</v>
      </c>
      <c r="E2042" s="102" t="s">
        <v>49</v>
      </c>
      <c r="F2042" s="103"/>
      <c r="G2042" s="105"/>
      <c r="H2042" s="143" t="s">
        <v>50</v>
      </c>
      <c r="I2042" s="144"/>
      <c r="J2042" s="11"/>
      <c r="K2042" s="11"/>
      <c r="L2042" s="11"/>
      <c r="M2042" s="11"/>
      <c r="N2042" s="11"/>
      <c r="O2042" s="11"/>
      <c r="P2042" s="145" t="s">
        <v>51</v>
      </c>
      <c r="Q2042" s="12"/>
      <c r="R2042" s="146"/>
      <c r="S2042" s="11"/>
      <c r="T2042" s="11"/>
      <c r="U2042" s="11"/>
      <c r="V2042" s="11"/>
      <c r="W2042" s="11"/>
      <c r="X2042" s="11"/>
      <c r="Y2042" s="11"/>
      <c r="Z2042" s="12"/>
      <c r="AA2042" s="139">
        <f>SUM(AA2033:AA2041)</f>
        <v>0</v>
      </c>
      <c r="AB2042" s="140" t="s">
        <v>369</v>
      </c>
      <c r="AG2042" s="1"/>
    </row>
    <row r="2043" ht="21.0" customHeight="1">
      <c r="A2043" s="1"/>
      <c r="B2043" s="1"/>
      <c r="C2043" s="1"/>
      <c r="D2043" s="1"/>
      <c r="E2043" s="1"/>
      <c r="F2043" s="1"/>
      <c r="G2043" s="1"/>
      <c r="H2043" s="1"/>
      <c r="I2043" s="1"/>
      <c r="AA2043" s="1"/>
      <c r="AB2043" s="1"/>
      <c r="AC2043" s="3"/>
      <c r="AD2043" s="1"/>
      <c r="AE2043" s="1"/>
      <c r="AF2043" s="1"/>
      <c r="AG2043" s="1"/>
    </row>
    <row r="2044" ht="21.0" customHeight="1">
      <c r="A2044" s="1"/>
      <c r="B2044" s="4" t="s">
        <v>1</v>
      </c>
      <c r="C2044" s="5"/>
      <c r="D2044" s="6" t="s">
        <v>2</v>
      </c>
      <c r="E2044" s="7"/>
      <c r="F2044" s="7"/>
      <c r="G2044" s="5"/>
      <c r="H2044" s="8" t="s">
        <v>3</v>
      </c>
      <c r="I2044" s="8" t="s">
        <v>4</v>
      </c>
      <c r="J2044" s="9" t="s">
        <v>5</v>
      </c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5"/>
      <c r="AA2044" s="117" t="s">
        <v>6</v>
      </c>
      <c r="AB2044" s="11"/>
      <c r="AC2044" s="11"/>
      <c r="AD2044" s="11"/>
      <c r="AE2044" s="11"/>
      <c r="AF2044" s="12"/>
      <c r="AG2044" s="1"/>
    </row>
    <row r="2045" ht="21.0" customHeight="1">
      <c r="A2045" s="1"/>
      <c r="B2045" s="149" t="s">
        <v>138</v>
      </c>
      <c r="C2045" s="14" t="str">
        <f>if(B2045="0/0","",choose(weekday(B2045),"(일)","(월)","(화)","(수)","(목)","(금)","(토)"))</f>
        <v/>
      </c>
      <c r="D2045" s="15" t="s">
        <v>7</v>
      </c>
      <c r="E2045" s="16" t="s">
        <v>8</v>
      </c>
      <c r="F2045" s="17"/>
      <c r="G2045" s="18" t="s">
        <v>9</v>
      </c>
      <c r="H2045" s="150" t="s">
        <v>139</v>
      </c>
      <c r="I2045" s="151"/>
      <c r="J2045" s="21" t="s">
        <v>12</v>
      </c>
      <c r="K2045" s="22"/>
      <c r="L2045" s="21" t="s">
        <v>13</v>
      </c>
      <c r="M2045" s="22"/>
      <c r="N2045" s="21" t="s">
        <v>14</v>
      </c>
      <c r="O2045" s="22"/>
      <c r="P2045" s="21" t="s">
        <v>15</v>
      </c>
      <c r="Q2045" s="22"/>
      <c r="R2045" s="23" t="s">
        <v>16</v>
      </c>
      <c r="S2045" s="22"/>
      <c r="T2045" s="23" t="s">
        <v>17</v>
      </c>
      <c r="U2045" s="22"/>
      <c r="V2045" s="23" t="s">
        <v>18</v>
      </c>
      <c r="W2045" s="22"/>
      <c r="X2045" s="23" t="s">
        <v>19</v>
      </c>
      <c r="Y2045" s="22"/>
      <c r="Z2045" s="24" t="s">
        <v>370</v>
      </c>
      <c r="AA2045" s="118" t="s">
        <v>21</v>
      </c>
      <c r="AB2045" s="119" t="s">
        <v>22</v>
      </c>
      <c r="AC2045" s="7"/>
      <c r="AD2045" s="22"/>
      <c r="AE2045" s="120" t="s">
        <v>23</v>
      </c>
      <c r="AF2045" s="22"/>
      <c r="AG2045" s="1"/>
    </row>
    <row r="2046" ht="21.0" customHeight="1">
      <c r="A2046" s="1"/>
      <c r="B2046" s="27">
        <f>iferror(B2045-'현황'!$C$4+1,0)</f>
        <v>0</v>
      </c>
      <c r="C2046" s="28"/>
      <c r="D2046" s="29">
        <v>0.0</v>
      </c>
      <c r="E2046" s="30">
        <v>0.0</v>
      </c>
      <c r="F2046" s="31"/>
      <c r="G2046" s="32">
        <v>0.0</v>
      </c>
      <c r="H2046" s="33">
        <v>0.0</v>
      </c>
      <c r="I2046" s="34"/>
      <c r="J2046" s="35"/>
      <c r="K2046" s="36"/>
      <c r="L2046" s="35"/>
      <c r="M2046" s="36"/>
      <c r="N2046" s="35"/>
      <c r="O2046" s="36"/>
      <c r="P2046" s="35"/>
      <c r="Q2046" s="36"/>
      <c r="R2046" s="35"/>
      <c r="S2046" s="36"/>
      <c r="T2046" s="35"/>
      <c r="U2046" s="36"/>
      <c r="V2046" s="35"/>
      <c r="W2046" s="36"/>
      <c r="X2046" s="35"/>
      <c r="Y2046" s="36"/>
      <c r="Z2046" s="37"/>
      <c r="AA2046" s="37"/>
      <c r="AB2046" s="35"/>
      <c r="AC2046" s="38"/>
      <c r="AD2046" s="36"/>
      <c r="AE2046" s="35"/>
      <c r="AF2046" s="36"/>
      <c r="AG2046" s="1"/>
    </row>
    <row r="2047" ht="21.0" customHeight="1">
      <c r="A2047" s="1"/>
      <c r="B2047" s="39" t="s">
        <v>24</v>
      </c>
      <c r="C2047" s="40"/>
      <c r="D2047" s="41"/>
      <c r="E2047" s="42" t="s">
        <v>25</v>
      </c>
      <c r="F2047" s="40"/>
      <c r="G2047" s="41"/>
      <c r="H2047" s="43" t="s">
        <v>26</v>
      </c>
      <c r="J2047" s="44" t="s">
        <v>27</v>
      </c>
      <c r="K2047" s="45" t="s">
        <v>28</v>
      </c>
      <c r="L2047" s="44" t="s">
        <v>27</v>
      </c>
      <c r="M2047" s="45" t="s">
        <v>28</v>
      </c>
      <c r="N2047" s="44" t="s">
        <v>27</v>
      </c>
      <c r="O2047" s="45" t="s">
        <v>28</v>
      </c>
      <c r="P2047" s="44" t="s">
        <v>27</v>
      </c>
      <c r="Q2047" s="45" t="s">
        <v>28</v>
      </c>
      <c r="R2047" s="44" t="s">
        <v>27</v>
      </c>
      <c r="S2047" s="45" t="s">
        <v>28</v>
      </c>
      <c r="T2047" s="44" t="s">
        <v>27</v>
      </c>
      <c r="U2047" s="45" t="s">
        <v>28</v>
      </c>
      <c r="V2047" s="44" t="s">
        <v>27</v>
      </c>
      <c r="W2047" s="45" t="s">
        <v>28</v>
      </c>
      <c r="X2047" s="44" t="s">
        <v>27</v>
      </c>
      <c r="Y2047" s="45" t="s">
        <v>28</v>
      </c>
      <c r="Z2047" s="46"/>
      <c r="AA2047" s="46"/>
      <c r="AB2047" s="121" t="s">
        <v>29</v>
      </c>
      <c r="AC2047" s="122" t="s">
        <v>30</v>
      </c>
      <c r="AD2047" s="123" t="s">
        <v>31</v>
      </c>
      <c r="AE2047" s="121" t="s">
        <v>27</v>
      </c>
      <c r="AF2047" s="123" t="s">
        <v>28</v>
      </c>
      <c r="AG2047" s="1"/>
    </row>
    <row r="2048" ht="21.0" customHeight="1">
      <c r="A2048" s="1"/>
      <c r="B2048" s="48" t="s">
        <v>32</v>
      </c>
      <c r="C2048" s="49"/>
      <c r="D2048" s="50"/>
      <c r="E2048" s="51" t="s">
        <v>33</v>
      </c>
      <c r="F2048" s="52" t="s">
        <v>34</v>
      </c>
      <c r="G2048" s="53"/>
      <c r="H2048" s="148"/>
      <c r="I2048" s="55"/>
      <c r="J2048" s="58"/>
      <c r="K2048" s="59"/>
      <c r="L2048" s="58"/>
      <c r="M2048" s="59"/>
      <c r="N2048" s="58"/>
      <c r="O2048" s="59"/>
      <c r="P2048" s="58"/>
      <c r="Q2048" s="59"/>
      <c r="R2048" s="58"/>
      <c r="S2048" s="59"/>
      <c r="T2048" s="58"/>
      <c r="U2048" s="59"/>
      <c r="V2048" s="58"/>
      <c r="W2048" s="59"/>
      <c r="X2048" s="58"/>
      <c r="Y2048" s="59"/>
      <c r="Z2048" s="60" t="b">
        <v>0</v>
      </c>
      <c r="AA2048" s="125">
        <f t="shared" ref="AA2048:AA2056" si="817">(J2048*K2048+L2048*M2048+N2048*O2048+P2048*Q2048+R2048*S2048+T2048*U2048+V2048*W2048+X2048*Y2048)*if(Z2048=true,0.453592,1)</f>
        <v>0</v>
      </c>
      <c r="AB2048" s="126">
        <f t="shared" ref="AB2048:AB2056" si="818">SUM(AE2048*AF2048*0.025,AE2048)</f>
        <v>0</v>
      </c>
      <c r="AC2048" s="127">
        <f t="shared" ref="AC2048:AC2056" si="819">AB2048*87%</f>
        <v>0</v>
      </c>
      <c r="AD2048" s="128">
        <f t="shared" ref="AD2048:AD2056" si="820">AB2048*67%</f>
        <v>0</v>
      </c>
      <c r="AE2048" s="126">
        <f t="shared" ref="AE2048:AE2056" si="821">MAX(J2048,L2048,N2048,P2048,R2048,T2048,V2048,X2048)*if(Z2048=true,0.453592,1)</f>
        <v>0</v>
      </c>
      <c r="AF2048" s="128">
        <f t="shared" ref="AF2048:AF2056" si="822">MAX(IF(J2048*if(Z2048=true,0.453592,1)=$AE2048,K2048,0),IF(L2048*if(Z2048=true,0.453592,1)=$AE2048,M2048,0),IF(N2048*if(Z2048=true,0.453592,1)=$AE2048,O2048,0),IF(P2048*if(Z2048=true,0.453592,1)=$AE2048,Q2048,0),IF(R2048*if(Z2048=true,0.453592,1)=$AE2048,S2048,0),IF(T2048*if(Z2048=true,0.453592,1)=$AE2048,U2048,0),IF(V2048*if(Z2048=true,0.453592,1)=$AE2048,W2048,0),IF(X2048*if(Z2048=true,0.453592,1)=$AE2048,Y2048,0))</f>
        <v>0</v>
      </c>
      <c r="AG2048" s="1"/>
    </row>
    <row r="2049" ht="21.0" customHeight="1">
      <c r="A2049" s="1"/>
      <c r="B2049" s="48" t="s">
        <v>36</v>
      </c>
      <c r="C2049" s="49"/>
      <c r="D2049" s="65"/>
      <c r="E2049" s="66"/>
      <c r="F2049" s="52" t="s">
        <v>37</v>
      </c>
      <c r="G2049" s="67"/>
      <c r="H2049" s="129"/>
      <c r="I2049" s="69"/>
      <c r="J2049" s="72"/>
      <c r="K2049" s="73"/>
      <c r="L2049" s="72"/>
      <c r="M2049" s="73"/>
      <c r="N2049" s="72"/>
      <c r="O2049" s="73"/>
      <c r="P2049" s="72"/>
      <c r="Q2049" s="73"/>
      <c r="R2049" s="72"/>
      <c r="S2049" s="73"/>
      <c r="T2049" s="72"/>
      <c r="U2049" s="73"/>
      <c r="V2049" s="72"/>
      <c r="W2049" s="73"/>
      <c r="X2049" s="72"/>
      <c r="Y2049" s="73"/>
      <c r="Z2049" s="74" t="b">
        <v>0</v>
      </c>
      <c r="AA2049" s="130">
        <f t="shared" si="817"/>
        <v>0</v>
      </c>
      <c r="AB2049" s="131">
        <f t="shared" si="818"/>
        <v>0</v>
      </c>
      <c r="AC2049" s="132">
        <f t="shared" si="819"/>
        <v>0</v>
      </c>
      <c r="AD2049" s="133">
        <f t="shared" si="820"/>
        <v>0</v>
      </c>
      <c r="AE2049" s="131">
        <f t="shared" si="821"/>
        <v>0</v>
      </c>
      <c r="AF2049" s="133">
        <f t="shared" si="822"/>
        <v>0</v>
      </c>
      <c r="AG2049" s="1"/>
    </row>
    <row r="2050" ht="21.0" customHeight="1">
      <c r="A2050" s="1"/>
      <c r="B2050" s="48" t="s">
        <v>39</v>
      </c>
      <c r="C2050" s="49"/>
      <c r="D2050" s="65"/>
      <c r="E2050" s="41"/>
      <c r="F2050" s="52" t="s">
        <v>40</v>
      </c>
      <c r="G2050" s="79"/>
      <c r="H2050" s="80"/>
      <c r="I2050" s="69"/>
      <c r="J2050" s="72"/>
      <c r="K2050" s="73"/>
      <c r="L2050" s="72"/>
      <c r="M2050" s="73"/>
      <c r="N2050" s="72"/>
      <c r="O2050" s="73"/>
      <c r="P2050" s="72"/>
      <c r="Q2050" s="73"/>
      <c r="R2050" s="72"/>
      <c r="S2050" s="73"/>
      <c r="T2050" s="72"/>
      <c r="U2050" s="73"/>
      <c r="V2050" s="72"/>
      <c r="W2050" s="73"/>
      <c r="X2050" s="72"/>
      <c r="Y2050" s="73"/>
      <c r="Z2050" s="74" t="b">
        <v>0</v>
      </c>
      <c r="AA2050" s="130">
        <f t="shared" si="817"/>
        <v>0</v>
      </c>
      <c r="AB2050" s="131">
        <f t="shared" si="818"/>
        <v>0</v>
      </c>
      <c r="AC2050" s="132">
        <f t="shared" si="819"/>
        <v>0</v>
      </c>
      <c r="AD2050" s="133">
        <f t="shared" si="820"/>
        <v>0</v>
      </c>
      <c r="AE2050" s="131">
        <f t="shared" si="821"/>
        <v>0</v>
      </c>
      <c r="AF2050" s="133">
        <f t="shared" si="822"/>
        <v>0</v>
      </c>
      <c r="AG2050" s="1"/>
    </row>
    <row r="2051" ht="21.0" customHeight="1">
      <c r="A2051" s="1"/>
      <c r="B2051" s="48" t="s">
        <v>41</v>
      </c>
      <c r="C2051" s="81"/>
      <c r="D2051" s="82" t="b">
        <v>0</v>
      </c>
      <c r="E2051" s="51" t="s">
        <v>42</v>
      </c>
      <c r="F2051" s="52" t="s">
        <v>34</v>
      </c>
      <c r="G2051" s="83"/>
      <c r="H2051" s="84"/>
      <c r="I2051" s="85"/>
      <c r="J2051" s="72"/>
      <c r="K2051" s="73"/>
      <c r="L2051" s="72"/>
      <c r="M2051" s="73"/>
      <c r="N2051" s="72"/>
      <c r="O2051" s="73"/>
      <c r="P2051" s="72"/>
      <c r="Q2051" s="73"/>
      <c r="R2051" s="72"/>
      <c r="S2051" s="73"/>
      <c r="T2051" s="72"/>
      <c r="U2051" s="73"/>
      <c r="V2051" s="72"/>
      <c r="W2051" s="73"/>
      <c r="X2051" s="72"/>
      <c r="Y2051" s="73"/>
      <c r="Z2051" s="74" t="b">
        <v>0</v>
      </c>
      <c r="AA2051" s="130">
        <f t="shared" si="817"/>
        <v>0</v>
      </c>
      <c r="AB2051" s="131">
        <f t="shared" si="818"/>
        <v>0</v>
      </c>
      <c r="AC2051" s="132">
        <f t="shared" si="819"/>
        <v>0</v>
      </c>
      <c r="AD2051" s="133">
        <f t="shared" si="820"/>
        <v>0</v>
      </c>
      <c r="AE2051" s="131">
        <f t="shared" si="821"/>
        <v>0</v>
      </c>
      <c r="AF2051" s="133">
        <f t="shared" si="822"/>
        <v>0</v>
      </c>
      <c r="AG2051" s="1"/>
    </row>
    <row r="2052" ht="21.0" customHeight="1">
      <c r="A2052" s="1"/>
      <c r="B2052" s="48" t="s">
        <v>43</v>
      </c>
      <c r="C2052" s="49"/>
      <c r="D2052" s="86" t="b">
        <v>0</v>
      </c>
      <c r="E2052" s="66"/>
      <c r="F2052" s="52" t="s">
        <v>37</v>
      </c>
      <c r="G2052" s="67"/>
      <c r="H2052" s="80"/>
      <c r="I2052" s="69"/>
      <c r="J2052" s="72"/>
      <c r="K2052" s="73"/>
      <c r="L2052" s="72"/>
      <c r="M2052" s="73"/>
      <c r="N2052" s="72"/>
      <c r="O2052" s="73"/>
      <c r="P2052" s="72"/>
      <c r="Q2052" s="73"/>
      <c r="R2052" s="72"/>
      <c r="S2052" s="73"/>
      <c r="T2052" s="72"/>
      <c r="U2052" s="73"/>
      <c r="V2052" s="72"/>
      <c r="W2052" s="73"/>
      <c r="X2052" s="72"/>
      <c r="Y2052" s="73"/>
      <c r="Z2052" s="74" t="b">
        <v>0</v>
      </c>
      <c r="AA2052" s="130">
        <f t="shared" si="817"/>
        <v>0</v>
      </c>
      <c r="AB2052" s="131">
        <f t="shared" si="818"/>
        <v>0</v>
      </c>
      <c r="AC2052" s="132">
        <f t="shared" si="819"/>
        <v>0</v>
      </c>
      <c r="AD2052" s="133">
        <f t="shared" si="820"/>
        <v>0</v>
      </c>
      <c r="AE2052" s="131">
        <f t="shared" si="821"/>
        <v>0</v>
      </c>
      <c r="AF2052" s="133">
        <f t="shared" si="822"/>
        <v>0</v>
      </c>
      <c r="AG2052" s="1"/>
    </row>
    <row r="2053" ht="21.0" customHeight="1">
      <c r="A2053" s="1"/>
      <c r="B2053" s="87" t="str">
        <f t="array" ref="B2053">"📌최근 인바디 결과 : "&amp;text(xlookup(B2045,'현황'!O:O,'현황'!O:O,,-1,-1),"m/d(ddd)")</f>
        <v>#REF!</v>
      </c>
      <c r="C2053" s="88"/>
      <c r="D2053" s="49"/>
      <c r="E2053" s="41"/>
      <c r="F2053" s="52" t="s">
        <v>40</v>
      </c>
      <c r="G2053" s="79"/>
      <c r="H2053" s="80"/>
      <c r="I2053" s="69"/>
      <c r="J2053" s="72"/>
      <c r="K2053" s="73"/>
      <c r="L2053" s="72"/>
      <c r="M2053" s="73"/>
      <c r="N2053" s="72"/>
      <c r="O2053" s="73"/>
      <c r="P2053" s="72"/>
      <c r="Q2053" s="73"/>
      <c r="R2053" s="72"/>
      <c r="S2053" s="73"/>
      <c r="T2053" s="72"/>
      <c r="U2053" s="73"/>
      <c r="V2053" s="72"/>
      <c r="W2053" s="73"/>
      <c r="X2053" s="72"/>
      <c r="Y2053" s="73"/>
      <c r="Z2053" s="74" t="b">
        <v>0</v>
      </c>
      <c r="AA2053" s="130">
        <f t="shared" si="817"/>
        <v>0</v>
      </c>
      <c r="AB2053" s="131">
        <f t="shared" si="818"/>
        <v>0</v>
      </c>
      <c r="AC2053" s="132">
        <f t="shared" si="819"/>
        <v>0</v>
      </c>
      <c r="AD2053" s="133">
        <f t="shared" si="820"/>
        <v>0</v>
      </c>
      <c r="AE2053" s="131">
        <f t="shared" si="821"/>
        <v>0</v>
      </c>
      <c r="AF2053" s="133">
        <f t="shared" si="822"/>
        <v>0</v>
      </c>
      <c r="AG2053" s="1"/>
    </row>
    <row r="2054" ht="21.0" customHeight="1">
      <c r="A2054" s="1"/>
      <c r="B2054" s="89" t="s">
        <v>44</v>
      </c>
      <c r="C2054" s="49"/>
      <c r="D2054" s="90">
        <f t="array" ref="D2054">iferror(vlookup(xlookup(B2045,'현황'!O:O,'현황'!O:O,,-1,-1),'현황'!O:S,2,false),0)</f>
        <v>0</v>
      </c>
      <c r="E2054" s="51" t="s">
        <v>45</v>
      </c>
      <c r="F2054" s="52" t="s">
        <v>34</v>
      </c>
      <c r="G2054" s="83"/>
      <c r="H2054" s="84"/>
      <c r="I2054" s="85"/>
      <c r="J2054" s="72"/>
      <c r="K2054" s="73"/>
      <c r="L2054" s="72"/>
      <c r="M2054" s="73"/>
      <c r="N2054" s="72"/>
      <c r="O2054" s="73"/>
      <c r="P2054" s="72"/>
      <c r="Q2054" s="73"/>
      <c r="R2054" s="72"/>
      <c r="S2054" s="73"/>
      <c r="T2054" s="72"/>
      <c r="U2054" s="73"/>
      <c r="V2054" s="72"/>
      <c r="W2054" s="73"/>
      <c r="X2054" s="72"/>
      <c r="Y2054" s="73"/>
      <c r="Z2054" s="74" t="b">
        <v>0</v>
      </c>
      <c r="AA2054" s="130">
        <f t="shared" si="817"/>
        <v>0</v>
      </c>
      <c r="AB2054" s="131">
        <f t="shared" si="818"/>
        <v>0</v>
      </c>
      <c r="AC2054" s="132">
        <f t="shared" si="819"/>
        <v>0</v>
      </c>
      <c r="AD2054" s="133">
        <f t="shared" si="820"/>
        <v>0</v>
      </c>
      <c r="AE2054" s="131">
        <f t="shared" si="821"/>
        <v>0</v>
      </c>
      <c r="AF2054" s="133">
        <f t="shared" si="822"/>
        <v>0</v>
      </c>
      <c r="AG2054" s="1"/>
    </row>
    <row r="2055" ht="21.0" customHeight="1">
      <c r="A2055" s="1"/>
      <c r="B2055" s="48" t="s">
        <v>46</v>
      </c>
      <c r="C2055" s="49"/>
      <c r="D2055" s="91">
        <f t="array" ref="D2055">iferror(vlookup(xlookup(B2045,'현황'!O:O,'현황'!O:O,,-1,-1),'현황'!O:S,3,false),0)</f>
        <v>0</v>
      </c>
      <c r="E2055" s="66"/>
      <c r="F2055" s="52" t="s">
        <v>37</v>
      </c>
      <c r="G2055" s="67"/>
      <c r="H2055" s="80"/>
      <c r="I2055" s="69"/>
      <c r="J2055" s="72"/>
      <c r="K2055" s="73"/>
      <c r="L2055" s="72"/>
      <c r="M2055" s="73"/>
      <c r="N2055" s="72"/>
      <c r="O2055" s="73"/>
      <c r="P2055" s="72"/>
      <c r="Q2055" s="73"/>
      <c r="R2055" s="72"/>
      <c r="S2055" s="73"/>
      <c r="T2055" s="72"/>
      <c r="U2055" s="73"/>
      <c r="V2055" s="72"/>
      <c r="W2055" s="73"/>
      <c r="X2055" s="72"/>
      <c r="Y2055" s="73"/>
      <c r="Z2055" s="74" t="b">
        <v>0</v>
      </c>
      <c r="AA2055" s="130">
        <f t="shared" si="817"/>
        <v>0</v>
      </c>
      <c r="AB2055" s="131">
        <f t="shared" si="818"/>
        <v>0</v>
      </c>
      <c r="AC2055" s="132">
        <f t="shared" si="819"/>
        <v>0</v>
      </c>
      <c r="AD2055" s="133">
        <f t="shared" si="820"/>
        <v>0</v>
      </c>
      <c r="AE2055" s="131">
        <f t="shared" si="821"/>
        <v>0</v>
      </c>
      <c r="AF2055" s="133">
        <f t="shared" si="822"/>
        <v>0</v>
      </c>
      <c r="AG2055" s="1"/>
    </row>
    <row r="2056" ht="21.0" customHeight="1">
      <c r="A2056" s="1"/>
      <c r="B2056" s="48" t="s">
        <v>47</v>
      </c>
      <c r="C2056" s="49"/>
      <c r="D2056" s="91">
        <f t="array" ref="D2056">iferror(vlookup(xlookup(B2045,'현황'!O:O,'현황'!O:O,,-1,-1),'현황'!O:S,4,false),0)</f>
        <v>0</v>
      </c>
      <c r="E2056" s="41"/>
      <c r="F2056" s="92" t="s">
        <v>40</v>
      </c>
      <c r="G2056" s="79"/>
      <c r="H2056" s="93"/>
      <c r="I2056" s="94"/>
      <c r="J2056" s="95"/>
      <c r="K2056" s="96"/>
      <c r="L2056" s="95"/>
      <c r="M2056" s="96"/>
      <c r="N2056" s="95"/>
      <c r="O2056" s="96"/>
      <c r="P2056" s="95"/>
      <c r="Q2056" s="96"/>
      <c r="R2056" s="95"/>
      <c r="S2056" s="96"/>
      <c r="T2056" s="95"/>
      <c r="U2056" s="96"/>
      <c r="V2056" s="95"/>
      <c r="W2056" s="96"/>
      <c r="X2056" s="95"/>
      <c r="Y2056" s="96"/>
      <c r="Z2056" s="97" t="b">
        <v>0</v>
      </c>
      <c r="AA2056" s="135">
        <f t="shared" si="817"/>
        <v>0</v>
      </c>
      <c r="AB2056" s="136">
        <f t="shared" si="818"/>
        <v>0</v>
      </c>
      <c r="AC2056" s="137">
        <f t="shared" si="819"/>
        <v>0</v>
      </c>
      <c r="AD2056" s="138">
        <f t="shared" si="820"/>
        <v>0</v>
      </c>
      <c r="AE2056" s="136">
        <f t="shared" si="821"/>
        <v>0</v>
      </c>
      <c r="AF2056" s="138">
        <f t="shared" si="822"/>
        <v>0</v>
      </c>
      <c r="AG2056" s="1"/>
    </row>
    <row r="2057" ht="21.0" customHeight="1">
      <c r="A2057" s="1"/>
      <c r="B2057" s="102" t="s">
        <v>48</v>
      </c>
      <c r="C2057" s="103"/>
      <c r="D2057" s="104">
        <f>iferror(D2056/D2054,0)</f>
        <v>0</v>
      </c>
      <c r="E2057" s="102" t="s">
        <v>49</v>
      </c>
      <c r="F2057" s="103"/>
      <c r="G2057" s="105"/>
      <c r="H2057" s="106" t="s">
        <v>50</v>
      </c>
      <c r="I2057" s="107"/>
      <c r="J2057" s="11"/>
      <c r="K2057" s="11"/>
      <c r="L2057" s="11"/>
      <c r="M2057" s="11"/>
      <c r="N2057" s="11"/>
      <c r="O2057" s="11"/>
      <c r="P2057" s="108" t="s">
        <v>51</v>
      </c>
      <c r="Q2057" s="12"/>
      <c r="R2057" s="109"/>
      <c r="S2057" s="11"/>
      <c r="T2057" s="11"/>
      <c r="U2057" s="11"/>
      <c r="V2057" s="11"/>
      <c r="W2057" s="11"/>
      <c r="X2057" s="11"/>
      <c r="Y2057" s="11"/>
      <c r="Z2057" s="12"/>
      <c r="AA2057" s="139">
        <f>SUM(AA2048:AA2056)</f>
        <v>0</v>
      </c>
      <c r="AB2057" s="140" t="s">
        <v>371</v>
      </c>
      <c r="AG2057" s="1"/>
    </row>
    <row r="2058" ht="21.0" customHeight="1">
      <c r="A2058" s="1"/>
      <c r="B2058" s="1"/>
      <c r="C2058" s="1"/>
      <c r="D2058" s="1"/>
      <c r="E2058" s="1"/>
      <c r="F2058" s="1"/>
      <c r="G2058" s="1"/>
      <c r="H2058" s="1"/>
      <c r="I2058" s="1"/>
      <c r="AA2058" s="1"/>
      <c r="AB2058" s="1"/>
      <c r="AC2058" s="3"/>
      <c r="AD2058" s="1"/>
      <c r="AE2058" s="1"/>
      <c r="AF2058" s="1"/>
      <c r="AG2058" s="1"/>
    </row>
    <row r="2059" ht="21.0" customHeight="1">
      <c r="A2059" s="1"/>
      <c r="B2059" s="4" t="s">
        <v>1</v>
      </c>
      <c r="C2059" s="5"/>
      <c r="D2059" s="6" t="s">
        <v>2</v>
      </c>
      <c r="E2059" s="7"/>
      <c r="F2059" s="7"/>
      <c r="G2059" s="5"/>
      <c r="H2059" s="8" t="s">
        <v>3</v>
      </c>
      <c r="I2059" s="8" t="s">
        <v>4</v>
      </c>
      <c r="J2059" s="9" t="s">
        <v>5</v>
      </c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5"/>
      <c r="AA2059" s="117" t="s">
        <v>6</v>
      </c>
      <c r="AB2059" s="11"/>
      <c r="AC2059" s="11"/>
      <c r="AD2059" s="11"/>
      <c r="AE2059" s="11"/>
      <c r="AF2059" s="12"/>
      <c r="AG2059" s="1"/>
    </row>
    <row r="2060" ht="21.0" customHeight="1">
      <c r="A2060" s="1"/>
      <c r="B2060" s="149" t="s">
        <v>138</v>
      </c>
      <c r="C2060" s="14" t="str">
        <f>if(B2060="0/0","",choose(weekday(B2060),"(일)","(월)","(화)","(수)","(목)","(금)","(토)"))</f>
        <v/>
      </c>
      <c r="D2060" s="15" t="s">
        <v>7</v>
      </c>
      <c r="E2060" s="16" t="s">
        <v>8</v>
      </c>
      <c r="F2060" s="17"/>
      <c r="G2060" s="18" t="s">
        <v>9</v>
      </c>
      <c r="H2060" s="150" t="s">
        <v>139</v>
      </c>
      <c r="I2060" s="151"/>
      <c r="J2060" s="21" t="s">
        <v>12</v>
      </c>
      <c r="K2060" s="22"/>
      <c r="L2060" s="21" t="s">
        <v>13</v>
      </c>
      <c r="M2060" s="22"/>
      <c r="N2060" s="21" t="s">
        <v>14</v>
      </c>
      <c r="O2060" s="22"/>
      <c r="P2060" s="21" t="s">
        <v>15</v>
      </c>
      <c r="Q2060" s="22"/>
      <c r="R2060" s="23" t="s">
        <v>16</v>
      </c>
      <c r="S2060" s="22"/>
      <c r="T2060" s="23" t="s">
        <v>17</v>
      </c>
      <c r="U2060" s="22"/>
      <c r="V2060" s="23" t="s">
        <v>18</v>
      </c>
      <c r="W2060" s="22"/>
      <c r="X2060" s="23" t="s">
        <v>19</v>
      </c>
      <c r="Y2060" s="22"/>
      <c r="Z2060" s="24" t="s">
        <v>372</v>
      </c>
      <c r="AA2060" s="118" t="s">
        <v>21</v>
      </c>
      <c r="AB2060" s="119" t="s">
        <v>22</v>
      </c>
      <c r="AC2060" s="7"/>
      <c r="AD2060" s="22"/>
      <c r="AE2060" s="120" t="s">
        <v>23</v>
      </c>
      <c r="AF2060" s="22"/>
      <c r="AG2060" s="1"/>
    </row>
    <row r="2061" ht="21.0" customHeight="1">
      <c r="A2061" s="1"/>
      <c r="B2061" s="27">
        <f>iferror(B2060-'현황'!$C$4+1,0)</f>
        <v>0</v>
      </c>
      <c r="C2061" s="28"/>
      <c r="D2061" s="29">
        <v>0.0</v>
      </c>
      <c r="E2061" s="30">
        <v>0.0</v>
      </c>
      <c r="F2061" s="31"/>
      <c r="G2061" s="32">
        <v>0.0</v>
      </c>
      <c r="H2061" s="33">
        <v>0.0</v>
      </c>
      <c r="I2061" s="34"/>
      <c r="J2061" s="35"/>
      <c r="K2061" s="36"/>
      <c r="L2061" s="35"/>
      <c r="M2061" s="36"/>
      <c r="N2061" s="35"/>
      <c r="O2061" s="36"/>
      <c r="P2061" s="35"/>
      <c r="Q2061" s="36"/>
      <c r="R2061" s="35"/>
      <c r="S2061" s="36"/>
      <c r="T2061" s="35"/>
      <c r="U2061" s="36"/>
      <c r="V2061" s="35"/>
      <c r="W2061" s="36"/>
      <c r="X2061" s="35"/>
      <c r="Y2061" s="36"/>
      <c r="Z2061" s="37"/>
      <c r="AA2061" s="37"/>
      <c r="AB2061" s="35"/>
      <c r="AC2061" s="38"/>
      <c r="AD2061" s="36"/>
      <c r="AE2061" s="35"/>
      <c r="AF2061" s="36"/>
      <c r="AG2061" s="1"/>
    </row>
    <row r="2062" ht="21.0" customHeight="1">
      <c r="A2062" s="1"/>
      <c r="B2062" s="39" t="s">
        <v>24</v>
      </c>
      <c r="C2062" s="40"/>
      <c r="D2062" s="41"/>
      <c r="E2062" s="42" t="s">
        <v>25</v>
      </c>
      <c r="F2062" s="40"/>
      <c r="G2062" s="41"/>
      <c r="H2062" s="43" t="s">
        <v>26</v>
      </c>
      <c r="J2062" s="44" t="s">
        <v>27</v>
      </c>
      <c r="K2062" s="45" t="s">
        <v>28</v>
      </c>
      <c r="L2062" s="44" t="s">
        <v>27</v>
      </c>
      <c r="M2062" s="45" t="s">
        <v>28</v>
      </c>
      <c r="N2062" s="44" t="s">
        <v>27</v>
      </c>
      <c r="O2062" s="45" t="s">
        <v>28</v>
      </c>
      <c r="P2062" s="44" t="s">
        <v>27</v>
      </c>
      <c r="Q2062" s="45" t="s">
        <v>28</v>
      </c>
      <c r="R2062" s="44" t="s">
        <v>27</v>
      </c>
      <c r="S2062" s="45" t="s">
        <v>28</v>
      </c>
      <c r="T2062" s="44" t="s">
        <v>27</v>
      </c>
      <c r="U2062" s="45" t="s">
        <v>28</v>
      </c>
      <c r="V2062" s="44" t="s">
        <v>27</v>
      </c>
      <c r="W2062" s="45" t="s">
        <v>28</v>
      </c>
      <c r="X2062" s="44" t="s">
        <v>27</v>
      </c>
      <c r="Y2062" s="45" t="s">
        <v>28</v>
      </c>
      <c r="Z2062" s="46"/>
      <c r="AA2062" s="46"/>
      <c r="AB2062" s="121" t="s">
        <v>29</v>
      </c>
      <c r="AC2062" s="122" t="s">
        <v>30</v>
      </c>
      <c r="AD2062" s="123" t="s">
        <v>31</v>
      </c>
      <c r="AE2062" s="121" t="s">
        <v>27</v>
      </c>
      <c r="AF2062" s="123" t="s">
        <v>28</v>
      </c>
      <c r="AG2062" s="1"/>
    </row>
    <row r="2063" ht="21.0" customHeight="1">
      <c r="A2063" s="1"/>
      <c r="B2063" s="48" t="s">
        <v>32</v>
      </c>
      <c r="C2063" s="49"/>
      <c r="D2063" s="50"/>
      <c r="E2063" s="51" t="s">
        <v>33</v>
      </c>
      <c r="F2063" s="52" t="s">
        <v>34</v>
      </c>
      <c r="G2063" s="53"/>
      <c r="H2063" s="148"/>
      <c r="I2063" s="55"/>
      <c r="J2063" s="58"/>
      <c r="K2063" s="59"/>
      <c r="L2063" s="58"/>
      <c r="M2063" s="59"/>
      <c r="N2063" s="58"/>
      <c r="O2063" s="59"/>
      <c r="P2063" s="58"/>
      <c r="Q2063" s="59"/>
      <c r="R2063" s="58"/>
      <c r="S2063" s="59"/>
      <c r="T2063" s="58"/>
      <c r="U2063" s="59"/>
      <c r="V2063" s="58"/>
      <c r="W2063" s="59"/>
      <c r="X2063" s="58"/>
      <c r="Y2063" s="59"/>
      <c r="Z2063" s="60" t="b">
        <v>0</v>
      </c>
      <c r="AA2063" s="125">
        <f t="shared" ref="AA2063:AA2071" si="823">(J2063*K2063+L2063*M2063+N2063*O2063+P2063*Q2063+R2063*S2063+T2063*U2063+V2063*W2063+X2063*Y2063)*if(Z2063=true,0.453592,1)</f>
        <v>0</v>
      </c>
      <c r="AB2063" s="126">
        <f t="shared" ref="AB2063:AB2071" si="824">SUM(AE2063*AF2063*0.025,AE2063)</f>
        <v>0</v>
      </c>
      <c r="AC2063" s="127">
        <f t="shared" ref="AC2063:AC2071" si="825">AB2063*87%</f>
        <v>0</v>
      </c>
      <c r="AD2063" s="128">
        <f t="shared" ref="AD2063:AD2071" si="826">AB2063*67%</f>
        <v>0</v>
      </c>
      <c r="AE2063" s="126">
        <f t="shared" ref="AE2063:AE2071" si="827">MAX(J2063,L2063,N2063,P2063,R2063,T2063,V2063,X2063)*if(Z2063=true,0.453592,1)</f>
        <v>0</v>
      </c>
      <c r="AF2063" s="128">
        <f t="shared" ref="AF2063:AF2071" si="828">MAX(IF(J2063*if(Z2063=true,0.453592,1)=$AE2063,K2063,0),IF(L2063*if(Z2063=true,0.453592,1)=$AE2063,M2063,0),IF(N2063*if(Z2063=true,0.453592,1)=$AE2063,O2063,0),IF(P2063*if(Z2063=true,0.453592,1)=$AE2063,Q2063,0),IF(R2063*if(Z2063=true,0.453592,1)=$AE2063,S2063,0),IF(T2063*if(Z2063=true,0.453592,1)=$AE2063,U2063,0),IF(V2063*if(Z2063=true,0.453592,1)=$AE2063,W2063,0),IF(X2063*if(Z2063=true,0.453592,1)=$AE2063,Y2063,0))</f>
        <v>0</v>
      </c>
      <c r="AG2063" s="1"/>
    </row>
    <row r="2064" ht="21.0" customHeight="1">
      <c r="A2064" s="1"/>
      <c r="B2064" s="48" t="s">
        <v>36</v>
      </c>
      <c r="C2064" s="49"/>
      <c r="D2064" s="65"/>
      <c r="E2064" s="66"/>
      <c r="F2064" s="52" t="s">
        <v>37</v>
      </c>
      <c r="G2064" s="67"/>
      <c r="H2064" s="129"/>
      <c r="I2064" s="69"/>
      <c r="J2064" s="72"/>
      <c r="K2064" s="73"/>
      <c r="L2064" s="72"/>
      <c r="M2064" s="73"/>
      <c r="N2064" s="72"/>
      <c r="O2064" s="73"/>
      <c r="P2064" s="72"/>
      <c r="Q2064" s="73"/>
      <c r="R2064" s="72"/>
      <c r="S2064" s="73"/>
      <c r="T2064" s="72"/>
      <c r="U2064" s="73"/>
      <c r="V2064" s="72"/>
      <c r="W2064" s="73"/>
      <c r="X2064" s="72"/>
      <c r="Y2064" s="73"/>
      <c r="Z2064" s="74" t="b">
        <v>0</v>
      </c>
      <c r="AA2064" s="130">
        <f t="shared" si="823"/>
        <v>0</v>
      </c>
      <c r="AB2064" s="131">
        <f t="shared" si="824"/>
        <v>0</v>
      </c>
      <c r="AC2064" s="132">
        <f t="shared" si="825"/>
        <v>0</v>
      </c>
      <c r="AD2064" s="133">
        <f t="shared" si="826"/>
        <v>0</v>
      </c>
      <c r="AE2064" s="131">
        <f t="shared" si="827"/>
        <v>0</v>
      </c>
      <c r="AF2064" s="133">
        <f t="shared" si="828"/>
        <v>0</v>
      </c>
      <c r="AG2064" s="1"/>
    </row>
    <row r="2065" ht="21.0" customHeight="1">
      <c r="A2065" s="1"/>
      <c r="B2065" s="48" t="s">
        <v>39</v>
      </c>
      <c r="C2065" s="49"/>
      <c r="D2065" s="65"/>
      <c r="E2065" s="41"/>
      <c r="F2065" s="52" t="s">
        <v>40</v>
      </c>
      <c r="G2065" s="79"/>
      <c r="H2065" s="80"/>
      <c r="I2065" s="69"/>
      <c r="J2065" s="72"/>
      <c r="K2065" s="73"/>
      <c r="L2065" s="72"/>
      <c r="M2065" s="73"/>
      <c r="N2065" s="72"/>
      <c r="O2065" s="73"/>
      <c r="P2065" s="72"/>
      <c r="Q2065" s="73"/>
      <c r="R2065" s="72"/>
      <c r="S2065" s="73"/>
      <c r="T2065" s="72"/>
      <c r="U2065" s="73"/>
      <c r="V2065" s="72"/>
      <c r="W2065" s="73"/>
      <c r="X2065" s="72"/>
      <c r="Y2065" s="73"/>
      <c r="Z2065" s="74" t="b">
        <v>0</v>
      </c>
      <c r="AA2065" s="130">
        <f t="shared" si="823"/>
        <v>0</v>
      </c>
      <c r="AB2065" s="131">
        <f t="shared" si="824"/>
        <v>0</v>
      </c>
      <c r="AC2065" s="132">
        <f t="shared" si="825"/>
        <v>0</v>
      </c>
      <c r="AD2065" s="133">
        <f t="shared" si="826"/>
        <v>0</v>
      </c>
      <c r="AE2065" s="131">
        <f t="shared" si="827"/>
        <v>0</v>
      </c>
      <c r="AF2065" s="133">
        <f t="shared" si="828"/>
        <v>0</v>
      </c>
      <c r="AG2065" s="1"/>
    </row>
    <row r="2066" ht="21.0" customHeight="1">
      <c r="A2066" s="1"/>
      <c r="B2066" s="48" t="s">
        <v>41</v>
      </c>
      <c r="C2066" s="81"/>
      <c r="D2066" s="82" t="b">
        <v>0</v>
      </c>
      <c r="E2066" s="51" t="s">
        <v>42</v>
      </c>
      <c r="F2066" s="52" t="s">
        <v>34</v>
      </c>
      <c r="G2066" s="83"/>
      <c r="H2066" s="84"/>
      <c r="I2066" s="85"/>
      <c r="J2066" s="72"/>
      <c r="K2066" s="73"/>
      <c r="L2066" s="72"/>
      <c r="M2066" s="73"/>
      <c r="N2066" s="72"/>
      <c r="O2066" s="73"/>
      <c r="P2066" s="72"/>
      <c r="Q2066" s="73"/>
      <c r="R2066" s="72"/>
      <c r="S2066" s="73"/>
      <c r="T2066" s="72"/>
      <c r="U2066" s="73"/>
      <c r="V2066" s="72"/>
      <c r="W2066" s="73"/>
      <c r="X2066" s="72"/>
      <c r="Y2066" s="73"/>
      <c r="Z2066" s="74" t="b">
        <v>0</v>
      </c>
      <c r="AA2066" s="130">
        <f t="shared" si="823"/>
        <v>0</v>
      </c>
      <c r="AB2066" s="131">
        <f t="shared" si="824"/>
        <v>0</v>
      </c>
      <c r="AC2066" s="132">
        <f t="shared" si="825"/>
        <v>0</v>
      </c>
      <c r="AD2066" s="133">
        <f t="shared" si="826"/>
        <v>0</v>
      </c>
      <c r="AE2066" s="131">
        <f t="shared" si="827"/>
        <v>0</v>
      </c>
      <c r="AF2066" s="133">
        <f t="shared" si="828"/>
        <v>0</v>
      </c>
      <c r="AG2066" s="1"/>
    </row>
    <row r="2067" ht="21.0" customHeight="1">
      <c r="A2067" s="1"/>
      <c r="B2067" s="48" t="s">
        <v>43</v>
      </c>
      <c r="C2067" s="49"/>
      <c r="D2067" s="86" t="b">
        <v>0</v>
      </c>
      <c r="E2067" s="66"/>
      <c r="F2067" s="52" t="s">
        <v>37</v>
      </c>
      <c r="G2067" s="67"/>
      <c r="H2067" s="80"/>
      <c r="I2067" s="69"/>
      <c r="J2067" s="72"/>
      <c r="K2067" s="73"/>
      <c r="L2067" s="72"/>
      <c r="M2067" s="73"/>
      <c r="N2067" s="72"/>
      <c r="O2067" s="73"/>
      <c r="P2067" s="72"/>
      <c r="Q2067" s="73"/>
      <c r="R2067" s="72"/>
      <c r="S2067" s="73"/>
      <c r="T2067" s="72"/>
      <c r="U2067" s="73"/>
      <c r="V2067" s="72"/>
      <c r="W2067" s="73"/>
      <c r="X2067" s="72"/>
      <c r="Y2067" s="73"/>
      <c r="Z2067" s="74" t="b">
        <v>0</v>
      </c>
      <c r="AA2067" s="130">
        <f t="shared" si="823"/>
        <v>0</v>
      </c>
      <c r="AB2067" s="131">
        <f t="shared" si="824"/>
        <v>0</v>
      </c>
      <c r="AC2067" s="132">
        <f t="shared" si="825"/>
        <v>0</v>
      </c>
      <c r="AD2067" s="133">
        <f t="shared" si="826"/>
        <v>0</v>
      </c>
      <c r="AE2067" s="131">
        <f t="shared" si="827"/>
        <v>0</v>
      </c>
      <c r="AF2067" s="133">
        <f t="shared" si="828"/>
        <v>0</v>
      </c>
      <c r="AG2067" s="1"/>
    </row>
    <row r="2068" ht="21.0" customHeight="1">
      <c r="A2068" s="1"/>
      <c r="B2068" s="87" t="str">
        <f t="array" ref="B2068">"📌최근 인바디 결과 : "&amp;text(xlookup(B2060,'현황'!O:O,'현황'!O:O,,-1,-1),"m/d(ddd)")</f>
        <v>#REF!</v>
      </c>
      <c r="C2068" s="88"/>
      <c r="D2068" s="49"/>
      <c r="E2068" s="41"/>
      <c r="F2068" s="52" t="s">
        <v>40</v>
      </c>
      <c r="G2068" s="79"/>
      <c r="H2068" s="80"/>
      <c r="I2068" s="69"/>
      <c r="J2068" s="72"/>
      <c r="K2068" s="73"/>
      <c r="L2068" s="72"/>
      <c r="M2068" s="73"/>
      <c r="N2068" s="72"/>
      <c r="O2068" s="73"/>
      <c r="P2068" s="72"/>
      <c r="Q2068" s="73"/>
      <c r="R2068" s="72"/>
      <c r="S2068" s="73"/>
      <c r="T2068" s="72"/>
      <c r="U2068" s="73"/>
      <c r="V2068" s="72"/>
      <c r="W2068" s="73"/>
      <c r="X2068" s="72"/>
      <c r="Y2068" s="73"/>
      <c r="Z2068" s="74" t="b">
        <v>0</v>
      </c>
      <c r="AA2068" s="130">
        <f t="shared" si="823"/>
        <v>0</v>
      </c>
      <c r="AB2068" s="131">
        <f t="shared" si="824"/>
        <v>0</v>
      </c>
      <c r="AC2068" s="132">
        <f t="shared" si="825"/>
        <v>0</v>
      </c>
      <c r="AD2068" s="133">
        <f t="shared" si="826"/>
        <v>0</v>
      </c>
      <c r="AE2068" s="131">
        <f t="shared" si="827"/>
        <v>0</v>
      </c>
      <c r="AF2068" s="133">
        <f t="shared" si="828"/>
        <v>0</v>
      </c>
      <c r="AG2068" s="1"/>
    </row>
    <row r="2069" ht="21.0" customHeight="1">
      <c r="A2069" s="1"/>
      <c r="B2069" s="89" t="s">
        <v>44</v>
      </c>
      <c r="C2069" s="49"/>
      <c r="D2069" s="90">
        <f t="array" ref="D2069">iferror(vlookup(xlookup(B2060,'현황'!O:O,'현황'!O:O,,-1,-1),'현황'!O:S,2,false),0)</f>
        <v>0</v>
      </c>
      <c r="E2069" s="51" t="s">
        <v>45</v>
      </c>
      <c r="F2069" s="52" t="s">
        <v>34</v>
      </c>
      <c r="G2069" s="83"/>
      <c r="H2069" s="84"/>
      <c r="I2069" s="85"/>
      <c r="J2069" s="72"/>
      <c r="K2069" s="73"/>
      <c r="L2069" s="72"/>
      <c r="M2069" s="73"/>
      <c r="N2069" s="72"/>
      <c r="O2069" s="73"/>
      <c r="P2069" s="72"/>
      <c r="Q2069" s="73"/>
      <c r="R2069" s="72"/>
      <c r="S2069" s="73"/>
      <c r="T2069" s="72"/>
      <c r="U2069" s="73"/>
      <c r="V2069" s="72"/>
      <c r="W2069" s="73"/>
      <c r="X2069" s="72"/>
      <c r="Y2069" s="73"/>
      <c r="Z2069" s="74" t="b">
        <v>0</v>
      </c>
      <c r="AA2069" s="130">
        <f t="shared" si="823"/>
        <v>0</v>
      </c>
      <c r="AB2069" s="131">
        <f t="shared" si="824"/>
        <v>0</v>
      </c>
      <c r="AC2069" s="132">
        <f t="shared" si="825"/>
        <v>0</v>
      </c>
      <c r="AD2069" s="133">
        <f t="shared" si="826"/>
        <v>0</v>
      </c>
      <c r="AE2069" s="131">
        <f t="shared" si="827"/>
        <v>0</v>
      </c>
      <c r="AF2069" s="133">
        <f t="shared" si="828"/>
        <v>0</v>
      </c>
      <c r="AG2069" s="1"/>
    </row>
    <row r="2070" ht="21.0" customHeight="1">
      <c r="A2070" s="1"/>
      <c r="B2070" s="48" t="s">
        <v>46</v>
      </c>
      <c r="C2070" s="49"/>
      <c r="D2070" s="91">
        <f t="array" ref="D2070">iferror(vlookup(xlookup(B2060,'현황'!O:O,'현황'!O:O,,-1,-1),'현황'!O:S,3,false),0)</f>
        <v>0</v>
      </c>
      <c r="E2070" s="66"/>
      <c r="F2070" s="52" t="s">
        <v>37</v>
      </c>
      <c r="G2070" s="67"/>
      <c r="H2070" s="80"/>
      <c r="I2070" s="69"/>
      <c r="J2070" s="72"/>
      <c r="K2070" s="73"/>
      <c r="L2070" s="72"/>
      <c r="M2070" s="73"/>
      <c r="N2070" s="72"/>
      <c r="O2070" s="73"/>
      <c r="P2070" s="72"/>
      <c r="Q2070" s="73"/>
      <c r="R2070" s="72"/>
      <c r="S2070" s="73"/>
      <c r="T2070" s="72"/>
      <c r="U2070" s="73"/>
      <c r="V2070" s="72"/>
      <c r="W2070" s="73"/>
      <c r="X2070" s="72"/>
      <c r="Y2070" s="73"/>
      <c r="Z2070" s="74" t="b">
        <v>0</v>
      </c>
      <c r="AA2070" s="130">
        <f t="shared" si="823"/>
        <v>0</v>
      </c>
      <c r="AB2070" s="131">
        <f t="shared" si="824"/>
        <v>0</v>
      </c>
      <c r="AC2070" s="132">
        <f t="shared" si="825"/>
        <v>0</v>
      </c>
      <c r="AD2070" s="133">
        <f t="shared" si="826"/>
        <v>0</v>
      </c>
      <c r="AE2070" s="131">
        <f t="shared" si="827"/>
        <v>0</v>
      </c>
      <c r="AF2070" s="133">
        <f t="shared" si="828"/>
        <v>0</v>
      </c>
      <c r="AG2070" s="1"/>
    </row>
    <row r="2071" ht="21.0" customHeight="1">
      <c r="A2071" s="1"/>
      <c r="B2071" s="48" t="s">
        <v>47</v>
      </c>
      <c r="C2071" s="49"/>
      <c r="D2071" s="91">
        <f t="array" ref="D2071">iferror(vlookup(xlookup(B2060,'현황'!O:O,'현황'!O:O,,-1,-1),'현황'!O:S,4,false),0)</f>
        <v>0</v>
      </c>
      <c r="E2071" s="41"/>
      <c r="F2071" s="92" t="s">
        <v>40</v>
      </c>
      <c r="G2071" s="79"/>
      <c r="H2071" s="93"/>
      <c r="I2071" s="94"/>
      <c r="J2071" s="95"/>
      <c r="K2071" s="96"/>
      <c r="L2071" s="95"/>
      <c r="M2071" s="96"/>
      <c r="N2071" s="95"/>
      <c r="O2071" s="96"/>
      <c r="P2071" s="95"/>
      <c r="Q2071" s="96"/>
      <c r="R2071" s="95"/>
      <c r="S2071" s="96"/>
      <c r="T2071" s="95"/>
      <c r="U2071" s="96"/>
      <c r="V2071" s="95"/>
      <c r="W2071" s="96"/>
      <c r="X2071" s="95"/>
      <c r="Y2071" s="96"/>
      <c r="Z2071" s="97" t="b">
        <v>0</v>
      </c>
      <c r="AA2071" s="135">
        <f t="shared" si="823"/>
        <v>0</v>
      </c>
      <c r="AB2071" s="136">
        <f t="shared" si="824"/>
        <v>0</v>
      </c>
      <c r="AC2071" s="137">
        <f t="shared" si="825"/>
        <v>0</v>
      </c>
      <c r="AD2071" s="138">
        <f t="shared" si="826"/>
        <v>0</v>
      </c>
      <c r="AE2071" s="136">
        <f t="shared" si="827"/>
        <v>0</v>
      </c>
      <c r="AF2071" s="138">
        <f t="shared" si="828"/>
        <v>0</v>
      </c>
      <c r="AG2071" s="1"/>
    </row>
    <row r="2072" ht="21.0" customHeight="1">
      <c r="A2072" s="1"/>
      <c r="B2072" s="102" t="s">
        <v>48</v>
      </c>
      <c r="C2072" s="103"/>
      <c r="D2072" s="104">
        <f>iferror(D2071/D2069,0)</f>
        <v>0</v>
      </c>
      <c r="E2072" s="102" t="s">
        <v>49</v>
      </c>
      <c r="F2072" s="103"/>
      <c r="G2072" s="105"/>
      <c r="H2072" s="106" t="s">
        <v>50</v>
      </c>
      <c r="I2072" s="107"/>
      <c r="J2072" s="11"/>
      <c r="K2072" s="11"/>
      <c r="L2072" s="11"/>
      <c r="M2072" s="11"/>
      <c r="N2072" s="11"/>
      <c r="O2072" s="11"/>
      <c r="P2072" s="108" t="s">
        <v>51</v>
      </c>
      <c r="Q2072" s="12"/>
      <c r="R2072" s="109"/>
      <c r="S2072" s="11"/>
      <c r="T2072" s="11"/>
      <c r="U2072" s="11"/>
      <c r="V2072" s="11"/>
      <c r="W2072" s="11"/>
      <c r="X2072" s="11"/>
      <c r="Y2072" s="11"/>
      <c r="Z2072" s="12"/>
      <c r="AA2072" s="139">
        <f>SUM(AA2063:AA2071)</f>
        <v>0</v>
      </c>
      <c r="AB2072" s="140" t="s">
        <v>373</v>
      </c>
      <c r="AG2072" s="1"/>
    </row>
    <row r="2073" ht="21.0" customHeight="1">
      <c r="A2073" s="1"/>
      <c r="B2073" s="1"/>
      <c r="C2073" s="1"/>
      <c r="D2073" s="1"/>
      <c r="E2073" s="1"/>
      <c r="F2073" s="1"/>
      <c r="G2073" s="1"/>
      <c r="H2073" s="1"/>
      <c r="I2073" s="1"/>
      <c r="AA2073" s="1"/>
      <c r="AB2073" s="1"/>
      <c r="AC2073" s="3"/>
      <c r="AD2073" s="1"/>
      <c r="AE2073" s="1"/>
      <c r="AF2073" s="1"/>
      <c r="AG2073" s="1"/>
    </row>
    <row r="2074" ht="21.0" customHeight="1">
      <c r="A2074" s="1"/>
      <c r="B2074" s="4" t="s">
        <v>1</v>
      </c>
      <c r="C2074" s="5"/>
      <c r="D2074" s="6" t="s">
        <v>2</v>
      </c>
      <c r="E2074" s="7"/>
      <c r="F2074" s="7"/>
      <c r="G2074" s="5"/>
      <c r="H2074" s="8" t="s">
        <v>3</v>
      </c>
      <c r="I2074" s="8" t="s">
        <v>4</v>
      </c>
      <c r="J2074" s="9" t="s">
        <v>5</v>
      </c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5"/>
      <c r="AA2074" s="117" t="s">
        <v>6</v>
      </c>
      <c r="AB2074" s="11"/>
      <c r="AC2074" s="11"/>
      <c r="AD2074" s="11"/>
      <c r="AE2074" s="11"/>
      <c r="AF2074" s="12"/>
      <c r="AG2074" s="1"/>
    </row>
    <row r="2075" ht="21.0" customHeight="1">
      <c r="A2075" s="1"/>
      <c r="B2075" s="149" t="s">
        <v>138</v>
      </c>
      <c r="C2075" s="14" t="str">
        <f>if(B2075="0/0","",choose(weekday(B2075),"(일)","(월)","(화)","(수)","(목)","(금)","(토)"))</f>
        <v/>
      </c>
      <c r="D2075" s="15" t="s">
        <v>7</v>
      </c>
      <c r="E2075" s="16" t="s">
        <v>8</v>
      </c>
      <c r="F2075" s="17"/>
      <c r="G2075" s="18" t="s">
        <v>9</v>
      </c>
      <c r="H2075" s="150" t="s">
        <v>139</v>
      </c>
      <c r="I2075" s="151"/>
      <c r="J2075" s="21" t="s">
        <v>12</v>
      </c>
      <c r="K2075" s="22"/>
      <c r="L2075" s="21" t="s">
        <v>13</v>
      </c>
      <c r="M2075" s="22"/>
      <c r="N2075" s="21" t="s">
        <v>14</v>
      </c>
      <c r="O2075" s="22"/>
      <c r="P2075" s="21" t="s">
        <v>15</v>
      </c>
      <c r="Q2075" s="22"/>
      <c r="R2075" s="23" t="s">
        <v>16</v>
      </c>
      <c r="S2075" s="22"/>
      <c r="T2075" s="23" t="s">
        <v>17</v>
      </c>
      <c r="U2075" s="22"/>
      <c r="V2075" s="23" t="s">
        <v>18</v>
      </c>
      <c r="W2075" s="22"/>
      <c r="X2075" s="23" t="s">
        <v>19</v>
      </c>
      <c r="Y2075" s="22"/>
      <c r="Z2075" s="24" t="s">
        <v>374</v>
      </c>
      <c r="AA2075" s="118" t="s">
        <v>21</v>
      </c>
      <c r="AB2075" s="119" t="s">
        <v>22</v>
      </c>
      <c r="AC2075" s="7"/>
      <c r="AD2075" s="22"/>
      <c r="AE2075" s="120" t="s">
        <v>23</v>
      </c>
      <c r="AF2075" s="22"/>
      <c r="AG2075" s="1"/>
    </row>
    <row r="2076" ht="21.0" customHeight="1">
      <c r="A2076" s="1"/>
      <c r="B2076" s="27">
        <f>iferror(B2075-'현황'!$C$4+1,0)</f>
        <v>0</v>
      </c>
      <c r="C2076" s="28"/>
      <c r="D2076" s="29">
        <v>0.0</v>
      </c>
      <c r="E2076" s="30">
        <v>0.0</v>
      </c>
      <c r="F2076" s="31"/>
      <c r="G2076" s="32">
        <v>0.0</v>
      </c>
      <c r="H2076" s="33">
        <v>0.0</v>
      </c>
      <c r="I2076" s="34"/>
      <c r="J2076" s="35"/>
      <c r="K2076" s="36"/>
      <c r="L2076" s="35"/>
      <c r="M2076" s="36"/>
      <c r="N2076" s="35"/>
      <c r="O2076" s="36"/>
      <c r="P2076" s="35"/>
      <c r="Q2076" s="36"/>
      <c r="R2076" s="35"/>
      <c r="S2076" s="36"/>
      <c r="T2076" s="35"/>
      <c r="U2076" s="36"/>
      <c r="V2076" s="35"/>
      <c r="W2076" s="36"/>
      <c r="X2076" s="35"/>
      <c r="Y2076" s="36"/>
      <c r="Z2076" s="37"/>
      <c r="AA2076" s="37"/>
      <c r="AB2076" s="35"/>
      <c r="AC2076" s="38"/>
      <c r="AD2076" s="36"/>
      <c r="AE2076" s="35"/>
      <c r="AF2076" s="36"/>
      <c r="AG2076" s="1"/>
    </row>
    <row r="2077" ht="21.0" customHeight="1">
      <c r="A2077" s="1"/>
      <c r="B2077" s="39" t="s">
        <v>24</v>
      </c>
      <c r="C2077" s="40"/>
      <c r="D2077" s="41"/>
      <c r="E2077" s="42" t="s">
        <v>25</v>
      </c>
      <c r="F2077" s="40"/>
      <c r="G2077" s="41"/>
      <c r="H2077" s="43" t="s">
        <v>26</v>
      </c>
      <c r="J2077" s="44" t="s">
        <v>27</v>
      </c>
      <c r="K2077" s="45" t="s">
        <v>28</v>
      </c>
      <c r="L2077" s="44" t="s">
        <v>27</v>
      </c>
      <c r="M2077" s="45" t="s">
        <v>28</v>
      </c>
      <c r="N2077" s="44" t="s">
        <v>27</v>
      </c>
      <c r="O2077" s="45" t="s">
        <v>28</v>
      </c>
      <c r="P2077" s="44" t="s">
        <v>27</v>
      </c>
      <c r="Q2077" s="45" t="s">
        <v>28</v>
      </c>
      <c r="R2077" s="44" t="s">
        <v>27</v>
      </c>
      <c r="S2077" s="45" t="s">
        <v>28</v>
      </c>
      <c r="T2077" s="44" t="s">
        <v>27</v>
      </c>
      <c r="U2077" s="45" t="s">
        <v>28</v>
      </c>
      <c r="V2077" s="44" t="s">
        <v>27</v>
      </c>
      <c r="W2077" s="45" t="s">
        <v>28</v>
      </c>
      <c r="X2077" s="44" t="s">
        <v>27</v>
      </c>
      <c r="Y2077" s="45" t="s">
        <v>28</v>
      </c>
      <c r="Z2077" s="46"/>
      <c r="AA2077" s="46"/>
      <c r="AB2077" s="121" t="s">
        <v>29</v>
      </c>
      <c r="AC2077" s="122" t="s">
        <v>30</v>
      </c>
      <c r="AD2077" s="123" t="s">
        <v>31</v>
      </c>
      <c r="AE2077" s="121" t="s">
        <v>27</v>
      </c>
      <c r="AF2077" s="123" t="s">
        <v>28</v>
      </c>
      <c r="AG2077" s="1"/>
    </row>
    <row r="2078" ht="21.0" customHeight="1">
      <c r="A2078" s="1"/>
      <c r="B2078" s="48" t="s">
        <v>32</v>
      </c>
      <c r="C2078" s="49"/>
      <c r="D2078" s="50"/>
      <c r="E2078" s="51" t="s">
        <v>33</v>
      </c>
      <c r="F2078" s="52" t="s">
        <v>34</v>
      </c>
      <c r="G2078" s="53"/>
      <c r="H2078" s="148"/>
      <c r="I2078" s="55"/>
      <c r="J2078" s="58"/>
      <c r="K2078" s="59"/>
      <c r="L2078" s="58"/>
      <c r="M2078" s="59"/>
      <c r="N2078" s="58"/>
      <c r="O2078" s="59"/>
      <c r="P2078" s="58"/>
      <c r="Q2078" s="59"/>
      <c r="R2078" s="58"/>
      <c r="S2078" s="59"/>
      <c r="T2078" s="58"/>
      <c r="U2078" s="59"/>
      <c r="V2078" s="58"/>
      <c r="W2078" s="59"/>
      <c r="X2078" s="58"/>
      <c r="Y2078" s="59"/>
      <c r="Z2078" s="60" t="b">
        <v>0</v>
      </c>
      <c r="AA2078" s="125">
        <f t="shared" ref="AA2078:AA2086" si="829">(J2078*K2078+L2078*M2078+N2078*O2078+P2078*Q2078+R2078*S2078+T2078*U2078+V2078*W2078+X2078*Y2078)*if(Z2078=true,0.453592,1)</f>
        <v>0</v>
      </c>
      <c r="AB2078" s="126">
        <f t="shared" ref="AB2078:AB2086" si="830">SUM(AE2078*AF2078*0.025,AE2078)</f>
        <v>0</v>
      </c>
      <c r="AC2078" s="127">
        <f t="shared" ref="AC2078:AC2086" si="831">AB2078*87%</f>
        <v>0</v>
      </c>
      <c r="AD2078" s="128">
        <f t="shared" ref="AD2078:AD2086" si="832">AB2078*67%</f>
        <v>0</v>
      </c>
      <c r="AE2078" s="126">
        <f t="shared" ref="AE2078:AE2086" si="833">MAX(J2078,L2078,N2078,P2078,R2078,T2078,V2078,X2078)*if(Z2078=true,0.453592,1)</f>
        <v>0</v>
      </c>
      <c r="AF2078" s="128">
        <f t="shared" ref="AF2078:AF2086" si="834">MAX(IF(J2078*if(Z2078=true,0.453592,1)=$AE2078,K2078,0),IF(L2078*if(Z2078=true,0.453592,1)=$AE2078,M2078,0),IF(N2078*if(Z2078=true,0.453592,1)=$AE2078,O2078,0),IF(P2078*if(Z2078=true,0.453592,1)=$AE2078,Q2078,0),IF(R2078*if(Z2078=true,0.453592,1)=$AE2078,S2078,0),IF(T2078*if(Z2078=true,0.453592,1)=$AE2078,U2078,0),IF(V2078*if(Z2078=true,0.453592,1)=$AE2078,W2078,0),IF(X2078*if(Z2078=true,0.453592,1)=$AE2078,Y2078,0))</f>
        <v>0</v>
      </c>
      <c r="AG2078" s="1"/>
    </row>
    <row r="2079" ht="21.0" customHeight="1">
      <c r="A2079" s="1"/>
      <c r="B2079" s="48" t="s">
        <v>36</v>
      </c>
      <c r="C2079" s="49"/>
      <c r="D2079" s="65"/>
      <c r="E2079" s="66"/>
      <c r="F2079" s="52" t="s">
        <v>37</v>
      </c>
      <c r="G2079" s="67"/>
      <c r="H2079" s="129"/>
      <c r="I2079" s="69"/>
      <c r="J2079" s="72"/>
      <c r="K2079" s="73"/>
      <c r="L2079" s="72"/>
      <c r="M2079" s="73"/>
      <c r="N2079" s="72"/>
      <c r="O2079" s="73"/>
      <c r="P2079" s="72"/>
      <c r="Q2079" s="73"/>
      <c r="R2079" s="72"/>
      <c r="S2079" s="73"/>
      <c r="T2079" s="72"/>
      <c r="U2079" s="73"/>
      <c r="V2079" s="72"/>
      <c r="W2079" s="73"/>
      <c r="X2079" s="72"/>
      <c r="Y2079" s="73"/>
      <c r="Z2079" s="74" t="b">
        <v>0</v>
      </c>
      <c r="AA2079" s="130">
        <f t="shared" si="829"/>
        <v>0</v>
      </c>
      <c r="AB2079" s="131">
        <f t="shared" si="830"/>
        <v>0</v>
      </c>
      <c r="AC2079" s="132">
        <f t="shared" si="831"/>
        <v>0</v>
      </c>
      <c r="AD2079" s="133">
        <f t="shared" si="832"/>
        <v>0</v>
      </c>
      <c r="AE2079" s="131">
        <f t="shared" si="833"/>
        <v>0</v>
      </c>
      <c r="AF2079" s="133">
        <f t="shared" si="834"/>
        <v>0</v>
      </c>
      <c r="AG2079" s="1"/>
    </row>
    <row r="2080" ht="21.0" customHeight="1">
      <c r="A2080" s="1"/>
      <c r="B2080" s="48" t="s">
        <v>39</v>
      </c>
      <c r="C2080" s="49"/>
      <c r="D2080" s="65"/>
      <c r="E2080" s="41"/>
      <c r="F2080" s="52" t="s">
        <v>40</v>
      </c>
      <c r="G2080" s="79"/>
      <c r="H2080" s="80"/>
      <c r="I2080" s="69"/>
      <c r="J2080" s="72"/>
      <c r="K2080" s="73"/>
      <c r="L2080" s="72"/>
      <c r="M2080" s="73"/>
      <c r="N2080" s="72"/>
      <c r="O2080" s="73"/>
      <c r="P2080" s="72"/>
      <c r="Q2080" s="73"/>
      <c r="R2080" s="72"/>
      <c r="S2080" s="73"/>
      <c r="T2080" s="72"/>
      <c r="U2080" s="73"/>
      <c r="V2080" s="72"/>
      <c r="W2080" s="73"/>
      <c r="X2080" s="72"/>
      <c r="Y2080" s="73"/>
      <c r="Z2080" s="74" t="b">
        <v>0</v>
      </c>
      <c r="AA2080" s="130">
        <f t="shared" si="829"/>
        <v>0</v>
      </c>
      <c r="AB2080" s="131">
        <f t="shared" si="830"/>
        <v>0</v>
      </c>
      <c r="AC2080" s="132">
        <f t="shared" si="831"/>
        <v>0</v>
      </c>
      <c r="AD2080" s="133">
        <f t="shared" si="832"/>
        <v>0</v>
      </c>
      <c r="AE2080" s="131">
        <f t="shared" si="833"/>
        <v>0</v>
      </c>
      <c r="AF2080" s="133">
        <f t="shared" si="834"/>
        <v>0</v>
      </c>
      <c r="AG2080" s="1"/>
    </row>
    <row r="2081" ht="21.0" customHeight="1">
      <c r="A2081" s="1"/>
      <c r="B2081" s="48" t="s">
        <v>41</v>
      </c>
      <c r="C2081" s="81"/>
      <c r="D2081" s="82" t="b">
        <v>0</v>
      </c>
      <c r="E2081" s="51" t="s">
        <v>42</v>
      </c>
      <c r="F2081" s="52" t="s">
        <v>34</v>
      </c>
      <c r="G2081" s="83"/>
      <c r="H2081" s="84"/>
      <c r="I2081" s="85"/>
      <c r="J2081" s="72"/>
      <c r="K2081" s="73"/>
      <c r="L2081" s="72"/>
      <c r="M2081" s="73"/>
      <c r="N2081" s="72"/>
      <c r="O2081" s="73"/>
      <c r="P2081" s="72"/>
      <c r="Q2081" s="73"/>
      <c r="R2081" s="72"/>
      <c r="S2081" s="73"/>
      <c r="T2081" s="72"/>
      <c r="U2081" s="73"/>
      <c r="V2081" s="72"/>
      <c r="W2081" s="73"/>
      <c r="X2081" s="72"/>
      <c r="Y2081" s="73"/>
      <c r="Z2081" s="74" t="b">
        <v>0</v>
      </c>
      <c r="AA2081" s="130">
        <f t="shared" si="829"/>
        <v>0</v>
      </c>
      <c r="AB2081" s="131">
        <f t="shared" si="830"/>
        <v>0</v>
      </c>
      <c r="AC2081" s="132">
        <f t="shared" si="831"/>
        <v>0</v>
      </c>
      <c r="AD2081" s="133">
        <f t="shared" si="832"/>
        <v>0</v>
      </c>
      <c r="AE2081" s="131">
        <f t="shared" si="833"/>
        <v>0</v>
      </c>
      <c r="AF2081" s="133">
        <f t="shared" si="834"/>
        <v>0</v>
      </c>
      <c r="AG2081" s="1"/>
    </row>
    <row r="2082" ht="21.0" customHeight="1">
      <c r="A2082" s="1"/>
      <c r="B2082" s="48" t="s">
        <v>43</v>
      </c>
      <c r="C2082" s="49"/>
      <c r="D2082" s="86" t="b">
        <v>0</v>
      </c>
      <c r="E2082" s="66"/>
      <c r="F2082" s="52" t="s">
        <v>37</v>
      </c>
      <c r="G2082" s="67"/>
      <c r="H2082" s="80"/>
      <c r="I2082" s="69"/>
      <c r="J2082" s="72"/>
      <c r="K2082" s="73"/>
      <c r="L2082" s="72"/>
      <c r="M2082" s="73"/>
      <c r="N2082" s="72"/>
      <c r="O2082" s="73"/>
      <c r="P2082" s="72"/>
      <c r="Q2082" s="73"/>
      <c r="R2082" s="72"/>
      <c r="S2082" s="73"/>
      <c r="T2082" s="72"/>
      <c r="U2082" s="73"/>
      <c r="V2082" s="72"/>
      <c r="W2082" s="73"/>
      <c r="X2082" s="72"/>
      <c r="Y2082" s="73"/>
      <c r="Z2082" s="74" t="b">
        <v>0</v>
      </c>
      <c r="AA2082" s="130">
        <f t="shared" si="829"/>
        <v>0</v>
      </c>
      <c r="AB2082" s="131">
        <f t="shared" si="830"/>
        <v>0</v>
      </c>
      <c r="AC2082" s="132">
        <f t="shared" si="831"/>
        <v>0</v>
      </c>
      <c r="AD2082" s="133">
        <f t="shared" si="832"/>
        <v>0</v>
      </c>
      <c r="AE2082" s="131">
        <f t="shared" si="833"/>
        <v>0</v>
      </c>
      <c r="AF2082" s="133">
        <f t="shared" si="834"/>
        <v>0</v>
      </c>
      <c r="AG2082" s="1"/>
    </row>
    <row r="2083" ht="21.0" customHeight="1">
      <c r="A2083" s="1"/>
      <c r="B2083" s="87" t="str">
        <f t="array" ref="B2083">"📌최근 인바디 결과 : "&amp;text(xlookup(B2075,'현황'!O:O,'현황'!O:O,,-1,-1),"m/d(ddd)")</f>
        <v>#REF!</v>
      </c>
      <c r="C2083" s="88"/>
      <c r="D2083" s="49"/>
      <c r="E2083" s="41"/>
      <c r="F2083" s="52" t="s">
        <v>40</v>
      </c>
      <c r="G2083" s="79"/>
      <c r="H2083" s="80"/>
      <c r="I2083" s="69"/>
      <c r="J2083" s="72"/>
      <c r="K2083" s="73"/>
      <c r="L2083" s="72"/>
      <c r="M2083" s="73"/>
      <c r="N2083" s="72"/>
      <c r="O2083" s="73"/>
      <c r="P2083" s="72"/>
      <c r="Q2083" s="73"/>
      <c r="R2083" s="72"/>
      <c r="S2083" s="73"/>
      <c r="T2083" s="72"/>
      <c r="U2083" s="73"/>
      <c r="V2083" s="72"/>
      <c r="W2083" s="73"/>
      <c r="X2083" s="72"/>
      <c r="Y2083" s="73"/>
      <c r="Z2083" s="74" t="b">
        <v>0</v>
      </c>
      <c r="AA2083" s="130">
        <f t="shared" si="829"/>
        <v>0</v>
      </c>
      <c r="AB2083" s="131">
        <f t="shared" si="830"/>
        <v>0</v>
      </c>
      <c r="AC2083" s="132">
        <f t="shared" si="831"/>
        <v>0</v>
      </c>
      <c r="AD2083" s="133">
        <f t="shared" si="832"/>
        <v>0</v>
      </c>
      <c r="AE2083" s="131">
        <f t="shared" si="833"/>
        <v>0</v>
      </c>
      <c r="AF2083" s="133">
        <f t="shared" si="834"/>
        <v>0</v>
      </c>
      <c r="AG2083" s="1"/>
    </row>
    <row r="2084" ht="21.0" customHeight="1">
      <c r="A2084" s="1"/>
      <c r="B2084" s="89" t="s">
        <v>44</v>
      </c>
      <c r="C2084" s="49"/>
      <c r="D2084" s="90">
        <f t="array" ref="D2084">iferror(vlookup(xlookup(B2075,'현황'!O:O,'현황'!O:O,,-1,-1),'현황'!O:S,2,false),0)</f>
        <v>0</v>
      </c>
      <c r="E2084" s="51" t="s">
        <v>45</v>
      </c>
      <c r="F2084" s="52" t="s">
        <v>34</v>
      </c>
      <c r="G2084" s="83"/>
      <c r="H2084" s="84"/>
      <c r="I2084" s="85"/>
      <c r="J2084" s="72"/>
      <c r="K2084" s="73"/>
      <c r="L2084" s="72"/>
      <c r="M2084" s="73"/>
      <c r="N2084" s="72"/>
      <c r="O2084" s="73"/>
      <c r="P2084" s="72"/>
      <c r="Q2084" s="73"/>
      <c r="R2084" s="72"/>
      <c r="S2084" s="73"/>
      <c r="T2084" s="72"/>
      <c r="U2084" s="73"/>
      <c r="V2084" s="72"/>
      <c r="W2084" s="73"/>
      <c r="X2084" s="72"/>
      <c r="Y2084" s="73"/>
      <c r="Z2084" s="74" t="b">
        <v>0</v>
      </c>
      <c r="AA2084" s="130">
        <f t="shared" si="829"/>
        <v>0</v>
      </c>
      <c r="AB2084" s="131">
        <f t="shared" si="830"/>
        <v>0</v>
      </c>
      <c r="AC2084" s="132">
        <f t="shared" si="831"/>
        <v>0</v>
      </c>
      <c r="AD2084" s="133">
        <f t="shared" si="832"/>
        <v>0</v>
      </c>
      <c r="AE2084" s="131">
        <f t="shared" si="833"/>
        <v>0</v>
      </c>
      <c r="AF2084" s="133">
        <f t="shared" si="834"/>
        <v>0</v>
      </c>
      <c r="AG2084" s="1"/>
    </row>
    <row r="2085" ht="21.0" customHeight="1">
      <c r="A2085" s="1"/>
      <c r="B2085" s="48" t="s">
        <v>46</v>
      </c>
      <c r="C2085" s="49"/>
      <c r="D2085" s="91">
        <f t="array" ref="D2085">iferror(vlookup(xlookup(B2075,'현황'!O:O,'현황'!O:O,,-1,-1),'현황'!O:S,3,false),0)</f>
        <v>0</v>
      </c>
      <c r="E2085" s="66"/>
      <c r="F2085" s="52" t="s">
        <v>37</v>
      </c>
      <c r="G2085" s="67"/>
      <c r="H2085" s="80"/>
      <c r="I2085" s="69"/>
      <c r="J2085" s="72"/>
      <c r="K2085" s="73"/>
      <c r="L2085" s="72"/>
      <c r="M2085" s="73"/>
      <c r="N2085" s="72"/>
      <c r="O2085" s="73"/>
      <c r="P2085" s="72"/>
      <c r="Q2085" s="73"/>
      <c r="R2085" s="72"/>
      <c r="S2085" s="73"/>
      <c r="T2085" s="72"/>
      <c r="U2085" s="73"/>
      <c r="V2085" s="72"/>
      <c r="W2085" s="73"/>
      <c r="X2085" s="72"/>
      <c r="Y2085" s="73"/>
      <c r="Z2085" s="74" t="b">
        <v>0</v>
      </c>
      <c r="AA2085" s="130">
        <f t="shared" si="829"/>
        <v>0</v>
      </c>
      <c r="AB2085" s="131">
        <f t="shared" si="830"/>
        <v>0</v>
      </c>
      <c r="AC2085" s="132">
        <f t="shared" si="831"/>
        <v>0</v>
      </c>
      <c r="AD2085" s="133">
        <f t="shared" si="832"/>
        <v>0</v>
      </c>
      <c r="AE2085" s="131">
        <f t="shared" si="833"/>
        <v>0</v>
      </c>
      <c r="AF2085" s="133">
        <f t="shared" si="834"/>
        <v>0</v>
      </c>
      <c r="AG2085" s="1"/>
    </row>
    <row r="2086" ht="21.0" customHeight="1">
      <c r="A2086" s="1"/>
      <c r="B2086" s="48" t="s">
        <v>47</v>
      </c>
      <c r="C2086" s="49"/>
      <c r="D2086" s="91">
        <f t="array" ref="D2086">iferror(vlookup(xlookup(B2075,'현황'!O:O,'현황'!O:O,,-1,-1),'현황'!O:S,4,false),0)</f>
        <v>0</v>
      </c>
      <c r="E2086" s="41"/>
      <c r="F2086" s="92" t="s">
        <v>40</v>
      </c>
      <c r="G2086" s="79"/>
      <c r="H2086" s="93"/>
      <c r="I2086" s="94"/>
      <c r="J2086" s="95"/>
      <c r="K2086" s="96"/>
      <c r="L2086" s="95"/>
      <c r="M2086" s="96"/>
      <c r="N2086" s="95"/>
      <c r="O2086" s="96"/>
      <c r="P2086" s="95"/>
      <c r="Q2086" s="96"/>
      <c r="R2086" s="95"/>
      <c r="S2086" s="96"/>
      <c r="T2086" s="95"/>
      <c r="U2086" s="96"/>
      <c r="V2086" s="95"/>
      <c r="W2086" s="96"/>
      <c r="X2086" s="95"/>
      <c r="Y2086" s="96"/>
      <c r="Z2086" s="97" t="b">
        <v>0</v>
      </c>
      <c r="AA2086" s="135">
        <f t="shared" si="829"/>
        <v>0</v>
      </c>
      <c r="AB2086" s="136">
        <f t="shared" si="830"/>
        <v>0</v>
      </c>
      <c r="AC2086" s="137">
        <f t="shared" si="831"/>
        <v>0</v>
      </c>
      <c r="AD2086" s="138">
        <f t="shared" si="832"/>
        <v>0</v>
      </c>
      <c r="AE2086" s="136">
        <f t="shared" si="833"/>
        <v>0</v>
      </c>
      <c r="AF2086" s="138">
        <f t="shared" si="834"/>
        <v>0</v>
      </c>
      <c r="AG2086" s="1"/>
    </row>
    <row r="2087" ht="21.0" customHeight="1">
      <c r="A2087" s="1"/>
      <c r="B2087" s="102" t="s">
        <v>48</v>
      </c>
      <c r="C2087" s="103"/>
      <c r="D2087" s="104">
        <f>iferror(D2086/D2084,0)</f>
        <v>0</v>
      </c>
      <c r="E2087" s="102" t="s">
        <v>49</v>
      </c>
      <c r="F2087" s="103"/>
      <c r="G2087" s="105"/>
      <c r="H2087" s="106" t="s">
        <v>50</v>
      </c>
      <c r="I2087" s="107"/>
      <c r="J2087" s="11"/>
      <c r="K2087" s="11"/>
      <c r="L2087" s="11"/>
      <c r="M2087" s="11"/>
      <c r="N2087" s="11"/>
      <c r="O2087" s="11"/>
      <c r="P2087" s="108" t="s">
        <v>51</v>
      </c>
      <c r="Q2087" s="12"/>
      <c r="R2087" s="109"/>
      <c r="S2087" s="11"/>
      <c r="T2087" s="11"/>
      <c r="U2087" s="11"/>
      <c r="V2087" s="11"/>
      <c r="W2087" s="11"/>
      <c r="X2087" s="11"/>
      <c r="Y2087" s="11"/>
      <c r="Z2087" s="12"/>
      <c r="AA2087" s="139">
        <f>SUM(AA2078:AA2086)</f>
        <v>0</v>
      </c>
      <c r="AB2087" s="140" t="s">
        <v>375</v>
      </c>
      <c r="AG2087" s="1"/>
    </row>
    <row r="2088" ht="21.0" customHeight="1">
      <c r="A2088" s="1"/>
      <c r="B2088" s="1"/>
      <c r="C2088" s="1"/>
      <c r="D2088" s="1"/>
      <c r="E2088" s="1"/>
      <c r="F2088" s="1"/>
      <c r="G2088" s="1"/>
      <c r="H2088" s="1"/>
      <c r="I2088" s="1"/>
      <c r="AA2088" s="1"/>
      <c r="AB2088" s="1"/>
      <c r="AC2088" s="3"/>
      <c r="AD2088" s="1"/>
      <c r="AE2088" s="1"/>
      <c r="AF2088" s="1"/>
      <c r="AG2088" s="1"/>
    </row>
    <row r="2089" ht="21.0" customHeight="1">
      <c r="A2089" s="1"/>
      <c r="B2089" s="4" t="s">
        <v>1</v>
      </c>
      <c r="C2089" s="5"/>
      <c r="D2089" s="6" t="s">
        <v>2</v>
      </c>
      <c r="E2089" s="7"/>
      <c r="F2089" s="7"/>
      <c r="G2089" s="5"/>
      <c r="H2089" s="8" t="s">
        <v>3</v>
      </c>
      <c r="I2089" s="8" t="s">
        <v>4</v>
      </c>
      <c r="J2089" s="9" t="s">
        <v>5</v>
      </c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5"/>
      <c r="AA2089" s="117" t="s">
        <v>6</v>
      </c>
      <c r="AB2089" s="11"/>
      <c r="AC2089" s="11"/>
      <c r="AD2089" s="11"/>
      <c r="AE2089" s="11"/>
      <c r="AF2089" s="12"/>
      <c r="AG2089" s="1"/>
    </row>
    <row r="2090" ht="21.0" customHeight="1">
      <c r="A2090" s="1"/>
      <c r="B2090" s="149" t="s">
        <v>138</v>
      </c>
      <c r="C2090" s="14" t="str">
        <f>if(B2090="0/0","",choose(weekday(B2090),"(일)","(월)","(화)","(수)","(목)","(금)","(토)"))</f>
        <v/>
      </c>
      <c r="D2090" s="15" t="s">
        <v>7</v>
      </c>
      <c r="E2090" s="16" t="s">
        <v>8</v>
      </c>
      <c r="F2090" s="17"/>
      <c r="G2090" s="18" t="s">
        <v>9</v>
      </c>
      <c r="H2090" s="150" t="s">
        <v>139</v>
      </c>
      <c r="I2090" s="151"/>
      <c r="J2090" s="21" t="s">
        <v>12</v>
      </c>
      <c r="K2090" s="22"/>
      <c r="L2090" s="21" t="s">
        <v>13</v>
      </c>
      <c r="M2090" s="22"/>
      <c r="N2090" s="21" t="s">
        <v>14</v>
      </c>
      <c r="O2090" s="22"/>
      <c r="P2090" s="21" t="s">
        <v>15</v>
      </c>
      <c r="Q2090" s="22"/>
      <c r="R2090" s="23" t="s">
        <v>16</v>
      </c>
      <c r="S2090" s="22"/>
      <c r="T2090" s="23" t="s">
        <v>17</v>
      </c>
      <c r="U2090" s="22"/>
      <c r="V2090" s="23" t="s">
        <v>18</v>
      </c>
      <c r="W2090" s="22"/>
      <c r="X2090" s="23" t="s">
        <v>19</v>
      </c>
      <c r="Y2090" s="22"/>
      <c r="Z2090" s="24" t="s">
        <v>376</v>
      </c>
      <c r="AA2090" s="118" t="s">
        <v>21</v>
      </c>
      <c r="AB2090" s="119" t="s">
        <v>22</v>
      </c>
      <c r="AC2090" s="7"/>
      <c r="AD2090" s="22"/>
      <c r="AE2090" s="120" t="s">
        <v>23</v>
      </c>
      <c r="AF2090" s="22"/>
      <c r="AG2090" s="1"/>
    </row>
    <row r="2091" ht="21.0" customHeight="1">
      <c r="A2091" s="1"/>
      <c r="B2091" s="27">
        <f>iferror(B2090-'현황'!$C$4+1,0)</f>
        <v>0</v>
      </c>
      <c r="C2091" s="28"/>
      <c r="D2091" s="29">
        <v>0.0</v>
      </c>
      <c r="E2091" s="30">
        <v>0.0</v>
      </c>
      <c r="F2091" s="31"/>
      <c r="G2091" s="32">
        <v>0.0</v>
      </c>
      <c r="H2091" s="33">
        <v>0.0</v>
      </c>
      <c r="I2091" s="34"/>
      <c r="J2091" s="35"/>
      <c r="K2091" s="36"/>
      <c r="L2091" s="35"/>
      <c r="M2091" s="36"/>
      <c r="N2091" s="35"/>
      <c r="O2091" s="36"/>
      <c r="P2091" s="35"/>
      <c r="Q2091" s="36"/>
      <c r="R2091" s="35"/>
      <c r="S2091" s="36"/>
      <c r="T2091" s="35"/>
      <c r="U2091" s="36"/>
      <c r="V2091" s="35"/>
      <c r="W2091" s="36"/>
      <c r="X2091" s="35"/>
      <c r="Y2091" s="36"/>
      <c r="Z2091" s="37"/>
      <c r="AA2091" s="37"/>
      <c r="AB2091" s="35"/>
      <c r="AC2091" s="38"/>
      <c r="AD2091" s="36"/>
      <c r="AE2091" s="35"/>
      <c r="AF2091" s="36"/>
      <c r="AG2091" s="1"/>
    </row>
    <row r="2092" ht="21.0" customHeight="1">
      <c r="A2092" s="1"/>
      <c r="B2092" s="39" t="s">
        <v>24</v>
      </c>
      <c r="C2092" s="40"/>
      <c r="D2092" s="41"/>
      <c r="E2092" s="42" t="s">
        <v>25</v>
      </c>
      <c r="F2092" s="40"/>
      <c r="G2092" s="41"/>
      <c r="H2092" s="43" t="s">
        <v>26</v>
      </c>
      <c r="J2092" s="44" t="s">
        <v>27</v>
      </c>
      <c r="K2092" s="45" t="s">
        <v>28</v>
      </c>
      <c r="L2092" s="44" t="s">
        <v>27</v>
      </c>
      <c r="M2092" s="45" t="s">
        <v>28</v>
      </c>
      <c r="N2092" s="44" t="s">
        <v>27</v>
      </c>
      <c r="O2092" s="45" t="s">
        <v>28</v>
      </c>
      <c r="P2092" s="44" t="s">
        <v>27</v>
      </c>
      <c r="Q2092" s="45" t="s">
        <v>28</v>
      </c>
      <c r="R2092" s="44" t="s">
        <v>27</v>
      </c>
      <c r="S2092" s="45" t="s">
        <v>28</v>
      </c>
      <c r="T2092" s="44" t="s">
        <v>27</v>
      </c>
      <c r="U2092" s="45" t="s">
        <v>28</v>
      </c>
      <c r="V2092" s="44" t="s">
        <v>27</v>
      </c>
      <c r="W2092" s="45" t="s">
        <v>28</v>
      </c>
      <c r="X2092" s="44" t="s">
        <v>27</v>
      </c>
      <c r="Y2092" s="45" t="s">
        <v>28</v>
      </c>
      <c r="Z2092" s="46"/>
      <c r="AA2092" s="46"/>
      <c r="AB2092" s="121" t="s">
        <v>29</v>
      </c>
      <c r="AC2092" s="122" t="s">
        <v>30</v>
      </c>
      <c r="AD2092" s="123" t="s">
        <v>31</v>
      </c>
      <c r="AE2092" s="121" t="s">
        <v>27</v>
      </c>
      <c r="AF2092" s="123" t="s">
        <v>28</v>
      </c>
      <c r="AG2092" s="1"/>
    </row>
    <row r="2093" ht="21.0" customHeight="1">
      <c r="A2093" s="1"/>
      <c r="B2093" s="48" t="s">
        <v>32</v>
      </c>
      <c r="C2093" s="49"/>
      <c r="D2093" s="50"/>
      <c r="E2093" s="51" t="s">
        <v>33</v>
      </c>
      <c r="F2093" s="52" t="s">
        <v>34</v>
      </c>
      <c r="G2093" s="53"/>
      <c r="H2093" s="148"/>
      <c r="I2093" s="55"/>
      <c r="J2093" s="58"/>
      <c r="K2093" s="59"/>
      <c r="L2093" s="58"/>
      <c r="M2093" s="59"/>
      <c r="N2093" s="58"/>
      <c r="O2093" s="59"/>
      <c r="P2093" s="58"/>
      <c r="Q2093" s="59"/>
      <c r="R2093" s="58"/>
      <c r="S2093" s="59"/>
      <c r="T2093" s="58"/>
      <c r="U2093" s="59"/>
      <c r="V2093" s="58"/>
      <c r="W2093" s="59"/>
      <c r="X2093" s="58"/>
      <c r="Y2093" s="59"/>
      <c r="Z2093" s="60" t="b">
        <v>0</v>
      </c>
      <c r="AA2093" s="125">
        <f t="shared" ref="AA2093:AA2101" si="835">(J2093*K2093+L2093*M2093+N2093*O2093+P2093*Q2093+R2093*S2093+T2093*U2093+V2093*W2093+X2093*Y2093)*if(Z2093=true,0.453592,1)</f>
        <v>0</v>
      </c>
      <c r="AB2093" s="126">
        <f t="shared" ref="AB2093:AB2101" si="836">SUM(AE2093*AF2093*0.025,AE2093)</f>
        <v>0</v>
      </c>
      <c r="AC2093" s="127">
        <f t="shared" ref="AC2093:AC2101" si="837">AB2093*87%</f>
        <v>0</v>
      </c>
      <c r="AD2093" s="128">
        <f t="shared" ref="AD2093:AD2101" si="838">AB2093*67%</f>
        <v>0</v>
      </c>
      <c r="AE2093" s="126">
        <f t="shared" ref="AE2093:AE2101" si="839">MAX(J2093,L2093,N2093,P2093,R2093,T2093,V2093,X2093)*if(Z2093=true,0.453592,1)</f>
        <v>0</v>
      </c>
      <c r="AF2093" s="128">
        <f t="shared" ref="AF2093:AF2101" si="840">MAX(IF(J2093*if(Z2093=true,0.453592,1)=$AE2093,K2093,0),IF(L2093*if(Z2093=true,0.453592,1)=$AE2093,M2093,0),IF(N2093*if(Z2093=true,0.453592,1)=$AE2093,O2093,0),IF(P2093*if(Z2093=true,0.453592,1)=$AE2093,Q2093,0),IF(R2093*if(Z2093=true,0.453592,1)=$AE2093,S2093,0),IF(T2093*if(Z2093=true,0.453592,1)=$AE2093,U2093,0),IF(V2093*if(Z2093=true,0.453592,1)=$AE2093,W2093,0),IF(X2093*if(Z2093=true,0.453592,1)=$AE2093,Y2093,0))</f>
        <v>0</v>
      </c>
      <c r="AG2093" s="1"/>
    </row>
    <row r="2094" ht="21.0" customHeight="1">
      <c r="A2094" s="1"/>
      <c r="B2094" s="48" t="s">
        <v>36</v>
      </c>
      <c r="C2094" s="49"/>
      <c r="D2094" s="65"/>
      <c r="E2094" s="66"/>
      <c r="F2094" s="52" t="s">
        <v>37</v>
      </c>
      <c r="G2094" s="67"/>
      <c r="H2094" s="129"/>
      <c r="I2094" s="69"/>
      <c r="J2094" s="72"/>
      <c r="K2094" s="73"/>
      <c r="L2094" s="72"/>
      <c r="M2094" s="73"/>
      <c r="N2094" s="72"/>
      <c r="O2094" s="73"/>
      <c r="P2094" s="72"/>
      <c r="Q2094" s="73"/>
      <c r="R2094" s="72"/>
      <c r="S2094" s="73"/>
      <c r="T2094" s="72"/>
      <c r="U2094" s="73"/>
      <c r="V2094" s="72"/>
      <c r="W2094" s="73"/>
      <c r="X2094" s="72"/>
      <c r="Y2094" s="73"/>
      <c r="Z2094" s="74" t="b">
        <v>0</v>
      </c>
      <c r="AA2094" s="130">
        <f t="shared" si="835"/>
        <v>0</v>
      </c>
      <c r="AB2094" s="131">
        <f t="shared" si="836"/>
        <v>0</v>
      </c>
      <c r="AC2094" s="132">
        <f t="shared" si="837"/>
        <v>0</v>
      </c>
      <c r="AD2094" s="133">
        <f t="shared" si="838"/>
        <v>0</v>
      </c>
      <c r="AE2094" s="131">
        <f t="shared" si="839"/>
        <v>0</v>
      </c>
      <c r="AF2094" s="133">
        <f t="shared" si="840"/>
        <v>0</v>
      </c>
      <c r="AG2094" s="1"/>
    </row>
    <row r="2095" ht="21.0" customHeight="1">
      <c r="A2095" s="1"/>
      <c r="B2095" s="48" t="s">
        <v>39</v>
      </c>
      <c r="C2095" s="49"/>
      <c r="D2095" s="65"/>
      <c r="E2095" s="41"/>
      <c r="F2095" s="52" t="s">
        <v>40</v>
      </c>
      <c r="G2095" s="79"/>
      <c r="H2095" s="80"/>
      <c r="I2095" s="69"/>
      <c r="J2095" s="72"/>
      <c r="K2095" s="73"/>
      <c r="L2095" s="72"/>
      <c r="M2095" s="73"/>
      <c r="N2095" s="72"/>
      <c r="O2095" s="73"/>
      <c r="P2095" s="72"/>
      <c r="Q2095" s="73"/>
      <c r="R2095" s="72"/>
      <c r="S2095" s="73"/>
      <c r="T2095" s="72"/>
      <c r="U2095" s="73"/>
      <c r="V2095" s="72"/>
      <c r="W2095" s="73"/>
      <c r="X2095" s="72"/>
      <c r="Y2095" s="73"/>
      <c r="Z2095" s="74" t="b">
        <v>0</v>
      </c>
      <c r="AA2095" s="130">
        <f t="shared" si="835"/>
        <v>0</v>
      </c>
      <c r="AB2095" s="131">
        <f t="shared" si="836"/>
        <v>0</v>
      </c>
      <c r="AC2095" s="132">
        <f t="shared" si="837"/>
        <v>0</v>
      </c>
      <c r="AD2095" s="133">
        <f t="shared" si="838"/>
        <v>0</v>
      </c>
      <c r="AE2095" s="131">
        <f t="shared" si="839"/>
        <v>0</v>
      </c>
      <c r="AF2095" s="133">
        <f t="shared" si="840"/>
        <v>0</v>
      </c>
      <c r="AG2095" s="1"/>
    </row>
    <row r="2096" ht="21.0" customHeight="1">
      <c r="A2096" s="1"/>
      <c r="B2096" s="48" t="s">
        <v>41</v>
      </c>
      <c r="C2096" s="81"/>
      <c r="D2096" s="82" t="b">
        <v>0</v>
      </c>
      <c r="E2096" s="51" t="s">
        <v>42</v>
      </c>
      <c r="F2096" s="52" t="s">
        <v>34</v>
      </c>
      <c r="G2096" s="83"/>
      <c r="H2096" s="84"/>
      <c r="I2096" s="85"/>
      <c r="J2096" s="72"/>
      <c r="K2096" s="73"/>
      <c r="L2096" s="72"/>
      <c r="M2096" s="73"/>
      <c r="N2096" s="72"/>
      <c r="O2096" s="73"/>
      <c r="P2096" s="72"/>
      <c r="Q2096" s="73"/>
      <c r="R2096" s="72"/>
      <c r="S2096" s="73"/>
      <c r="T2096" s="72"/>
      <c r="U2096" s="73"/>
      <c r="V2096" s="72"/>
      <c r="W2096" s="73"/>
      <c r="X2096" s="72"/>
      <c r="Y2096" s="73"/>
      <c r="Z2096" s="74" t="b">
        <v>0</v>
      </c>
      <c r="AA2096" s="130">
        <f t="shared" si="835"/>
        <v>0</v>
      </c>
      <c r="AB2096" s="131">
        <f t="shared" si="836"/>
        <v>0</v>
      </c>
      <c r="AC2096" s="132">
        <f t="shared" si="837"/>
        <v>0</v>
      </c>
      <c r="AD2096" s="133">
        <f t="shared" si="838"/>
        <v>0</v>
      </c>
      <c r="AE2096" s="131">
        <f t="shared" si="839"/>
        <v>0</v>
      </c>
      <c r="AF2096" s="133">
        <f t="shared" si="840"/>
        <v>0</v>
      </c>
      <c r="AG2096" s="1"/>
    </row>
    <row r="2097" ht="21.0" customHeight="1">
      <c r="A2097" s="1"/>
      <c r="B2097" s="48" t="s">
        <v>43</v>
      </c>
      <c r="C2097" s="49"/>
      <c r="D2097" s="86" t="b">
        <v>0</v>
      </c>
      <c r="E2097" s="66"/>
      <c r="F2097" s="52" t="s">
        <v>37</v>
      </c>
      <c r="G2097" s="67"/>
      <c r="H2097" s="80"/>
      <c r="I2097" s="69"/>
      <c r="J2097" s="72"/>
      <c r="K2097" s="73"/>
      <c r="L2097" s="72"/>
      <c r="M2097" s="73"/>
      <c r="N2097" s="72"/>
      <c r="O2097" s="73"/>
      <c r="P2097" s="72"/>
      <c r="Q2097" s="73"/>
      <c r="R2097" s="72"/>
      <c r="S2097" s="73"/>
      <c r="T2097" s="72"/>
      <c r="U2097" s="73"/>
      <c r="V2097" s="72"/>
      <c r="W2097" s="73"/>
      <c r="X2097" s="72"/>
      <c r="Y2097" s="73"/>
      <c r="Z2097" s="74" t="b">
        <v>0</v>
      </c>
      <c r="AA2097" s="130">
        <f t="shared" si="835"/>
        <v>0</v>
      </c>
      <c r="AB2097" s="131">
        <f t="shared" si="836"/>
        <v>0</v>
      </c>
      <c r="AC2097" s="132">
        <f t="shared" si="837"/>
        <v>0</v>
      </c>
      <c r="AD2097" s="133">
        <f t="shared" si="838"/>
        <v>0</v>
      </c>
      <c r="AE2097" s="131">
        <f t="shared" si="839"/>
        <v>0</v>
      </c>
      <c r="AF2097" s="133">
        <f t="shared" si="840"/>
        <v>0</v>
      </c>
      <c r="AG2097" s="1"/>
    </row>
    <row r="2098" ht="21.0" customHeight="1">
      <c r="A2098" s="1"/>
      <c r="B2098" s="87" t="str">
        <f t="array" ref="B2098">"📌최근 인바디 결과 : "&amp;text(xlookup(B2090,'현황'!O:O,'현황'!O:O,,-1,-1),"m/d(ddd)")</f>
        <v>#REF!</v>
      </c>
      <c r="C2098" s="88"/>
      <c r="D2098" s="49"/>
      <c r="E2098" s="41"/>
      <c r="F2098" s="52" t="s">
        <v>40</v>
      </c>
      <c r="G2098" s="79"/>
      <c r="H2098" s="80"/>
      <c r="I2098" s="69"/>
      <c r="J2098" s="72"/>
      <c r="K2098" s="73"/>
      <c r="L2098" s="72"/>
      <c r="M2098" s="73"/>
      <c r="N2098" s="72"/>
      <c r="O2098" s="73"/>
      <c r="P2098" s="72"/>
      <c r="Q2098" s="73"/>
      <c r="R2098" s="72"/>
      <c r="S2098" s="73"/>
      <c r="T2098" s="72"/>
      <c r="U2098" s="73"/>
      <c r="V2098" s="72"/>
      <c r="W2098" s="73"/>
      <c r="X2098" s="72"/>
      <c r="Y2098" s="73"/>
      <c r="Z2098" s="74" t="b">
        <v>0</v>
      </c>
      <c r="AA2098" s="130">
        <f t="shared" si="835"/>
        <v>0</v>
      </c>
      <c r="AB2098" s="131">
        <f t="shared" si="836"/>
        <v>0</v>
      </c>
      <c r="AC2098" s="132">
        <f t="shared" si="837"/>
        <v>0</v>
      </c>
      <c r="AD2098" s="133">
        <f t="shared" si="838"/>
        <v>0</v>
      </c>
      <c r="AE2098" s="131">
        <f t="shared" si="839"/>
        <v>0</v>
      </c>
      <c r="AF2098" s="133">
        <f t="shared" si="840"/>
        <v>0</v>
      </c>
      <c r="AG2098" s="1"/>
    </row>
    <row r="2099" ht="21.0" customHeight="1">
      <c r="A2099" s="1"/>
      <c r="B2099" s="89" t="s">
        <v>44</v>
      </c>
      <c r="C2099" s="49"/>
      <c r="D2099" s="90">
        <f t="array" ref="D2099">iferror(vlookup(xlookup(B2090,'현황'!O:O,'현황'!O:O,,-1,-1),'현황'!O:S,2,false),0)</f>
        <v>0</v>
      </c>
      <c r="E2099" s="51" t="s">
        <v>45</v>
      </c>
      <c r="F2099" s="52" t="s">
        <v>34</v>
      </c>
      <c r="G2099" s="83"/>
      <c r="H2099" s="84"/>
      <c r="I2099" s="85"/>
      <c r="J2099" s="72"/>
      <c r="K2099" s="73"/>
      <c r="L2099" s="72"/>
      <c r="M2099" s="73"/>
      <c r="N2099" s="72"/>
      <c r="O2099" s="73"/>
      <c r="P2099" s="72"/>
      <c r="Q2099" s="73"/>
      <c r="R2099" s="72"/>
      <c r="S2099" s="73"/>
      <c r="T2099" s="72"/>
      <c r="U2099" s="73"/>
      <c r="V2099" s="72"/>
      <c r="W2099" s="73"/>
      <c r="X2099" s="72"/>
      <c r="Y2099" s="73"/>
      <c r="Z2099" s="74" t="b">
        <v>0</v>
      </c>
      <c r="AA2099" s="130">
        <f t="shared" si="835"/>
        <v>0</v>
      </c>
      <c r="AB2099" s="131">
        <f t="shared" si="836"/>
        <v>0</v>
      </c>
      <c r="AC2099" s="132">
        <f t="shared" si="837"/>
        <v>0</v>
      </c>
      <c r="AD2099" s="133">
        <f t="shared" si="838"/>
        <v>0</v>
      </c>
      <c r="AE2099" s="131">
        <f t="shared" si="839"/>
        <v>0</v>
      </c>
      <c r="AF2099" s="133">
        <f t="shared" si="840"/>
        <v>0</v>
      </c>
      <c r="AG2099" s="1"/>
    </row>
    <row r="2100" ht="21.0" customHeight="1">
      <c r="A2100" s="1"/>
      <c r="B2100" s="48" t="s">
        <v>46</v>
      </c>
      <c r="C2100" s="49"/>
      <c r="D2100" s="91">
        <f t="array" ref="D2100">iferror(vlookup(xlookup(B2090,'현황'!O:O,'현황'!O:O,,-1,-1),'현황'!O:S,3,false),0)</f>
        <v>0</v>
      </c>
      <c r="E2100" s="66"/>
      <c r="F2100" s="52" t="s">
        <v>37</v>
      </c>
      <c r="G2100" s="67"/>
      <c r="H2100" s="80"/>
      <c r="I2100" s="69"/>
      <c r="J2100" s="72"/>
      <c r="K2100" s="73"/>
      <c r="L2100" s="72"/>
      <c r="M2100" s="73"/>
      <c r="N2100" s="72"/>
      <c r="O2100" s="73"/>
      <c r="P2100" s="72"/>
      <c r="Q2100" s="73"/>
      <c r="R2100" s="72"/>
      <c r="S2100" s="73"/>
      <c r="T2100" s="72"/>
      <c r="U2100" s="73"/>
      <c r="V2100" s="72"/>
      <c r="W2100" s="73"/>
      <c r="X2100" s="72"/>
      <c r="Y2100" s="73"/>
      <c r="Z2100" s="74" t="b">
        <v>0</v>
      </c>
      <c r="AA2100" s="130">
        <f t="shared" si="835"/>
        <v>0</v>
      </c>
      <c r="AB2100" s="131">
        <f t="shared" si="836"/>
        <v>0</v>
      </c>
      <c r="AC2100" s="132">
        <f t="shared" si="837"/>
        <v>0</v>
      </c>
      <c r="AD2100" s="133">
        <f t="shared" si="838"/>
        <v>0</v>
      </c>
      <c r="AE2100" s="131">
        <f t="shared" si="839"/>
        <v>0</v>
      </c>
      <c r="AF2100" s="133">
        <f t="shared" si="840"/>
        <v>0</v>
      </c>
      <c r="AG2100" s="1"/>
    </row>
    <row r="2101" ht="21.0" customHeight="1">
      <c r="A2101" s="1"/>
      <c r="B2101" s="48" t="s">
        <v>47</v>
      </c>
      <c r="C2101" s="49"/>
      <c r="D2101" s="91">
        <f t="array" ref="D2101">iferror(vlookup(xlookup(B2090,'현황'!O:O,'현황'!O:O,,-1,-1),'현황'!O:S,4,false),0)</f>
        <v>0</v>
      </c>
      <c r="E2101" s="41"/>
      <c r="F2101" s="92" t="s">
        <v>40</v>
      </c>
      <c r="G2101" s="79"/>
      <c r="H2101" s="93"/>
      <c r="I2101" s="94"/>
      <c r="J2101" s="95"/>
      <c r="K2101" s="96"/>
      <c r="L2101" s="95"/>
      <c r="M2101" s="96"/>
      <c r="N2101" s="95"/>
      <c r="O2101" s="96"/>
      <c r="P2101" s="95"/>
      <c r="Q2101" s="96"/>
      <c r="R2101" s="95"/>
      <c r="S2101" s="96"/>
      <c r="T2101" s="95"/>
      <c r="U2101" s="96"/>
      <c r="V2101" s="95"/>
      <c r="W2101" s="96"/>
      <c r="X2101" s="95"/>
      <c r="Y2101" s="96"/>
      <c r="Z2101" s="97" t="b">
        <v>0</v>
      </c>
      <c r="AA2101" s="135">
        <f t="shared" si="835"/>
        <v>0</v>
      </c>
      <c r="AB2101" s="136">
        <f t="shared" si="836"/>
        <v>0</v>
      </c>
      <c r="AC2101" s="137">
        <f t="shared" si="837"/>
        <v>0</v>
      </c>
      <c r="AD2101" s="138">
        <f t="shared" si="838"/>
        <v>0</v>
      </c>
      <c r="AE2101" s="136">
        <f t="shared" si="839"/>
        <v>0</v>
      </c>
      <c r="AF2101" s="138">
        <f t="shared" si="840"/>
        <v>0</v>
      </c>
      <c r="AG2101" s="1"/>
    </row>
    <row r="2102" ht="21.0" customHeight="1">
      <c r="A2102" s="1"/>
      <c r="B2102" s="102" t="s">
        <v>48</v>
      </c>
      <c r="C2102" s="103"/>
      <c r="D2102" s="104">
        <f>iferror(D2101/D2099,0)</f>
        <v>0</v>
      </c>
      <c r="E2102" s="102" t="s">
        <v>49</v>
      </c>
      <c r="F2102" s="103"/>
      <c r="G2102" s="105"/>
      <c r="H2102" s="143" t="s">
        <v>50</v>
      </c>
      <c r="I2102" s="144"/>
      <c r="J2102" s="11"/>
      <c r="K2102" s="11"/>
      <c r="L2102" s="11"/>
      <c r="M2102" s="11"/>
      <c r="N2102" s="11"/>
      <c r="O2102" s="11"/>
      <c r="P2102" s="145" t="s">
        <v>51</v>
      </c>
      <c r="Q2102" s="12"/>
      <c r="R2102" s="146"/>
      <c r="S2102" s="11"/>
      <c r="T2102" s="11"/>
      <c r="U2102" s="11"/>
      <c r="V2102" s="11"/>
      <c r="W2102" s="11"/>
      <c r="X2102" s="11"/>
      <c r="Y2102" s="11"/>
      <c r="Z2102" s="12"/>
      <c r="AA2102" s="139">
        <f>SUM(AA2093:AA2101)</f>
        <v>0</v>
      </c>
      <c r="AB2102" s="140" t="s">
        <v>377</v>
      </c>
      <c r="AG2102" s="1"/>
    </row>
    <row r="2103" ht="21.0" customHeight="1">
      <c r="A2103" s="1"/>
      <c r="B2103" s="1"/>
      <c r="C2103" s="1"/>
      <c r="D2103" s="1"/>
      <c r="E2103" s="1"/>
      <c r="F2103" s="1"/>
      <c r="G2103" s="1"/>
      <c r="H2103" s="1"/>
      <c r="I2103" s="1"/>
      <c r="AA2103" s="1"/>
      <c r="AB2103" s="1"/>
      <c r="AC2103" s="3"/>
      <c r="AD2103" s="1"/>
      <c r="AE2103" s="1"/>
      <c r="AF2103" s="1"/>
      <c r="AG2103" s="1"/>
    </row>
    <row r="2104" ht="21.0" customHeight="1">
      <c r="A2104" s="1"/>
      <c r="B2104" s="4" t="s">
        <v>1</v>
      </c>
      <c r="C2104" s="5"/>
      <c r="D2104" s="6" t="s">
        <v>2</v>
      </c>
      <c r="E2104" s="7"/>
      <c r="F2104" s="7"/>
      <c r="G2104" s="5"/>
      <c r="H2104" s="8" t="s">
        <v>3</v>
      </c>
      <c r="I2104" s="8" t="s">
        <v>4</v>
      </c>
      <c r="J2104" s="9" t="s">
        <v>5</v>
      </c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5"/>
      <c r="AA2104" s="117" t="s">
        <v>6</v>
      </c>
      <c r="AB2104" s="11"/>
      <c r="AC2104" s="11"/>
      <c r="AD2104" s="11"/>
      <c r="AE2104" s="11"/>
      <c r="AF2104" s="12"/>
      <c r="AG2104" s="1"/>
    </row>
    <row r="2105" ht="21.0" customHeight="1">
      <c r="A2105" s="1"/>
      <c r="B2105" s="149" t="s">
        <v>138</v>
      </c>
      <c r="C2105" s="14" t="str">
        <f>if(B2105="0/0","",choose(weekday(B2105),"(일)","(월)","(화)","(수)","(목)","(금)","(토)"))</f>
        <v/>
      </c>
      <c r="D2105" s="15" t="s">
        <v>7</v>
      </c>
      <c r="E2105" s="16" t="s">
        <v>8</v>
      </c>
      <c r="F2105" s="17"/>
      <c r="G2105" s="18" t="s">
        <v>9</v>
      </c>
      <c r="H2105" s="150" t="s">
        <v>139</v>
      </c>
      <c r="I2105" s="151"/>
      <c r="J2105" s="21" t="s">
        <v>12</v>
      </c>
      <c r="K2105" s="22"/>
      <c r="L2105" s="21" t="s">
        <v>13</v>
      </c>
      <c r="M2105" s="22"/>
      <c r="N2105" s="21" t="s">
        <v>14</v>
      </c>
      <c r="O2105" s="22"/>
      <c r="P2105" s="21" t="s">
        <v>15</v>
      </c>
      <c r="Q2105" s="22"/>
      <c r="R2105" s="23" t="s">
        <v>16</v>
      </c>
      <c r="S2105" s="22"/>
      <c r="T2105" s="23" t="s">
        <v>17</v>
      </c>
      <c r="U2105" s="22"/>
      <c r="V2105" s="23" t="s">
        <v>18</v>
      </c>
      <c r="W2105" s="22"/>
      <c r="X2105" s="23" t="s">
        <v>19</v>
      </c>
      <c r="Y2105" s="22"/>
      <c r="Z2105" s="24" t="s">
        <v>378</v>
      </c>
      <c r="AA2105" s="118" t="s">
        <v>21</v>
      </c>
      <c r="AB2105" s="119" t="s">
        <v>22</v>
      </c>
      <c r="AC2105" s="7"/>
      <c r="AD2105" s="22"/>
      <c r="AE2105" s="120" t="s">
        <v>23</v>
      </c>
      <c r="AF2105" s="22"/>
      <c r="AG2105" s="1"/>
    </row>
    <row r="2106" ht="21.0" customHeight="1">
      <c r="A2106" s="1"/>
      <c r="B2106" s="27">
        <f>iferror(B2105-'현황'!$C$4+1,0)</f>
        <v>0</v>
      </c>
      <c r="C2106" s="28"/>
      <c r="D2106" s="29">
        <v>0.0</v>
      </c>
      <c r="E2106" s="30">
        <v>0.0</v>
      </c>
      <c r="F2106" s="31"/>
      <c r="G2106" s="32">
        <v>0.0</v>
      </c>
      <c r="H2106" s="33">
        <v>0.0</v>
      </c>
      <c r="I2106" s="34"/>
      <c r="J2106" s="35"/>
      <c r="K2106" s="36"/>
      <c r="L2106" s="35"/>
      <c r="M2106" s="36"/>
      <c r="N2106" s="35"/>
      <c r="O2106" s="36"/>
      <c r="P2106" s="35"/>
      <c r="Q2106" s="36"/>
      <c r="R2106" s="35"/>
      <c r="S2106" s="36"/>
      <c r="T2106" s="35"/>
      <c r="U2106" s="36"/>
      <c r="V2106" s="35"/>
      <c r="W2106" s="36"/>
      <c r="X2106" s="35"/>
      <c r="Y2106" s="36"/>
      <c r="Z2106" s="37"/>
      <c r="AA2106" s="37"/>
      <c r="AB2106" s="35"/>
      <c r="AC2106" s="38"/>
      <c r="AD2106" s="36"/>
      <c r="AE2106" s="35"/>
      <c r="AF2106" s="36"/>
      <c r="AG2106" s="1"/>
    </row>
    <row r="2107" ht="21.0" customHeight="1">
      <c r="A2107" s="1"/>
      <c r="B2107" s="39" t="s">
        <v>24</v>
      </c>
      <c r="C2107" s="40"/>
      <c r="D2107" s="41"/>
      <c r="E2107" s="42" t="s">
        <v>25</v>
      </c>
      <c r="F2107" s="40"/>
      <c r="G2107" s="41"/>
      <c r="H2107" s="43" t="s">
        <v>26</v>
      </c>
      <c r="J2107" s="44" t="s">
        <v>27</v>
      </c>
      <c r="K2107" s="45" t="s">
        <v>28</v>
      </c>
      <c r="L2107" s="44" t="s">
        <v>27</v>
      </c>
      <c r="M2107" s="45" t="s">
        <v>28</v>
      </c>
      <c r="N2107" s="44" t="s">
        <v>27</v>
      </c>
      <c r="O2107" s="45" t="s">
        <v>28</v>
      </c>
      <c r="P2107" s="44" t="s">
        <v>27</v>
      </c>
      <c r="Q2107" s="45" t="s">
        <v>28</v>
      </c>
      <c r="R2107" s="44" t="s">
        <v>27</v>
      </c>
      <c r="S2107" s="45" t="s">
        <v>28</v>
      </c>
      <c r="T2107" s="44" t="s">
        <v>27</v>
      </c>
      <c r="U2107" s="45" t="s">
        <v>28</v>
      </c>
      <c r="V2107" s="44" t="s">
        <v>27</v>
      </c>
      <c r="W2107" s="45" t="s">
        <v>28</v>
      </c>
      <c r="X2107" s="44" t="s">
        <v>27</v>
      </c>
      <c r="Y2107" s="45" t="s">
        <v>28</v>
      </c>
      <c r="Z2107" s="46"/>
      <c r="AA2107" s="46"/>
      <c r="AB2107" s="121" t="s">
        <v>29</v>
      </c>
      <c r="AC2107" s="122" t="s">
        <v>30</v>
      </c>
      <c r="AD2107" s="123" t="s">
        <v>31</v>
      </c>
      <c r="AE2107" s="121" t="s">
        <v>27</v>
      </c>
      <c r="AF2107" s="123" t="s">
        <v>28</v>
      </c>
      <c r="AG2107" s="1"/>
    </row>
    <row r="2108" ht="21.0" customHeight="1">
      <c r="A2108" s="1"/>
      <c r="B2108" s="48" t="s">
        <v>32</v>
      </c>
      <c r="C2108" s="49"/>
      <c r="D2108" s="50"/>
      <c r="E2108" s="51" t="s">
        <v>33</v>
      </c>
      <c r="F2108" s="52" t="s">
        <v>34</v>
      </c>
      <c r="G2108" s="53"/>
      <c r="H2108" s="148"/>
      <c r="I2108" s="55"/>
      <c r="J2108" s="58"/>
      <c r="K2108" s="59"/>
      <c r="L2108" s="58"/>
      <c r="M2108" s="59"/>
      <c r="N2108" s="58"/>
      <c r="O2108" s="59"/>
      <c r="P2108" s="58"/>
      <c r="Q2108" s="59"/>
      <c r="R2108" s="58"/>
      <c r="S2108" s="59"/>
      <c r="T2108" s="58"/>
      <c r="U2108" s="59"/>
      <c r="V2108" s="58"/>
      <c r="W2108" s="59"/>
      <c r="X2108" s="58"/>
      <c r="Y2108" s="59"/>
      <c r="Z2108" s="60" t="b">
        <v>0</v>
      </c>
      <c r="AA2108" s="125">
        <f t="shared" ref="AA2108:AA2116" si="841">(J2108*K2108+L2108*M2108+N2108*O2108+P2108*Q2108+R2108*S2108+T2108*U2108+V2108*W2108+X2108*Y2108)*if(Z2108=true,0.453592,1)</f>
        <v>0</v>
      </c>
      <c r="AB2108" s="126">
        <f t="shared" ref="AB2108:AB2116" si="842">SUM(AE2108*AF2108*0.025,AE2108)</f>
        <v>0</v>
      </c>
      <c r="AC2108" s="127">
        <f t="shared" ref="AC2108:AC2116" si="843">AB2108*87%</f>
        <v>0</v>
      </c>
      <c r="AD2108" s="128">
        <f t="shared" ref="AD2108:AD2116" si="844">AB2108*67%</f>
        <v>0</v>
      </c>
      <c r="AE2108" s="126">
        <f t="shared" ref="AE2108:AE2116" si="845">MAX(J2108,L2108,N2108,P2108,R2108,T2108,V2108,X2108)*if(Z2108=true,0.453592,1)</f>
        <v>0</v>
      </c>
      <c r="AF2108" s="128">
        <f t="shared" ref="AF2108:AF2116" si="846">MAX(IF(J2108*if(Z2108=true,0.453592,1)=$AE2108,K2108,0),IF(L2108*if(Z2108=true,0.453592,1)=$AE2108,M2108,0),IF(N2108*if(Z2108=true,0.453592,1)=$AE2108,O2108,0),IF(P2108*if(Z2108=true,0.453592,1)=$AE2108,Q2108,0),IF(R2108*if(Z2108=true,0.453592,1)=$AE2108,S2108,0),IF(T2108*if(Z2108=true,0.453592,1)=$AE2108,U2108,0),IF(V2108*if(Z2108=true,0.453592,1)=$AE2108,W2108,0),IF(X2108*if(Z2108=true,0.453592,1)=$AE2108,Y2108,0))</f>
        <v>0</v>
      </c>
      <c r="AG2108" s="1"/>
    </row>
    <row r="2109" ht="21.0" customHeight="1">
      <c r="A2109" s="1"/>
      <c r="B2109" s="48" t="s">
        <v>36</v>
      </c>
      <c r="C2109" s="49"/>
      <c r="D2109" s="65"/>
      <c r="E2109" s="66"/>
      <c r="F2109" s="52" t="s">
        <v>37</v>
      </c>
      <c r="G2109" s="67"/>
      <c r="H2109" s="129"/>
      <c r="I2109" s="69"/>
      <c r="J2109" s="72"/>
      <c r="K2109" s="73"/>
      <c r="L2109" s="72"/>
      <c r="M2109" s="73"/>
      <c r="N2109" s="72"/>
      <c r="O2109" s="73"/>
      <c r="P2109" s="72"/>
      <c r="Q2109" s="73"/>
      <c r="R2109" s="72"/>
      <c r="S2109" s="73"/>
      <c r="T2109" s="72"/>
      <c r="U2109" s="73"/>
      <c r="V2109" s="72"/>
      <c r="W2109" s="73"/>
      <c r="X2109" s="72"/>
      <c r="Y2109" s="73"/>
      <c r="Z2109" s="74" t="b">
        <v>0</v>
      </c>
      <c r="AA2109" s="130">
        <f t="shared" si="841"/>
        <v>0</v>
      </c>
      <c r="AB2109" s="131">
        <f t="shared" si="842"/>
        <v>0</v>
      </c>
      <c r="AC2109" s="132">
        <f t="shared" si="843"/>
        <v>0</v>
      </c>
      <c r="AD2109" s="133">
        <f t="shared" si="844"/>
        <v>0</v>
      </c>
      <c r="AE2109" s="131">
        <f t="shared" si="845"/>
        <v>0</v>
      </c>
      <c r="AF2109" s="133">
        <f t="shared" si="846"/>
        <v>0</v>
      </c>
      <c r="AG2109" s="1"/>
    </row>
    <row r="2110" ht="21.0" customHeight="1">
      <c r="A2110" s="1"/>
      <c r="B2110" s="48" t="s">
        <v>39</v>
      </c>
      <c r="C2110" s="49"/>
      <c r="D2110" s="65"/>
      <c r="E2110" s="41"/>
      <c r="F2110" s="52" t="s">
        <v>40</v>
      </c>
      <c r="G2110" s="79"/>
      <c r="H2110" s="80"/>
      <c r="I2110" s="69"/>
      <c r="J2110" s="72"/>
      <c r="K2110" s="73"/>
      <c r="L2110" s="72"/>
      <c r="M2110" s="73"/>
      <c r="N2110" s="72"/>
      <c r="O2110" s="73"/>
      <c r="P2110" s="72"/>
      <c r="Q2110" s="73"/>
      <c r="R2110" s="72"/>
      <c r="S2110" s="73"/>
      <c r="T2110" s="72"/>
      <c r="U2110" s="73"/>
      <c r="V2110" s="72"/>
      <c r="W2110" s="73"/>
      <c r="X2110" s="72"/>
      <c r="Y2110" s="73"/>
      <c r="Z2110" s="74" t="b">
        <v>0</v>
      </c>
      <c r="AA2110" s="130">
        <f t="shared" si="841"/>
        <v>0</v>
      </c>
      <c r="AB2110" s="131">
        <f t="shared" si="842"/>
        <v>0</v>
      </c>
      <c r="AC2110" s="132">
        <f t="shared" si="843"/>
        <v>0</v>
      </c>
      <c r="AD2110" s="133">
        <f t="shared" si="844"/>
        <v>0</v>
      </c>
      <c r="AE2110" s="131">
        <f t="shared" si="845"/>
        <v>0</v>
      </c>
      <c r="AF2110" s="133">
        <f t="shared" si="846"/>
        <v>0</v>
      </c>
      <c r="AG2110" s="1"/>
    </row>
    <row r="2111" ht="21.0" customHeight="1">
      <c r="A2111" s="1"/>
      <c r="B2111" s="48" t="s">
        <v>41</v>
      </c>
      <c r="C2111" s="81"/>
      <c r="D2111" s="82" t="b">
        <v>0</v>
      </c>
      <c r="E2111" s="51" t="s">
        <v>42</v>
      </c>
      <c r="F2111" s="52" t="s">
        <v>34</v>
      </c>
      <c r="G2111" s="83"/>
      <c r="H2111" s="84"/>
      <c r="I2111" s="85"/>
      <c r="J2111" s="72"/>
      <c r="K2111" s="73"/>
      <c r="L2111" s="72"/>
      <c r="M2111" s="73"/>
      <c r="N2111" s="72"/>
      <c r="O2111" s="73"/>
      <c r="P2111" s="72"/>
      <c r="Q2111" s="73"/>
      <c r="R2111" s="72"/>
      <c r="S2111" s="73"/>
      <c r="T2111" s="72"/>
      <c r="U2111" s="73"/>
      <c r="V2111" s="72"/>
      <c r="W2111" s="73"/>
      <c r="X2111" s="72"/>
      <c r="Y2111" s="73"/>
      <c r="Z2111" s="74" t="b">
        <v>0</v>
      </c>
      <c r="AA2111" s="130">
        <f t="shared" si="841"/>
        <v>0</v>
      </c>
      <c r="AB2111" s="131">
        <f t="shared" si="842"/>
        <v>0</v>
      </c>
      <c r="AC2111" s="132">
        <f t="shared" si="843"/>
        <v>0</v>
      </c>
      <c r="AD2111" s="133">
        <f t="shared" si="844"/>
        <v>0</v>
      </c>
      <c r="AE2111" s="131">
        <f t="shared" si="845"/>
        <v>0</v>
      </c>
      <c r="AF2111" s="133">
        <f t="shared" si="846"/>
        <v>0</v>
      </c>
      <c r="AG2111" s="1"/>
    </row>
    <row r="2112" ht="21.0" customHeight="1">
      <c r="A2112" s="1"/>
      <c r="B2112" s="48" t="s">
        <v>43</v>
      </c>
      <c r="C2112" s="49"/>
      <c r="D2112" s="86" t="b">
        <v>0</v>
      </c>
      <c r="E2112" s="66"/>
      <c r="F2112" s="52" t="s">
        <v>37</v>
      </c>
      <c r="G2112" s="67"/>
      <c r="H2112" s="80"/>
      <c r="I2112" s="69"/>
      <c r="J2112" s="72"/>
      <c r="K2112" s="73"/>
      <c r="L2112" s="72"/>
      <c r="M2112" s="73"/>
      <c r="N2112" s="72"/>
      <c r="O2112" s="73"/>
      <c r="P2112" s="72"/>
      <c r="Q2112" s="73"/>
      <c r="R2112" s="72"/>
      <c r="S2112" s="73"/>
      <c r="T2112" s="72"/>
      <c r="U2112" s="73"/>
      <c r="V2112" s="72"/>
      <c r="W2112" s="73"/>
      <c r="X2112" s="72"/>
      <c r="Y2112" s="73"/>
      <c r="Z2112" s="74" t="b">
        <v>0</v>
      </c>
      <c r="AA2112" s="130">
        <f t="shared" si="841"/>
        <v>0</v>
      </c>
      <c r="AB2112" s="131">
        <f t="shared" si="842"/>
        <v>0</v>
      </c>
      <c r="AC2112" s="132">
        <f t="shared" si="843"/>
        <v>0</v>
      </c>
      <c r="AD2112" s="133">
        <f t="shared" si="844"/>
        <v>0</v>
      </c>
      <c r="AE2112" s="131">
        <f t="shared" si="845"/>
        <v>0</v>
      </c>
      <c r="AF2112" s="133">
        <f t="shared" si="846"/>
        <v>0</v>
      </c>
      <c r="AG2112" s="1"/>
    </row>
    <row r="2113" ht="21.0" customHeight="1">
      <c r="A2113" s="1"/>
      <c r="B2113" s="87" t="str">
        <f t="array" ref="B2113">"📌최근 인바디 결과 : "&amp;text(xlookup(B2105,'현황'!O:O,'현황'!O:O,,-1,-1),"m/d(ddd)")</f>
        <v>#REF!</v>
      </c>
      <c r="C2113" s="88"/>
      <c r="D2113" s="49"/>
      <c r="E2113" s="41"/>
      <c r="F2113" s="52" t="s">
        <v>40</v>
      </c>
      <c r="G2113" s="79"/>
      <c r="H2113" s="80"/>
      <c r="I2113" s="69"/>
      <c r="J2113" s="72"/>
      <c r="K2113" s="73"/>
      <c r="L2113" s="72"/>
      <c r="M2113" s="73"/>
      <c r="N2113" s="72"/>
      <c r="O2113" s="73"/>
      <c r="P2113" s="72"/>
      <c r="Q2113" s="73"/>
      <c r="R2113" s="72"/>
      <c r="S2113" s="73"/>
      <c r="T2113" s="72"/>
      <c r="U2113" s="73"/>
      <c r="V2113" s="72"/>
      <c r="W2113" s="73"/>
      <c r="X2113" s="72"/>
      <c r="Y2113" s="73"/>
      <c r="Z2113" s="74" t="b">
        <v>0</v>
      </c>
      <c r="AA2113" s="130">
        <f t="shared" si="841"/>
        <v>0</v>
      </c>
      <c r="AB2113" s="131">
        <f t="shared" si="842"/>
        <v>0</v>
      </c>
      <c r="AC2113" s="132">
        <f t="shared" si="843"/>
        <v>0</v>
      </c>
      <c r="AD2113" s="133">
        <f t="shared" si="844"/>
        <v>0</v>
      </c>
      <c r="AE2113" s="131">
        <f t="shared" si="845"/>
        <v>0</v>
      </c>
      <c r="AF2113" s="133">
        <f t="shared" si="846"/>
        <v>0</v>
      </c>
      <c r="AG2113" s="1"/>
    </row>
    <row r="2114" ht="21.0" customHeight="1">
      <c r="A2114" s="1"/>
      <c r="B2114" s="89" t="s">
        <v>44</v>
      </c>
      <c r="C2114" s="49"/>
      <c r="D2114" s="90">
        <f t="array" ref="D2114">iferror(vlookup(xlookup(B2105,'현황'!O:O,'현황'!O:O,,-1,-1),'현황'!O:S,2,false),0)</f>
        <v>0</v>
      </c>
      <c r="E2114" s="51" t="s">
        <v>45</v>
      </c>
      <c r="F2114" s="52" t="s">
        <v>34</v>
      </c>
      <c r="G2114" s="83"/>
      <c r="H2114" s="84"/>
      <c r="I2114" s="85"/>
      <c r="J2114" s="72"/>
      <c r="K2114" s="73"/>
      <c r="L2114" s="72"/>
      <c r="M2114" s="73"/>
      <c r="N2114" s="72"/>
      <c r="O2114" s="73"/>
      <c r="P2114" s="72"/>
      <c r="Q2114" s="73"/>
      <c r="R2114" s="72"/>
      <c r="S2114" s="73"/>
      <c r="T2114" s="72"/>
      <c r="U2114" s="73"/>
      <c r="V2114" s="72"/>
      <c r="W2114" s="73"/>
      <c r="X2114" s="72"/>
      <c r="Y2114" s="73"/>
      <c r="Z2114" s="74" t="b">
        <v>0</v>
      </c>
      <c r="AA2114" s="130">
        <f t="shared" si="841"/>
        <v>0</v>
      </c>
      <c r="AB2114" s="131">
        <f t="shared" si="842"/>
        <v>0</v>
      </c>
      <c r="AC2114" s="132">
        <f t="shared" si="843"/>
        <v>0</v>
      </c>
      <c r="AD2114" s="133">
        <f t="shared" si="844"/>
        <v>0</v>
      </c>
      <c r="AE2114" s="131">
        <f t="shared" si="845"/>
        <v>0</v>
      </c>
      <c r="AF2114" s="133">
        <f t="shared" si="846"/>
        <v>0</v>
      </c>
      <c r="AG2114" s="1"/>
    </row>
    <row r="2115" ht="21.0" customHeight="1">
      <c r="A2115" s="1"/>
      <c r="B2115" s="48" t="s">
        <v>46</v>
      </c>
      <c r="C2115" s="49"/>
      <c r="D2115" s="91">
        <f t="array" ref="D2115">iferror(vlookup(xlookup(B2105,'현황'!O:O,'현황'!O:O,,-1,-1),'현황'!O:S,3,false),0)</f>
        <v>0</v>
      </c>
      <c r="E2115" s="66"/>
      <c r="F2115" s="52" t="s">
        <v>37</v>
      </c>
      <c r="G2115" s="67"/>
      <c r="H2115" s="80"/>
      <c r="I2115" s="69"/>
      <c r="J2115" s="72"/>
      <c r="K2115" s="73"/>
      <c r="L2115" s="72"/>
      <c r="M2115" s="73"/>
      <c r="N2115" s="72"/>
      <c r="O2115" s="73"/>
      <c r="P2115" s="72"/>
      <c r="Q2115" s="73"/>
      <c r="R2115" s="72"/>
      <c r="S2115" s="73"/>
      <c r="T2115" s="72"/>
      <c r="U2115" s="73"/>
      <c r="V2115" s="72"/>
      <c r="W2115" s="73"/>
      <c r="X2115" s="72"/>
      <c r="Y2115" s="73"/>
      <c r="Z2115" s="74" t="b">
        <v>0</v>
      </c>
      <c r="AA2115" s="130">
        <f t="shared" si="841"/>
        <v>0</v>
      </c>
      <c r="AB2115" s="131">
        <f t="shared" si="842"/>
        <v>0</v>
      </c>
      <c r="AC2115" s="132">
        <f t="shared" si="843"/>
        <v>0</v>
      </c>
      <c r="AD2115" s="133">
        <f t="shared" si="844"/>
        <v>0</v>
      </c>
      <c r="AE2115" s="131">
        <f t="shared" si="845"/>
        <v>0</v>
      </c>
      <c r="AF2115" s="133">
        <f t="shared" si="846"/>
        <v>0</v>
      </c>
      <c r="AG2115" s="1"/>
    </row>
    <row r="2116" ht="21.0" customHeight="1">
      <c r="A2116" s="1"/>
      <c r="B2116" s="48" t="s">
        <v>47</v>
      </c>
      <c r="C2116" s="49"/>
      <c r="D2116" s="91">
        <f t="array" ref="D2116">iferror(vlookup(xlookup(B2105,'현황'!O:O,'현황'!O:O,,-1,-1),'현황'!O:S,4,false),0)</f>
        <v>0</v>
      </c>
      <c r="E2116" s="41"/>
      <c r="F2116" s="92" t="s">
        <v>40</v>
      </c>
      <c r="G2116" s="79"/>
      <c r="H2116" s="93"/>
      <c r="I2116" s="94"/>
      <c r="J2116" s="95"/>
      <c r="K2116" s="96"/>
      <c r="L2116" s="95"/>
      <c r="M2116" s="96"/>
      <c r="N2116" s="95"/>
      <c r="O2116" s="96"/>
      <c r="P2116" s="95"/>
      <c r="Q2116" s="96"/>
      <c r="R2116" s="95"/>
      <c r="S2116" s="96"/>
      <c r="T2116" s="95"/>
      <c r="U2116" s="96"/>
      <c r="V2116" s="95"/>
      <c r="W2116" s="96"/>
      <c r="X2116" s="95"/>
      <c r="Y2116" s="96"/>
      <c r="Z2116" s="97" t="b">
        <v>0</v>
      </c>
      <c r="AA2116" s="135">
        <f t="shared" si="841"/>
        <v>0</v>
      </c>
      <c r="AB2116" s="136">
        <f t="shared" si="842"/>
        <v>0</v>
      </c>
      <c r="AC2116" s="137">
        <f t="shared" si="843"/>
        <v>0</v>
      </c>
      <c r="AD2116" s="138">
        <f t="shared" si="844"/>
        <v>0</v>
      </c>
      <c r="AE2116" s="136">
        <f t="shared" si="845"/>
        <v>0</v>
      </c>
      <c r="AF2116" s="138">
        <f t="shared" si="846"/>
        <v>0</v>
      </c>
      <c r="AG2116" s="1"/>
    </row>
    <row r="2117" ht="21.0" customHeight="1">
      <c r="A2117" s="1"/>
      <c r="B2117" s="102" t="s">
        <v>48</v>
      </c>
      <c r="C2117" s="103"/>
      <c r="D2117" s="104">
        <f>iferror(D2116/D2114,0)</f>
        <v>0</v>
      </c>
      <c r="E2117" s="102" t="s">
        <v>49</v>
      </c>
      <c r="F2117" s="103"/>
      <c r="G2117" s="105"/>
      <c r="H2117" s="106" t="s">
        <v>50</v>
      </c>
      <c r="I2117" s="107"/>
      <c r="J2117" s="11"/>
      <c r="K2117" s="11"/>
      <c r="L2117" s="11"/>
      <c r="M2117" s="11"/>
      <c r="N2117" s="11"/>
      <c r="O2117" s="11"/>
      <c r="P2117" s="108" t="s">
        <v>51</v>
      </c>
      <c r="Q2117" s="12"/>
      <c r="R2117" s="109"/>
      <c r="S2117" s="11"/>
      <c r="T2117" s="11"/>
      <c r="U2117" s="11"/>
      <c r="V2117" s="11"/>
      <c r="W2117" s="11"/>
      <c r="X2117" s="11"/>
      <c r="Y2117" s="11"/>
      <c r="Z2117" s="12"/>
      <c r="AA2117" s="139">
        <f>SUM(AA2108:AA2116)</f>
        <v>0</v>
      </c>
      <c r="AB2117" s="140" t="s">
        <v>379</v>
      </c>
      <c r="AG2117" s="1"/>
    </row>
    <row r="2118" ht="21.0" customHeight="1">
      <c r="A2118" s="1"/>
      <c r="B2118" s="1"/>
      <c r="C2118" s="1"/>
      <c r="D2118" s="1"/>
      <c r="E2118" s="1"/>
      <c r="F2118" s="1"/>
      <c r="G2118" s="1"/>
      <c r="H2118" s="1"/>
      <c r="I2118" s="1"/>
      <c r="AA2118" s="1"/>
      <c r="AB2118" s="1"/>
      <c r="AC2118" s="3"/>
      <c r="AD2118" s="1"/>
      <c r="AE2118" s="1"/>
      <c r="AF2118" s="1"/>
      <c r="AG2118" s="1"/>
    </row>
    <row r="2119" ht="21.0" customHeight="1">
      <c r="A2119" s="1"/>
      <c r="B2119" s="4" t="s">
        <v>1</v>
      </c>
      <c r="C2119" s="5"/>
      <c r="D2119" s="6" t="s">
        <v>2</v>
      </c>
      <c r="E2119" s="7"/>
      <c r="F2119" s="7"/>
      <c r="G2119" s="5"/>
      <c r="H2119" s="8" t="s">
        <v>3</v>
      </c>
      <c r="I2119" s="8" t="s">
        <v>4</v>
      </c>
      <c r="J2119" s="9" t="s">
        <v>5</v>
      </c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5"/>
      <c r="AA2119" s="117" t="s">
        <v>6</v>
      </c>
      <c r="AB2119" s="11"/>
      <c r="AC2119" s="11"/>
      <c r="AD2119" s="11"/>
      <c r="AE2119" s="11"/>
      <c r="AF2119" s="12"/>
      <c r="AG2119" s="1"/>
    </row>
    <row r="2120" ht="21.0" customHeight="1">
      <c r="A2120" s="1"/>
      <c r="B2120" s="149" t="s">
        <v>138</v>
      </c>
      <c r="C2120" s="14" t="str">
        <f>if(B2120="0/0","",choose(weekday(B2120),"(일)","(월)","(화)","(수)","(목)","(금)","(토)"))</f>
        <v/>
      </c>
      <c r="D2120" s="15" t="s">
        <v>7</v>
      </c>
      <c r="E2120" s="16" t="s">
        <v>8</v>
      </c>
      <c r="F2120" s="17"/>
      <c r="G2120" s="18" t="s">
        <v>9</v>
      </c>
      <c r="H2120" s="150" t="s">
        <v>139</v>
      </c>
      <c r="I2120" s="151"/>
      <c r="J2120" s="21" t="s">
        <v>12</v>
      </c>
      <c r="K2120" s="22"/>
      <c r="L2120" s="21" t="s">
        <v>13</v>
      </c>
      <c r="M2120" s="22"/>
      <c r="N2120" s="21" t="s">
        <v>14</v>
      </c>
      <c r="O2120" s="22"/>
      <c r="P2120" s="21" t="s">
        <v>15</v>
      </c>
      <c r="Q2120" s="22"/>
      <c r="R2120" s="23" t="s">
        <v>16</v>
      </c>
      <c r="S2120" s="22"/>
      <c r="T2120" s="23" t="s">
        <v>17</v>
      </c>
      <c r="U2120" s="22"/>
      <c r="V2120" s="23" t="s">
        <v>18</v>
      </c>
      <c r="W2120" s="22"/>
      <c r="X2120" s="23" t="s">
        <v>19</v>
      </c>
      <c r="Y2120" s="22"/>
      <c r="Z2120" s="24" t="s">
        <v>380</v>
      </c>
      <c r="AA2120" s="118" t="s">
        <v>21</v>
      </c>
      <c r="AB2120" s="119" t="s">
        <v>22</v>
      </c>
      <c r="AC2120" s="7"/>
      <c r="AD2120" s="22"/>
      <c r="AE2120" s="120" t="s">
        <v>23</v>
      </c>
      <c r="AF2120" s="22"/>
      <c r="AG2120" s="1"/>
    </row>
    <row r="2121" ht="21.0" customHeight="1">
      <c r="A2121" s="1"/>
      <c r="B2121" s="27">
        <f>iferror(B2120-'현황'!$C$4+1,0)</f>
        <v>0</v>
      </c>
      <c r="C2121" s="28"/>
      <c r="D2121" s="29">
        <v>0.0</v>
      </c>
      <c r="E2121" s="30">
        <v>0.0</v>
      </c>
      <c r="F2121" s="31"/>
      <c r="G2121" s="32">
        <v>0.0</v>
      </c>
      <c r="H2121" s="33">
        <v>0.0</v>
      </c>
      <c r="I2121" s="34"/>
      <c r="J2121" s="35"/>
      <c r="K2121" s="36"/>
      <c r="L2121" s="35"/>
      <c r="M2121" s="36"/>
      <c r="N2121" s="35"/>
      <c r="O2121" s="36"/>
      <c r="P2121" s="35"/>
      <c r="Q2121" s="36"/>
      <c r="R2121" s="35"/>
      <c r="S2121" s="36"/>
      <c r="T2121" s="35"/>
      <c r="U2121" s="36"/>
      <c r="V2121" s="35"/>
      <c r="W2121" s="36"/>
      <c r="X2121" s="35"/>
      <c r="Y2121" s="36"/>
      <c r="Z2121" s="37"/>
      <c r="AA2121" s="37"/>
      <c r="AB2121" s="35"/>
      <c r="AC2121" s="38"/>
      <c r="AD2121" s="36"/>
      <c r="AE2121" s="35"/>
      <c r="AF2121" s="36"/>
      <c r="AG2121" s="1"/>
    </row>
    <row r="2122" ht="21.0" customHeight="1">
      <c r="A2122" s="1"/>
      <c r="B2122" s="39" t="s">
        <v>24</v>
      </c>
      <c r="C2122" s="40"/>
      <c r="D2122" s="41"/>
      <c r="E2122" s="42" t="s">
        <v>25</v>
      </c>
      <c r="F2122" s="40"/>
      <c r="G2122" s="41"/>
      <c r="H2122" s="43" t="s">
        <v>26</v>
      </c>
      <c r="J2122" s="44" t="s">
        <v>27</v>
      </c>
      <c r="K2122" s="45" t="s">
        <v>28</v>
      </c>
      <c r="L2122" s="44" t="s">
        <v>27</v>
      </c>
      <c r="M2122" s="45" t="s">
        <v>28</v>
      </c>
      <c r="N2122" s="44" t="s">
        <v>27</v>
      </c>
      <c r="O2122" s="45" t="s">
        <v>28</v>
      </c>
      <c r="P2122" s="44" t="s">
        <v>27</v>
      </c>
      <c r="Q2122" s="45" t="s">
        <v>28</v>
      </c>
      <c r="R2122" s="44" t="s">
        <v>27</v>
      </c>
      <c r="S2122" s="45" t="s">
        <v>28</v>
      </c>
      <c r="T2122" s="44" t="s">
        <v>27</v>
      </c>
      <c r="U2122" s="45" t="s">
        <v>28</v>
      </c>
      <c r="V2122" s="44" t="s">
        <v>27</v>
      </c>
      <c r="W2122" s="45" t="s">
        <v>28</v>
      </c>
      <c r="X2122" s="44" t="s">
        <v>27</v>
      </c>
      <c r="Y2122" s="45" t="s">
        <v>28</v>
      </c>
      <c r="Z2122" s="46"/>
      <c r="AA2122" s="46"/>
      <c r="AB2122" s="121" t="s">
        <v>29</v>
      </c>
      <c r="AC2122" s="122" t="s">
        <v>30</v>
      </c>
      <c r="AD2122" s="123" t="s">
        <v>31</v>
      </c>
      <c r="AE2122" s="121" t="s">
        <v>27</v>
      </c>
      <c r="AF2122" s="123" t="s">
        <v>28</v>
      </c>
      <c r="AG2122" s="1"/>
    </row>
    <row r="2123" ht="21.0" customHeight="1">
      <c r="A2123" s="1"/>
      <c r="B2123" s="48" t="s">
        <v>32</v>
      </c>
      <c r="C2123" s="49"/>
      <c r="D2123" s="50"/>
      <c r="E2123" s="51" t="s">
        <v>33</v>
      </c>
      <c r="F2123" s="52" t="s">
        <v>34</v>
      </c>
      <c r="G2123" s="53"/>
      <c r="H2123" s="148"/>
      <c r="I2123" s="55"/>
      <c r="J2123" s="58"/>
      <c r="K2123" s="59"/>
      <c r="L2123" s="58"/>
      <c r="M2123" s="59"/>
      <c r="N2123" s="58"/>
      <c r="O2123" s="59"/>
      <c r="P2123" s="58"/>
      <c r="Q2123" s="59"/>
      <c r="R2123" s="58"/>
      <c r="S2123" s="59"/>
      <c r="T2123" s="58"/>
      <c r="U2123" s="59"/>
      <c r="V2123" s="58"/>
      <c r="W2123" s="59"/>
      <c r="X2123" s="58"/>
      <c r="Y2123" s="59"/>
      <c r="Z2123" s="60" t="b">
        <v>0</v>
      </c>
      <c r="AA2123" s="125">
        <f t="shared" ref="AA2123:AA2131" si="847">(J2123*K2123+L2123*M2123+N2123*O2123+P2123*Q2123+R2123*S2123+T2123*U2123+V2123*W2123+X2123*Y2123)*if(Z2123=true,0.453592,1)</f>
        <v>0</v>
      </c>
      <c r="AB2123" s="126">
        <f t="shared" ref="AB2123:AB2131" si="848">SUM(AE2123*AF2123*0.025,AE2123)</f>
        <v>0</v>
      </c>
      <c r="AC2123" s="127">
        <f t="shared" ref="AC2123:AC2131" si="849">AB2123*87%</f>
        <v>0</v>
      </c>
      <c r="AD2123" s="128">
        <f t="shared" ref="AD2123:AD2131" si="850">AB2123*67%</f>
        <v>0</v>
      </c>
      <c r="AE2123" s="126">
        <f t="shared" ref="AE2123:AE2131" si="851">MAX(J2123,L2123,N2123,P2123,R2123,T2123,V2123,X2123)*if(Z2123=true,0.453592,1)</f>
        <v>0</v>
      </c>
      <c r="AF2123" s="128">
        <f t="shared" ref="AF2123:AF2131" si="852">MAX(IF(J2123*if(Z2123=true,0.453592,1)=$AE2123,K2123,0),IF(L2123*if(Z2123=true,0.453592,1)=$AE2123,M2123,0),IF(N2123*if(Z2123=true,0.453592,1)=$AE2123,O2123,0),IF(P2123*if(Z2123=true,0.453592,1)=$AE2123,Q2123,0),IF(R2123*if(Z2123=true,0.453592,1)=$AE2123,S2123,0),IF(T2123*if(Z2123=true,0.453592,1)=$AE2123,U2123,0),IF(V2123*if(Z2123=true,0.453592,1)=$AE2123,W2123,0),IF(X2123*if(Z2123=true,0.453592,1)=$AE2123,Y2123,0))</f>
        <v>0</v>
      </c>
      <c r="AG2123" s="1"/>
    </row>
    <row r="2124" ht="21.0" customHeight="1">
      <c r="A2124" s="1"/>
      <c r="B2124" s="48" t="s">
        <v>36</v>
      </c>
      <c r="C2124" s="49"/>
      <c r="D2124" s="65"/>
      <c r="E2124" s="66"/>
      <c r="F2124" s="52" t="s">
        <v>37</v>
      </c>
      <c r="G2124" s="67"/>
      <c r="H2124" s="129"/>
      <c r="I2124" s="69"/>
      <c r="J2124" s="72"/>
      <c r="K2124" s="73"/>
      <c r="L2124" s="72"/>
      <c r="M2124" s="73"/>
      <c r="N2124" s="72"/>
      <c r="O2124" s="73"/>
      <c r="P2124" s="72"/>
      <c r="Q2124" s="73"/>
      <c r="R2124" s="72"/>
      <c r="S2124" s="73"/>
      <c r="T2124" s="72"/>
      <c r="U2124" s="73"/>
      <c r="V2124" s="72"/>
      <c r="W2124" s="73"/>
      <c r="X2124" s="72"/>
      <c r="Y2124" s="73"/>
      <c r="Z2124" s="74" t="b">
        <v>0</v>
      </c>
      <c r="AA2124" s="130">
        <f t="shared" si="847"/>
        <v>0</v>
      </c>
      <c r="AB2124" s="131">
        <f t="shared" si="848"/>
        <v>0</v>
      </c>
      <c r="AC2124" s="132">
        <f t="shared" si="849"/>
        <v>0</v>
      </c>
      <c r="AD2124" s="133">
        <f t="shared" si="850"/>
        <v>0</v>
      </c>
      <c r="AE2124" s="131">
        <f t="shared" si="851"/>
        <v>0</v>
      </c>
      <c r="AF2124" s="133">
        <f t="shared" si="852"/>
        <v>0</v>
      </c>
      <c r="AG2124" s="1"/>
    </row>
    <row r="2125" ht="21.0" customHeight="1">
      <c r="A2125" s="1"/>
      <c r="B2125" s="48" t="s">
        <v>39</v>
      </c>
      <c r="C2125" s="49"/>
      <c r="D2125" s="65"/>
      <c r="E2125" s="41"/>
      <c r="F2125" s="52" t="s">
        <v>40</v>
      </c>
      <c r="G2125" s="79"/>
      <c r="H2125" s="80"/>
      <c r="I2125" s="69"/>
      <c r="J2125" s="72"/>
      <c r="K2125" s="73"/>
      <c r="L2125" s="72"/>
      <c r="M2125" s="73"/>
      <c r="N2125" s="72"/>
      <c r="O2125" s="73"/>
      <c r="P2125" s="72"/>
      <c r="Q2125" s="73"/>
      <c r="R2125" s="72"/>
      <c r="S2125" s="73"/>
      <c r="T2125" s="72"/>
      <c r="U2125" s="73"/>
      <c r="V2125" s="72"/>
      <c r="W2125" s="73"/>
      <c r="X2125" s="72"/>
      <c r="Y2125" s="73"/>
      <c r="Z2125" s="74" t="b">
        <v>0</v>
      </c>
      <c r="AA2125" s="130">
        <f t="shared" si="847"/>
        <v>0</v>
      </c>
      <c r="AB2125" s="131">
        <f t="shared" si="848"/>
        <v>0</v>
      </c>
      <c r="AC2125" s="132">
        <f t="shared" si="849"/>
        <v>0</v>
      </c>
      <c r="AD2125" s="133">
        <f t="shared" si="850"/>
        <v>0</v>
      </c>
      <c r="AE2125" s="131">
        <f t="shared" si="851"/>
        <v>0</v>
      </c>
      <c r="AF2125" s="133">
        <f t="shared" si="852"/>
        <v>0</v>
      </c>
      <c r="AG2125" s="1"/>
    </row>
    <row r="2126" ht="21.0" customHeight="1">
      <c r="A2126" s="1"/>
      <c r="B2126" s="48" t="s">
        <v>41</v>
      </c>
      <c r="C2126" s="81"/>
      <c r="D2126" s="82" t="b">
        <v>0</v>
      </c>
      <c r="E2126" s="51" t="s">
        <v>42</v>
      </c>
      <c r="F2126" s="52" t="s">
        <v>34</v>
      </c>
      <c r="G2126" s="83"/>
      <c r="H2126" s="84"/>
      <c r="I2126" s="85"/>
      <c r="J2126" s="72"/>
      <c r="K2126" s="73"/>
      <c r="L2126" s="72"/>
      <c r="M2126" s="73"/>
      <c r="N2126" s="72"/>
      <c r="O2126" s="73"/>
      <c r="P2126" s="72"/>
      <c r="Q2126" s="73"/>
      <c r="R2126" s="72"/>
      <c r="S2126" s="73"/>
      <c r="T2126" s="72"/>
      <c r="U2126" s="73"/>
      <c r="V2126" s="72"/>
      <c r="W2126" s="73"/>
      <c r="X2126" s="72"/>
      <c r="Y2126" s="73"/>
      <c r="Z2126" s="74" t="b">
        <v>0</v>
      </c>
      <c r="AA2126" s="130">
        <f t="shared" si="847"/>
        <v>0</v>
      </c>
      <c r="AB2126" s="131">
        <f t="shared" si="848"/>
        <v>0</v>
      </c>
      <c r="AC2126" s="132">
        <f t="shared" si="849"/>
        <v>0</v>
      </c>
      <c r="AD2126" s="133">
        <f t="shared" si="850"/>
        <v>0</v>
      </c>
      <c r="AE2126" s="131">
        <f t="shared" si="851"/>
        <v>0</v>
      </c>
      <c r="AF2126" s="133">
        <f t="shared" si="852"/>
        <v>0</v>
      </c>
      <c r="AG2126" s="1"/>
    </row>
    <row r="2127" ht="21.0" customHeight="1">
      <c r="A2127" s="1"/>
      <c r="B2127" s="48" t="s">
        <v>43</v>
      </c>
      <c r="C2127" s="49"/>
      <c r="D2127" s="86" t="b">
        <v>0</v>
      </c>
      <c r="E2127" s="66"/>
      <c r="F2127" s="52" t="s">
        <v>37</v>
      </c>
      <c r="G2127" s="67"/>
      <c r="H2127" s="80"/>
      <c r="I2127" s="69"/>
      <c r="J2127" s="72"/>
      <c r="K2127" s="73"/>
      <c r="L2127" s="72"/>
      <c r="M2127" s="73"/>
      <c r="N2127" s="72"/>
      <c r="O2127" s="73"/>
      <c r="P2127" s="72"/>
      <c r="Q2127" s="73"/>
      <c r="R2127" s="72"/>
      <c r="S2127" s="73"/>
      <c r="T2127" s="72"/>
      <c r="U2127" s="73"/>
      <c r="V2127" s="72"/>
      <c r="W2127" s="73"/>
      <c r="X2127" s="72"/>
      <c r="Y2127" s="73"/>
      <c r="Z2127" s="74" t="b">
        <v>0</v>
      </c>
      <c r="AA2127" s="130">
        <f t="shared" si="847"/>
        <v>0</v>
      </c>
      <c r="AB2127" s="131">
        <f t="shared" si="848"/>
        <v>0</v>
      </c>
      <c r="AC2127" s="132">
        <f t="shared" si="849"/>
        <v>0</v>
      </c>
      <c r="AD2127" s="133">
        <f t="shared" si="850"/>
        <v>0</v>
      </c>
      <c r="AE2127" s="131">
        <f t="shared" si="851"/>
        <v>0</v>
      </c>
      <c r="AF2127" s="133">
        <f t="shared" si="852"/>
        <v>0</v>
      </c>
      <c r="AG2127" s="1"/>
    </row>
    <row r="2128" ht="21.0" customHeight="1">
      <c r="A2128" s="1"/>
      <c r="B2128" s="87" t="str">
        <f t="array" ref="B2128">"📌최근 인바디 결과 : "&amp;text(xlookup(B2120,'현황'!O:O,'현황'!O:O,,-1,-1),"m/d(ddd)")</f>
        <v>#REF!</v>
      </c>
      <c r="C2128" s="88"/>
      <c r="D2128" s="49"/>
      <c r="E2128" s="41"/>
      <c r="F2128" s="52" t="s">
        <v>40</v>
      </c>
      <c r="G2128" s="79"/>
      <c r="H2128" s="80"/>
      <c r="I2128" s="69"/>
      <c r="J2128" s="72"/>
      <c r="K2128" s="73"/>
      <c r="L2128" s="72"/>
      <c r="M2128" s="73"/>
      <c r="N2128" s="72"/>
      <c r="O2128" s="73"/>
      <c r="P2128" s="72"/>
      <c r="Q2128" s="73"/>
      <c r="R2128" s="72"/>
      <c r="S2128" s="73"/>
      <c r="T2128" s="72"/>
      <c r="U2128" s="73"/>
      <c r="V2128" s="72"/>
      <c r="W2128" s="73"/>
      <c r="X2128" s="72"/>
      <c r="Y2128" s="73"/>
      <c r="Z2128" s="74" t="b">
        <v>0</v>
      </c>
      <c r="AA2128" s="130">
        <f t="shared" si="847"/>
        <v>0</v>
      </c>
      <c r="AB2128" s="131">
        <f t="shared" si="848"/>
        <v>0</v>
      </c>
      <c r="AC2128" s="132">
        <f t="shared" si="849"/>
        <v>0</v>
      </c>
      <c r="AD2128" s="133">
        <f t="shared" si="850"/>
        <v>0</v>
      </c>
      <c r="AE2128" s="131">
        <f t="shared" si="851"/>
        <v>0</v>
      </c>
      <c r="AF2128" s="133">
        <f t="shared" si="852"/>
        <v>0</v>
      </c>
      <c r="AG2128" s="1"/>
    </row>
    <row r="2129" ht="21.0" customHeight="1">
      <c r="A2129" s="1"/>
      <c r="B2129" s="89" t="s">
        <v>44</v>
      </c>
      <c r="C2129" s="49"/>
      <c r="D2129" s="90">
        <f t="array" ref="D2129">iferror(vlookup(xlookup(B2120,'현황'!O:O,'현황'!O:O,,-1,-1),'현황'!O:S,2,false),0)</f>
        <v>0</v>
      </c>
      <c r="E2129" s="51" t="s">
        <v>45</v>
      </c>
      <c r="F2129" s="52" t="s">
        <v>34</v>
      </c>
      <c r="G2129" s="83"/>
      <c r="H2129" s="84"/>
      <c r="I2129" s="85"/>
      <c r="J2129" s="72"/>
      <c r="K2129" s="73"/>
      <c r="L2129" s="72"/>
      <c r="M2129" s="73"/>
      <c r="N2129" s="72"/>
      <c r="O2129" s="73"/>
      <c r="P2129" s="72"/>
      <c r="Q2129" s="73"/>
      <c r="R2129" s="72"/>
      <c r="S2129" s="73"/>
      <c r="T2129" s="72"/>
      <c r="U2129" s="73"/>
      <c r="V2129" s="72"/>
      <c r="W2129" s="73"/>
      <c r="X2129" s="72"/>
      <c r="Y2129" s="73"/>
      <c r="Z2129" s="74" t="b">
        <v>0</v>
      </c>
      <c r="AA2129" s="130">
        <f t="shared" si="847"/>
        <v>0</v>
      </c>
      <c r="AB2129" s="131">
        <f t="shared" si="848"/>
        <v>0</v>
      </c>
      <c r="AC2129" s="132">
        <f t="shared" si="849"/>
        <v>0</v>
      </c>
      <c r="AD2129" s="133">
        <f t="shared" si="850"/>
        <v>0</v>
      </c>
      <c r="AE2129" s="131">
        <f t="shared" si="851"/>
        <v>0</v>
      </c>
      <c r="AF2129" s="133">
        <f t="shared" si="852"/>
        <v>0</v>
      </c>
      <c r="AG2129" s="1"/>
    </row>
    <row r="2130" ht="21.0" customHeight="1">
      <c r="A2130" s="1"/>
      <c r="B2130" s="48" t="s">
        <v>46</v>
      </c>
      <c r="C2130" s="49"/>
      <c r="D2130" s="91">
        <f t="array" ref="D2130">iferror(vlookup(xlookup(B2120,'현황'!O:O,'현황'!O:O,,-1,-1),'현황'!O:S,3,false),0)</f>
        <v>0</v>
      </c>
      <c r="E2130" s="66"/>
      <c r="F2130" s="52" t="s">
        <v>37</v>
      </c>
      <c r="G2130" s="67"/>
      <c r="H2130" s="80"/>
      <c r="I2130" s="69"/>
      <c r="J2130" s="72"/>
      <c r="K2130" s="73"/>
      <c r="L2130" s="72"/>
      <c r="M2130" s="73"/>
      <c r="N2130" s="72"/>
      <c r="O2130" s="73"/>
      <c r="P2130" s="72"/>
      <c r="Q2130" s="73"/>
      <c r="R2130" s="72"/>
      <c r="S2130" s="73"/>
      <c r="T2130" s="72"/>
      <c r="U2130" s="73"/>
      <c r="V2130" s="72"/>
      <c r="W2130" s="73"/>
      <c r="X2130" s="72"/>
      <c r="Y2130" s="73"/>
      <c r="Z2130" s="74" t="b">
        <v>0</v>
      </c>
      <c r="AA2130" s="130">
        <f t="shared" si="847"/>
        <v>0</v>
      </c>
      <c r="AB2130" s="131">
        <f t="shared" si="848"/>
        <v>0</v>
      </c>
      <c r="AC2130" s="132">
        <f t="shared" si="849"/>
        <v>0</v>
      </c>
      <c r="AD2130" s="133">
        <f t="shared" si="850"/>
        <v>0</v>
      </c>
      <c r="AE2130" s="131">
        <f t="shared" si="851"/>
        <v>0</v>
      </c>
      <c r="AF2130" s="133">
        <f t="shared" si="852"/>
        <v>0</v>
      </c>
      <c r="AG2130" s="1"/>
    </row>
    <row r="2131" ht="21.0" customHeight="1">
      <c r="A2131" s="1"/>
      <c r="B2131" s="48" t="s">
        <v>47</v>
      </c>
      <c r="C2131" s="49"/>
      <c r="D2131" s="91">
        <f t="array" ref="D2131">iferror(vlookup(xlookup(B2120,'현황'!O:O,'현황'!O:O,,-1,-1),'현황'!O:S,4,false),0)</f>
        <v>0</v>
      </c>
      <c r="E2131" s="41"/>
      <c r="F2131" s="92" t="s">
        <v>40</v>
      </c>
      <c r="G2131" s="79"/>
      <c r="H2131" s="93"/>
      <c r="I2131" s="94"/>
      <c r="J2131" s="95"/>
      <c r="K2131" s="96"/>
      <c r="L2131" s="95"/>
      <c r="M2131" s="96"/>
      <c r="N2131" s="95"/>
      <c r="O2131" s="96"/>
      <c r="P2131" s="95"/>
      <c r="Q2131" s="96"/>
      <c r="R2131" s="95"/>
      <c r="S2131" s="96"/>
      <c r="T2131" s="95"/>
      <c r="U2131" s="96"/>
      <c r="V2131" s="95"/>
      <c r="W2131" s="96"/>
      <c r="X2131" s="95"/>
      <c r="Y2131" s="96"/>
      <c r="Z2131" s="97" t="b">
        <v>0</v>
      </c>
      <c r="AA2131" s="135">
        <f t="shared" si="847"/>
        <v>0</v>
      </c>
      <c r="AB2131" s="136">
        <f t="shared" si="848"/>
        <v>0</v>
      </c>
      <c r="AC2131" s="137">
        <f t="shared" si="849"/>
        <v>0</v>
      </c>
      <c r="AD2131" s="138">
        <f t="shared" si="850"/>
        <v>0</v>
      </c>
      <c r="AE2131" s="136">
        <f t="shared" si="851"/>
        <v>0</v>
      </c>
      <c r="AF2131" s="138">
        <f t="shared" si="852"/>
        <v>0</v>
      </c>
      <c r="AG2131" s="1"/>
    </row>
    <row r="2132" ht="21.0" customHeight="1">
      <c r="A2132" s="1"/>
      <c r="B2132" s="102" t="s">
        <v>48</v>
      </c>
      <c r="C2132" s="103"/>
      <c r="D2132" s="104">
        <f>iferror(D2131/D2129,0)</f>
        <v>0</v>
      </c>
      <c r="E2132" s="102" t="s">
        <v>49</v>
      </c>
      <c r="F2132" s="103"/>
      <c r="G2132" s="105"/>
      <c r="H2132" s="106" t="s">
        <v>50</v>
      </c>
      <c r="I2132" s="107"/>
      <c r="J2132" s="11"/>
      <c r="K2132" s="11"/>
      <c r="L2132" s="11"/>
      <c r="M2132" s="11"/>
      <c r="N2132" s="11"/>
      <c r="O2132" s="11"/>
      <c r="P2132" s="108" t="s">
        <v>51</v>
      </c>
      <c r="Q2132" s="12"/>
      <c r="R2132" s="109"/>
      <c r="S2132" s="11"/>
      <c r="T2132" s="11"/>
      <c r="U2132" s="11"/>
      <c r="V2132" s="11"/>
      <c r="W2132" s="11"/>
      <c r="X2132" s="11"/>
      <c r="Y2132" s="11"/>
      <c r="Z2132" s="12"/>
      <c r="AA2132" s="139">
        <f>SUM(AA2123:AA2131)</f>
        <v>0</v>
      </c>
      <c r="AB2132" s="140" t="s">
        <v>381</v>
      </c>
      <c r="AG2132" s="1"/>
    </row>
    <row r="2133" ht="21.0" customHeight="1">
      <c r="A2133" s="1"/>
      <c r="B2133" s="1"/>
      <c r="C2133" s="1"/>
      <c r="D2133" s="1"/>
      <c r="E2133" s="1"/>
      <c r="F2133" s="1"/>
      <c r="G2133" s="1"/>
      <c r="H2133" s="1"/>
      <c r="I2133" s="1"/>
      <c r="AA2133" s="1"/>
      <c r="AB2133" s="1"/>
      <c r="AC2133" s="3"/>
      <c r="AD2133" s="1"/>
      <c r="AE2133" s="1"/>
      <c r="AF2133" s="1"/>
      <c r="AG2133" s="1"/>
    </row>
    <row r="2134" ht="21.0" customHeight="1">
      <c r="A2134" s="1"/>
      <c r="B2134" s="4" t="s">
        <v>1</v>
      </c>
      <c r="C2134" s="5"/>
      <c r="D2134" s="6" t="s">
        <v>2</v>
      </c>
      <c r="E2134" s="7"/>
      <c r="F2134" s="7"/>
      <c r="G2134" s="5"/>
      <c r="H2134" s="8" t="s">
        <v>3</v>
      </c>
      <c r="I2134" s="8" t="s">
        <v>4</v>
      </c>
      <c r="J2134" s="9" t="s">
        <v>5</v>
      </c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5"/>
      <c r="AA2134" s="117" t="s">
        <v>6</v>
      </c>
      <c r="AB2134" s="11"/>
      <c r="AC2134" s="11"/>
      <c r="AD2134" s="11"/>
      <c r="AE2134" s="11"/>
      <c r="AF2134" s="12"/>
      <c r="AG2134" s="1"/>
    </row>
    <row r="2135" ht="21.0" customHeight="1">
      <c r="A2135" s="1"/>
      <c r="B2135" s="149" t="s">
        <v>138</v>
      </c>
      <c r="C2135" s="14" t="str">
        <f>if(B2135="0/0","",choose(weekday(B2135),"(일)","(월)","(화)","(수)","(목)","(금)","(토)"))</f>
        <v/>
      </c>
      <c r="D2135" s="15" t="s">
        <v>7</v>
      </c>
      <c r="E2135" s="16" t="s">
        <v>8</v>
      </c>
      <c r="F2135" s="17"/>
      <c r="G2135" s="18" t="s">
        <v>9</v>
      </c>
      <c r="H2135" s="150" t="s">
        <v>139</v>
      </c>
      <c r="I2135" s="151"/>
      <c r="J2135" s="21" t="s">
        <v>12</v>
      </c>
      <c r="K2135" s="22"/>
      <c r="L2135" s="21" t="s">
        <v>13</v>
      </c>
      <c r="M2135" s="22"/>
      <c r="N2135" s="21" t="s">
        <v>14</v>
      </c>
      <c r="O2135" s="22"/>
      <c r="P2135" s="21" t="s">
        <v>15</v>
      </c>
      <c r="Q2135" s="22"/>
      <c r="R2135" s="23" t="s">
        <v>16</v>
      </c>
      <c r="S2135" s="22"/>
      <c r="T2135" s="23" t="s">
        <v>17</v>
      </c>
      <c r="U2135" s="22"/>
      <c r="V2135" s="23" t="s">
        <v>18</v>
      </c>
      <c r="W2135" s="22"/>
      <c r="X2135" s="23" t="s">
        <v>19</v>
      </c>
      <c r="Y2135" s="22"/>
      <c r="Z2135" s="24" t="s">
        <v>382</v>
      </c>
      <c r="AA2135" s="118" t="s">
        <v>21</v>
      </c>
      <c r="AB2135" s="119" t="s">
        <v>22</v>
      </c>
      <c r="AC2135" s="7"/>
      <c r="AD2135" s="22"/>
      <c r="AE2135" s="120" t="s">
        <v>23</v>
      </c>
      <c r="AF2135" s="22"/>
      <c r="AG2135" s="1"/>
    </row>
    <row r="2136" ht="21.0" customHeight="1">
      <c r="A2136" s="1"/>
      <c r="B2136" s="27">
        <f>iferror(B2135-'현황'!$C$4+1,0)</f>
        <v>0</v>
      </c>
      <c r="C2136" s="28"/>
      <c r="D2136" s="29">
        <v>0.0</v>
      </c>
      <c r="E2136" s="30">
        <v>0.0</v>
      </c>
      <c r="F2136" s="31"/>
      <c r="G2136" s="32">
        <v>0.0</v>
      </c>
      <c r="H2136" s="33">
        <v>0.0</v>
      </c>
      <c r="I2136" s="34"/>
      <c r="J2136" s="35"/>
      <c r="K2136" s="36"/>
      <c r="L2136" s="35"/>
      <c r="M2136" s="36"/>
      <c r="N2136" s="35"/>
      <c r="O2136" s="36"/>
      <c r="P2136" s="35"/>
      <c r="Q2136" s="36"/>
      <c r="R2136" s="35"/>
      <c r="S2136" s="36"/>
      <c r="T2136" s="35"/>
      <c r="U2136" s="36"/>
      <c r="V2136" s="35"/>
      <c r="W2136" s="36"/>
      <c r="X2136" s="35"/>
      <c r="Y2136" s="36"/>
      <c r="Z2136" s="37"/>
      <c r="AA2136" s="37"/>
      <c r="AB2136" s="35"/>
      <c r="AC2136" s="38"/>
      <c r="AD2136" s="36"/>
      <c r="AE2136" s="35"/>
      <c r="AF2136" s="36"/>
      <c r="AG2136" s="1"/>
    </row>
    <row r="2137" ht="21.0" customHeight="1">
      <c r="A2137" s="1"/>
      <c r="B2137" s="39" t="s">
        <v>24</v>
      </c>
      <c r="C2137" s="40"/>
      <c r="D2137" s="41"/>
      <c r="E2137" s="42" t="s">
        <v>25</v>
      </c>
      <c r="F2137" s="40"/>
      <c r="G2137" s="41"/>
      <c r="H2137" s="43" t="s">
        <v>26</v>
      </c>
      <c r="J2137" s="44" t="s">
        <v>27</v>
      </c>
      <c r="K2137" s="45" t="s">
        <v>28</v>
      </c>
      <c r="L2137" s="44" t="s">
        <v>27</v>
      </c>
      <c r="M2137" s="45" t="s">
        <v>28</v>
      </c>
      <c r="N2137" s="44" t="s">
        <v>27</v>
      </c>
      <c r="O2137" s="45" t="s">
        <v>28</v>
      </c>
      <c r="P2137" s="44" t="s">
        <v>27</v>
      </c>
      <c r="Q2137" s="45" t="s">
        <v>28</v>
      </c>
      <c r="R2137" s="44" t="s">
        <v>27</v>
      </c>
      <c r="S2137" s="45" t="s">
        <v>28</v>
      </c>
      <c r="T2137" s="44" t="s">
        <v>27</v>
      </c>
      <c r="U2137" s="45" t="s">
        <v>28</v>
      </c>
      <c r="V2137" s="44" t="s">
        <v>27</v>
      </c>
      <c r="W2137" s="45" t="s">
        <v>28</v>
      </c>
      <c r="X2137" s="44" t="s">
        <v>27</v>
      </c>
      <c r="Y2137" s="45" t="s">
        <v>28</v>
      </c>
      <c r="Z2137" s="46"/>
      <c r="AA2137" s="46"/>
      <c r="AB2137" s="121" t="s">
        <v>29</v>
      </c>
      <c r="AC2137" s="122" t="s">
        <v>30</v>
      </c>
      <c r="AD2137" s="123" t="s">
        <v>31</v>
      </c>
      <c r="AE2137" s="121" t="s">
        <v>27</v>
      </c>
      <c r="AF2137" s="123" t="s">
        <v>28</v>
      </c>
      <c r="AG2137" s="1"/>
    </row>
    <row r="2138" ht="21.0" customHeight="1">
      <c r="A2138" s="1"/>
      <c r="B2138" s="48" t="s">
        <v>32</v>
      </c>
      <c r="C2138" s="49"/>
      <c r="D2138" s="50"/>
      <c r="E2138" s="51" t="s">
        <v>33</v>
      </c>
      <c r="F2138" s="52" t="s">
        <v>34</v>
      </c>
      <c r="G2138" s="53"/>
      <c r="H2138" s="148"/>
      <c r="I2138" s="55"/>
      <c r="J2138" s="58"/>
      <c r="K2138" s="59"/>
      <c r="L2138" s="58"/>
      <c r="M2138" s="59"/>
      <c r="N2138" s="58"/>
      <c r="O2138" s="59"/>
      <c r="P2138" s="58"/>
      <c r="Q2138" s="59"/>
      <c r="R2138" s="58"/>
      <c r="S2138" s="59"/>
      <c r="T2138" s="58"/>
      <c r="U2138" s="59"/>
      <c r="V2138" s="58"/>
      <c r="W2138" s="59"/>
      <c r="X2138" s="58"/>
      <c r="Y2138" s="59"/>
      <c r="Z2138" s="60" t="b">
        <v>0</v>
      </c>
      <c r="AA2138" s="125">
        <f t="shared" ref="AA2138:AA2146" si="853">(J2138*K2138+L2138*M2138+N2138*O2138+P2138*Q2138+R2138*S2138+T2138*U2138+V2138*W2138+X2138*Y2138)*if(Z2138=true,0.453592,1)</f>
        <v>0</v>
      </c>
      <c r="AB2138" s="126">
        <f t="shared" ref="AB2138:AB2146" si="854">SUM(AE2138*AF2138*0.025,AE2138)</f>
        <v>0</v>
      </c>
      <c r="AC2138" s="127">
        <f t="shared" ref="AC2138:AC2146" si="855">AB2138*87%</f>
        <v>0</v>
      </c>
      <c r="AD2138" s="128">
        <f t="shared" ref="AD2138:AD2146" si="856">AB2138*67%</f>
        <v>0</v>
      </c>
      <c r="AE2138" s="126">
        <f t="shared" ref="AE2138:AE2146" si="857">MAX(J2138,L2138,N2138,P2138,R2138,T2138,V2138,X2138)*if(Z2138=true,0.453592,1)</f>
        <v>0</v>
      </c>
      <c r="AF2138" s="128">
        <f t="shared" ref="AF2138:AF2146" si="858">MAX(IF(J2138*if(Z2138=true,0.453592,1)=$AE2138,K2138,0),IF(L2138*if(Z2138=true,0.453592,1)=$AE2138,M2138,0),IF(N2138*if(Z2138=true,0.453592,1)=$AE2138,O2138,0),IF(P2138*if(Z2138=true,0.453592,1)=$AE2138,Q2138,0),IF(R2138*if(Z2138=true,0.453592,1)=$AE2138,S2138,0),IF(T2138*if(Z2138=true,0.453592,1)=$AE2138,U2138,0),IF(V2138*if(Z2138=true,0.453592,1)=$AE2138,W2138,0),IF(X2138*if(Z2138=true,0.453592,1)=$AE2138,Y2138,0))</f>
        <v>0</v>
      </c>
      <c r="AG2138" s="1"/>
    </row>
    <row r="2139" ht="21.0" customHeight="1">
      <c r="A2139" s="1"/>
      <c r="B2139" s="48" t="s">
        <v>36</v>
      </c>
      <c r="C2139" s="49"/>
      <c r="D2139" s="65"/>
      <c r="E2139" s="66"/>
      <c r="F2139" s="52" t="s">
        <v>37</v>
      </c>
      <c r="G2139" s="67"/>
      <c r="H2139" s="129"/>
      <c r="I2139" s="69"/>
      <c r="J2139" s="72"/>
      <c r="K2139" s="73"/>
      <c r="L2139" s="72"/>
      <c r="M2139" s="73"/>
      <c r="N2139" s="72"/>
      <c r="O2139" s="73"/>
      <c r="P2139" s="72"/>
      <c r="Q2139" s="73"/>
      <c r="R2139" s="72"/>
      <c r="S2139" s="73"/>
      <c r="T2139" s="72"/>
      <c r="U2139" s="73"/>
      <c r="V2139" s="72"/>
      <c r="W2139" s="73"/>
      <c r="X2139" s="72"/>
      <c r="Y2139" s="73"/>
      <c r="Z2139" s="74" t="b">
        <v>0</v>
      </c>
      <c r="AA2139" s="130">
        <f t="shared" si="853"/>
        <v>0</v>
      </c>
      <c r="AB2139" s="131">
        <f t="shared" si="854"/>
        <v>0</v>
      </c>
      <c r="AC2139" s="132">
        <f t="shared" si="855"/>
        <v>0</v>
      </c>
      <c r="AD2139" s="133">
        <f t="shared" si="856"/>
        <v>0</v>
      </c>
      <c r="AE2139" s="131">
        <f t="shared" si="857"/>
        <v>0</v>
      </c>
      <c r="AF2139" s="133">
        <f t="shared" si="858"/>
        <v>0</v>
      </c>
      <c r="AG2139" s="1"/>
    </row>
    <row r="2140" ht="21.0" customHeight="1">
      <c r="A2140" s="1"/>
      <c r="B2140" s="48" t="s">
        <v>39</v>
      </c>
      <c r="C2140" s="49"/>
      <c r="D2140" s="65"/>
      <c r="E2140" s="41"/>
      <c r="F2140" s="52" t="s">
        <v>40</v>
      </c>
      <c r="G2140" s="79"/>
      <c r="H2140" s="80"/>
      <c r="I2140" s="69"/>
      <c r="J2140" s="72"/>
      <c r="K2140" s="73"/>
      <c r="L2140" s="72"/>
      <c r="M2140" s="73"/>
      <c r="N2140" s="72"/>
      <c r="O2140" s="73"/>
      <c r="P2140" s="72"/>
      <c r="Q2140" s="73"/>
      <c r="R2140" s="72"/>
      <c r="S2140" s="73"/>
      <c r="T2140" s="72"/>
      <c r="U2140" s="73"/>
      <c r="V2140" s="72"/>
      <c r="W2140" s="73"/>
      <c r="X2140" s="72"/>
      <c r="Y2140" s="73"/>
      <c r="Z2140" s="74" t="b">
        <v>0</v>
      </c>
      <c r="AA2140" s="130">
        <f t="shared" si="853"/>
        <v>0</v>
      </c>
      <c r="AB2140" s="131">
        <f t="shared" si="854"/>
        <v>0</v>
      </c>
      <c r="AC2140" s="132">
        <f t="shared" si="855"/>
        <v>0</v>
      </c>
      <c r="AD2140" s="133">
        <f t="shared" si="856"/>
        <v>0</v>
      </c>
      <c r="AE2140" s="131">
        <f t="shared" si="857"/>
        <v>0</v>
      </c>
      <c r="AF2140" s="133">
        <f t="shared" si="858"/>
        <v>0</v>
      </c>
      <c r="AG2140" s="1"/>
    </row>
    <row r="2141" ht="21.0" customHeight="1">
      <c r="A2141" s="1"/>
      <c r="B2141" s="48" t="s">
        <v>41</v>
      </c>
      <c r="C2141" s="81"/>
      <c r="D2141" s="82" t="b">
        <v>0</v>
      </c>
      <c r="E2141" s="51" t="s">
        <v>42</v>
      </c>
      <c r="F2141" s="52" t="s">
        <v>34</v>
      </c>
      <c r="G2141" s="83"/>
      <c r="H2141" s="84"/>
      <c r="I2141" s="85"/>
      <c r="J2141" s="72"/>
      <c r="K2141" s="73"/>
      <c r="L2141" s="72"/>
      <c r="M2141" s="73"/>
      <c r="N2141" s="72"/>
      <c r="O2141" s="73"/>
      <c r="P2141" s="72"/>
      <c r="Q2141" s="73"/>
      <c r="R2141" s="72"/>
      <c r="S2141" s="73"/>
      <c r="T2141" s="72"/>
      <c r="U2141" s="73"/>
      <c r="V2141" s="72"/>
      <c r="W2141" s="73"/>
      <c r="X2141" s="72"/>
      <c r="Y2141" s="73"/>
      <c r="Z2141" s="74" t="b">
        <v>0</v>
      </c>
      <c r="AA2141" s="130">
        <f t="shared" si="853"/>
        <v>0</v>
      </c>
      <c r="AB2141" s="131">
        <f t="shared" si="854"/>
        <v>0</v>
      </c>
      <c r="AC2141" s="132">
        <f t="shared" si="855"/>
        <v>0</v>
      </c>
      <c r="AD2141" s="133">
        <f t="shared" si="856"/>
        <v>0</v>
      </c>
      <c r="AE2141" s="131">
        <f t="shared" si="857"/>
        <v>0</v>
      </c>
      <c r="AF2141" s="133">
        <f t="shared" si="858"/>
        <v>0</v>
      </c>
      <c r="AG2141" s="1"/>
    </row>
    <row r="2142" ht="21.0" customHeight="1">
      <c r="A2142" s="1"/>
      <c r="B2142" s="48" t="s">
        <v>43</v>
      </c>
      <c r="C2142" s="49"/>
      <c r="D2142" s="86" t="b">
        <v>0</v>
      </c>
      <c r="E2142" s="66"/>
      <c r="F2142" s="52" t="s">
        <v>37</v>
      </c>
      <c r="G2142" s="67"/>
      <c r="H2142" s="80"/>
      <c r="I2142" s="69"/>
      <c r="J2142" s="72"/>
      <c r="K2142" s="73"/>
      <c r="L2142" s="72"/>
      <c r="M2142" s="73"/>
      <c r="N2142" s="72"/>
      <c r="O2142" s="73"/>
      <c r="P2142" s="72"/>
      <c r="Q2142" s="73"/>
      <c r="R2142" s="72"/>
      <c r="S2142" s="73"/>
      <c r="T2142" s="72"/>
      <c r="U2142" s="73"/>
      <c r="V2142" s="72"/>
      <c r="W2142" s="73"/>
      <c r="X2142" s="72"/>
      <c r="Y2142" s="73"/>
      <c r="Z2142" s="74" t="b">
        <v>0</v>
      </c>
      <c r="AA2142" s="130">
        <f t="shared" si="853"/>
        <v>0</v>
      </c>
      <c r="AB2142" s="131">
        <f t="shared" si="854"/>
        <v>0</v>
      </c>
      <c r="AC2142" s="132">
        <f t="shared" si="855"/>
        <v>0</v>
      </c>
      <c r="AD2142" s="133">
        <f t="shared" si="856"/>
        <v>0</v>
      </c>
      <c r="AE2142" s="131">
        <f t="shared" si="857"/>
        <v>0</v>
      </c>
      <c r="AF2142" s="133">
        <f t="shared" si="858"/>
        <v>0</v>
      </c>
      <c r="AG2142" s="1"/>
    </row>
    <row r="2143" ht="21.0" customHeight="1">
      <c r="A2143" s="1"/>
      <c r="B2143" s="87" t="str">
        <f t="array" ref="B2143">"📌최근 인바디 결과 : "&amp;text(xlookup(B2135,'현황'!O:O,'현황'!O:O,,-1,-1),"m/d(ddd)")</f>
        <v>#REF!</v>
      </c>
      <c r="C2143" s="88"/>
      <c r="D2143" s="49"/>
      <c r="E2143" s="41"/>
      <c r="F2143" s="52" t="s">
        <v>40</v>
      </c>
      <c r="G2143" s="79"/>
      <c r="H2143" s="80"/>
      <c r="I2143" s="69"/>
      <c r="J2143" s="72"/>
      <c r="K2143" s="73"/>
      <c r="L2143" s="72"/>
      <c r="M2143" s="73"/>
      <c r="N2143" s="72"/>
      <c r="O2143" s="73"/>
      <c r="P2143" s="72"/>
      <c r="Q2143" s="73"/>
      <c r="R2143" s="72"/>
      <c r="S2143" s="73"/>
      <c r="T2143" s="72"/>
      <c r="U2143" s="73"/>
      <c r="V2143" s="72"/>
      <c r="W2143" s="73"/>
      <c r="X2143" s="72"/>
      <c r="Y2143" s="73"/>
      <c r="Z2143" s="74" t="b">
        <v>0</v>
      </c>
      <c r="AA2143" s="130">
        <f t="shared" si="853"/>
        <v>0</v>
      </c>
      <c r="AB2143" s="131">
        <f t="shared" si="854"/>
        <v>0</v>
      </c>
      <c r="AC2143" s="132">
        <f t="shared" si="855"/>
        <v>0</v>
      </c>
      <c r="AD2143" s="133">
        <f t="shared" si="856"/>
        <v>0</v>
      </c>
      <c r="AE2143" s="131">
        <f t="shared" si="857"/>
        <v>0</v>
      </c>
      <c r="AF2143" s="133">
        <f t="shared" si="858"/>
        <v>0</v>
      </c>
      <c r="AG2143" s="1"/>
    </row>
    <row r="2144" ht="21.0" customHeight="1">
      <c r="A2144" s="1"/>
      <c r="B2144" s="89" t="s">
        <v>44</v>
      </c>
      <c r="C2144" s="49"/>
      <c r="D2144" s="90">
        <f t="array" ref="D2144">iferror(vlookup(xlookup(B2135,'현황'!O:O,'현황'!O:O,,-1,-1),'현황'!O:S,2,false),0)</f>
        <v>0</v>
      </c>
      <c r="E2144" s="51" t="s">
        <v>45</v>
      </c>
      <c r="F2144" s="52" t="s">
        <v>34</v>
      </c>
      <c r="G2144" s="83"/>
      <c r="H2144" s="84"/>
      <c r="I2144" s="85"/>
      <c r="J2144" s="72"/>
      <c r="K2144" s="73"/>
      <c r="L2144" s="72"/>
      <c r="M2144" s="73"/>
      <c r="N2144" s="72"/>
      <c r="O2144" s="73"/>
      <c r="P2144" s="72"/>
      <c r="Q2144" s="73"/>
      <c r="R2144" s="72"/>
      <c r="S2144" s="73"/>
      <c r="T2144" s="72"/>
      <c r="U2144" s="73"/>
      <c r="V2144" s="72"/>
      <c r="W2144" s="73"/>
      <c r="X2144" s="72"/>
      <c r="Y2144" s="73"/>
      <c r="Z2144" s="74" t="b">
        <v>0</v>
      </c>
      <c r="AA2144" s="130">
        <f t="shared" si="853"/>
        <v>0</v>
      </c>
      <c r="AB2144" s="131">
        <f t="shared" si="854"/>
        <v>0</v>
      </c>
      <c r="AC2144" s="132">
        <f t="shared" si="855"/>
        <v>0</v>
      </c>
      <c r="AD2144" s="133">
        <f t="shared" si="856"/>
        <v>0</v>
      </c>
      <c r="AE2144" s="131">
        <f t="shared" si="857"/>
        <v>0</v>
      </c>
      <c r="AF2144" s="133">
        <f t="shared" si="858"/>
        <v>0</v>
      </c>
      <c r="AG2144" s="1"/>
    </row>
    <row r="2145" ht="21.0" customHeight="1">
      <c r="A2145" s="1"/>
      <c r="B2145" s="48" t="s">
        <v>46</v>
      </c>
      <c r="C2145" s="49"/>
      <c r="D2145" s="91">
        <f t="array" ref="D2145">iferror(vlookup(xlookup(B2135,'현황'!O:O,'현황'!O:O,,-1,-1),'현황'!O:S,3,false),0)</f>
        <v>0</v>
      </c>
      <c r="E2145" s="66"/>
      <c r="F2145" s="52" t="s">
        <v>37</v>
      </c>
      <c r="G2145" s="67"/>
      <c r="H2145" s="80"/>
      <c r="I2145" s="69"/>
      <c r="J2145" s="72"/>
      <c r="K2145" s="73"/>
      <c r="L2145" s="72"/>
      <c r="M2145" s="73"/>
      <c r="N2145" s="72"/>
      <c r="O2145" s="73"/>
      <c r="P2145" s="72"/>
      <c r="Q2145" s="73"/>
      <c r="R2145" s="72"/>
      <c r="S2145" s="73"/>
      <c r="T2145" s="72"/>
      <c r="U2145" s="73"/>
      <c r="V2145" s="72"/>
      <c r="W2145" s="73"/>
      <c r="X2145" s="72"/>
      <c r="Y2145" s="73"/>
      <c r="Z2145" s="74" t="b">
        <v>0</v>
      </c>
      <c r="AA2145" s="130">
        <f t="shared" si="853"/>
        <v>0</v>
      </c>
      <c r="AB2145" s="131">
        <f t="shared" si="854"/>
        <v>0</v>
      </c>
      <c r="AC2145" s="132">
        <f t="shared" si="855"/>
        <v>0</v>
      </c>
      <c r="AD2145" s="133">
        <f t="shared" si="856"/>
        <v>0</v>
      </c>
      <c r="AE2145" s="131">
        <f t="shared" si="857"/>
        <v>0</v>
      </c>
      <c r="AF2145" s="133">
        <f t="shared" si="858"/>
        <v>0</v>
      </c>
      <c r="AG2145" s="1"/>
    </row>
    <row r="2146" ht="21.0" customHeight="1">
      <c r="A2146" s="1"/>
      <c r="B2146" s="48" t="s">
        <v>47</v>
      </c>
      <c r="C2146" s="49"/>
      <c r="D2146" s="91">
        <f t="array" ref="D2146">iferror(vlookup(xlookup(B2135,'현황'!O:O,'현황'!O:O,,-1,-1),'현황'!O:S,4,false),0)</f>
        <v>0</v>
      </c>
      <c r="E2146" s="41"/>
      <c r="F2146" s="92" t="s">
        <v>40</v>
      </c>
      <c r="G2146" s="79"/>
      <c r="H2146" s="93"/>
      <c r="I2146" s="94"/>
      <c r="J2146" s="95"/>
      <c r="K2146" s="96"/>
      <c r="L2146" s="95"/>
      <c r="M2146" s="96"/>
      <c r="N2146" s="95"/>
      <c r="O2146" s="96"/>
      <c r="P2146" s="95"/>
      <c r="Q2146" s="96"/>
      <c r="R2146" s="95"/>
      <c r="S2146" s="96"/>
      <c r="T2146" s="95"/>
      <c r="U2146" s="96"/>
      <c r="V2146" s="95"/>
      <c r="W2146" s="96"/>
      <c r="X2146" s="95"/>
      <c r="Y2146" s="96"/>
      <c r="Z2146" s="97" t="b">
        <v>0</v>
      </c>
      <c r="AA2146" s="135">
        <f t="shared" si="853"/>
        <v>0</v>
      </c>
      <c r="AB2146" s="136">
        <f t="shared" si="854"/>
        <v>0</v>
      </c>
      <c r="AC2146" s="137">
        <f t="shared" si="855"/>
        <v>0</v>
      </c>
      <c r="AD2146" s="138">
        <f t="shared" si="856"/>
        <v>0</v>
      </c>
      <c r="AE2146" s="136">
        <f t="shared" si="857"/>
        <v>0</v>
      </c>
      <c r="AF2146" s="138">
        <f t="shared" si="858"/>
        <v>0</v>
      </c>
      <c r="AG2146" s="1"/>
    </row>
    <row r="2147" ht="21.0" customHeight="1">
      <c r="A2147" s="1"/>
      <c r="B2147" s="102" t="s">
        <v>48</v>
      </c>
      <c r="C2147" s="103"/>
      <c r="D2147" s="104">
        <f>iferror(D2146/D2144,0)</f>
        <v>0</v>
      </c>
      <c r="E2147" s="102" t="s">
        <v>49</v>
      </c>
      <c r="F2147" s="103"/>
      <c r="G2147" s="105"/>
      <c r="H2147" s="106" t="s">
        <v>50</v>
      </c>
      <c r="I2147" s="107"/>
      <c r="J2147" s="11"/>
      <c r="K2147" s="11"/>
      <c r="L2147" s="11"/>
      <c r="M2147" s="11"/>
      <c r="N2147" s="11"/>
      <c r="O2147" s="11"/>
      <c r="P2147" s="108" t="s">
        <v>51</v>
      </c>
      <c r="Q2147" s="12"/>
      <c r="R2147" s="109"/>
      <c r="S2147" s="11"/>
      <c r="T2147" s="11"/>
      <c r="U2147" s="11"/>
      <c r="V2147" s="11"/>
      <c r="W2147" s="11"/>
      <c r="X2147" s="11"/>
      <c r="Y2147" s="11"/>
      <c r="Z2147" s="12"/>
      <c r="AA2147" s="139">
        <f>SUM(AA2138:AA2146)</f>
        <v>0</v>
      </c>
      <c r="AB2147" s="140" t="s">
        <v>383</v>
      </c>
      <c r="AG2147" s="1"/>
    </row>
    <row r="2148" ht="21.0" customHeight="1">
      <c r="A2148" s="1"/>
      <c r="B2148" s="1"/>
      <c r="C2148" s="1"/>
      <c r="D2148" s="1"/>
      <c r="E2148" s="1"/>
      <c r="F2148" s="1"/>
      <c r="G2148" s="1"/>
      <c r="H2148" s="1"/>
      <c r="I2148" s="1"/>
      <c r="AA2148" s="1"/>
      <c r="AB2148" s="1"/>
      <c r="AC2148" s="3"/>
      <c r="AD2148" s="1"/>
      <c r="AE2148" s="1"/>
      <c r="AF2148" s="1"/>
      <c r="AG2148" s="1"/>
    </row>
    <row r="2149" ht="21.0" customHeight="1">
      <c r="A2149" s="1"/>
      <c r="B2149" s="4" t="s">
        <v>1</v>
      </c>
      <c r="C2149" s="5"/>
      <c r="D2149" s="6" t="s">
        <v>2</v>
      </c>
      <c r="E2149" s="7"/>
      <c r="F2149" s="7"/>
      <c r="G2149" s="5"/>
      <c r="H2149" s="8" t="s">
        <v>3</v>
      </c>
      <c r="I2149" s="8" t="s">
        <v>4</v>
      </c>
      <c r="J2149" s="9" t="s">
        <v>5</v>
      </c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5"/>
      <c r="AA2149" s="117" t="s">
        <v>6</v>
      </c>
      <c r="AB2149" s="11"/>
      <c r="AC2149" s="11"/>
      <c r="AD2149" s="11"/>
      <c r="AE2149" s="11"/>
      <c r="AF2149" s="12"/>
      <c r="AG2149" s="1"/>
    </row>
    <row r="2150" ht="21.0" customHeight="1">
      <c r="A2150" s="1"/>
      <c r="B2150" s="149" t="s">
        <v>138</v>
      </c>
      <c r="C2150" s="14" t="str">
        <f>if(B2150="0/0","",choose(weekday(B2150),"(일)","(월)","(화)","(수)","(목)","(금)","(토)"))</f>
        <v/>
      </c>
      <c r="D2150" s="15" t="s">
        <v>7</v>
      </c>
      <c r="E2150" s="16" t="s">
        <v>8</v>
      </c>
      <c r="F2150" s="17"/>
      <c r="G2150" s="18" t="s">
        <v>9</v>
      </c>
      <c r="H2150" s="150" t="s">
        <v>139</v>
      </c>
      <c r="I2150" s="151"/>
      <c r="J2150" s="21" t="s">
        <v>12</v>
      </c>
      <c r="K2150" s="22"/>
      <c r="L2150" s="21" t="s">
        <v>13</v>
      </c>
      <c r="M2150" s="22"/>
      <c r="N2150" s="21" t="s">
        <v>14</v>
      </c>
      <c r="O2150" s="22"/>
      <c r="P2150" s="21" t="s">
        <v>15</v>
      </c>
      <c r="Q2150" s="22"/>
      <c r="R2150" s="23" t="s">
        <v>16</v>
      </c>
      <c r="S2150" s="22"/>
      <c r="T2150" s="23" t="s">
        <v>17</v>
      </c>
      <c r="U2150" s="22"/>
      <c r="V2150" s="23" t="s">
        <v>18</v>
      </c>
      <c r="W2150" s="22"/>
      <c r="X2150" s="23" t="s">
        <v>19</v>
      </c>
      <c r="Y2150" s="22"/>
      <c r="Z2150" s="24" t="s">
        <v>384</v>
      </c>
      <c r="AA2150" s="118" t="s">
        <v>21</v>
      </c>
      <c r="AB2150" s="119" t="s">
        <v>22</v>
      </c>
      <c r="AC2150" s="7"/>
      <c r="AD2150" s="22"/>
      <c r="AE2150" s="120" t="s">
        <v>23</v>
      </c>
      <c r="AF2150" s="22"/>
      <c r="AG2150" s="1"/>
    </row>
    <row r="2151" ht="21.0" customHeight="1">
      <c r="A2151" s="1"/>
      <c r="B2151" s="27">
        <f>iferror(B2150-'현황'!$C$4+1,0)</f>
        <v>0</v>
      </c>
      <c r="C2151" s="28"/>
      <c r="D2151" s="29">
        <v>0.0</v>
      </c>
      <c r="E2151" s="30">
        <v>0.0</v>
      </c>
      <c r="F2151" s="31"/>
      <c r="G2151" s="32">
        <v>0.0</v>
      </c>
      <c r="H2151" s="33">
        <v>0.0</v>
      </c>
      <c r="I2151" s="34"/>
      <c r="J2151" s="35"/>
      <c r="K2151" s="36"/>
      <c r="L2151" s="35"/>
      <c r="M2151" s="36"/>
      <c r="N2151" s="35"/>
      <c r="O2151" s="36"/>
      <c r="P2151" s="35"/>
      <c r="Q2151" s="36"/>
      <c r="R2151" s="35"/>
      <c r="S2151" s="36"/>
      <c r="T2151" s="35"/>
      <c r="U2151" s="36"/>
      <c r="V2151" s="35"/>
      <c r="W2151" s="36"/>
      <c r="X2151" s="35"/>
      <c r="Y2151" s="36"/>
      <c r="Z2151" s="37"/>
      <c r="AA2151" s="37"/>
      <c r="AB2151" s="35"/>
      <c r="AC2151" s="38"/>
      <c r="AD2151" s="36"/>
      <c r="AE2151" s="35"/>
      <c r="AF2151" s="36"/>
      <c r="AG2151" s="1"/>
    </row>
    <row r="2152" ht="21.0" customHeight="1">
      <c r="A2152" s="1"/>
      <c r="B2152" s="39" t="s">
        <v>24</v>
      </c>
      <c r="C2152" s="40"/>
      <c r="D2152" s="41"/>
      <c r="E2152" s="42" t="s">
        <v>25</v>
      </c>
      <c r="F2152" s="40"/>
      <c r="G2152" s="41"/>
      <c r="H2152" s="43" t="s">
        <v>26</v>
      </c>
      <c r="J2152" s="44" t="s">
        <v>27</v>
      </c>
      <c r="K2152" s="45" t="s">
        <v>28</v>
      </c>
      <c r="L2152" s="44" t="s">
        <v>27</v>
      </c>
      <c r="M2152" s="45" t="s">
        <v>28</v>
      </c>
      <c r="N2152" s="44" t="s">
        <v>27</v>
      </c>
      <c r="O2152" s="45" t="s">
        <v>28</v>
      </c>
      <c r="P2152" s="44" t="s">
        <v>27</v>
      </c>
      <c r="Q2152" s="45" t="s">
        <v>28</v>
      </c>
      <c r="R2152" s="44" t="s">
        <v>27</v>
      </c>
      <c r="S2152" s="45" t="s">
        <v>28</v>
      </c>
      <c r="T2152" s="44" t="s">
        <v>27</v>
      </c>
      <c r="U2152" s="45" t="s">
        <v>28</v>
      </c>
      <c r="V2152" s="44" t="s">
        <v>27</v>
      </c>
      <c r="W2152" s="45" t="s">
        <v>28</v>
      </c>
      <c r="X2152" s="44" t="s">
        <v>27</v>
      </c>
      <c r="Y2152" s="45" t="s">
        <v>28</v>
      </c>
      <c r="Z2152" s="46"/>
      <c r="AA2152" s="46"/>
      <c r="AB2152" s="121" t="s">
        <v>29</v>
      </c>
      <c r="AC2152" s="122" t="s">
        <v>30</v>
      </c>
      <c r="AD2152" s="123" t="s">
        <v>31</v>
      </c>
      <c r="AE2152" s="121" t="s">
        <v>27</v>
      </c>
      <c r="AF2152" s="123" t="s">
        <v>28</v>
      </c>
      <c r="AG2152" s="1"/>
    </row>
    <row r="2153" ht="21.0" customHeight="1">
      <c r="A2153" s="1"/>
      <c r="B2153" s="48" t="s">
        <v>32</v>
      </c>
      <c r="C2153" s="49"/>
      <c r="D2153" s="50"/>
      <c r="E2153" s="51" t="s">
        <v>33</v>
      </c>
      <c r="F2153" s="52" t="s">
        <v>34</v>
      </c>
      <c r="G2153" s="53"/>
      <c r="H2153" s="148"/>
      <c r="I2153" s="55"/>
      <c r="J2153" s="58"/>
      <c r="K2153" s="59"/>
      <c r="L2153" s="58"/>
      <c r="M2153" s="59"/>
      <c r="N2153" s="58"/>
      <c r="O2153" s="59"/>
      <c r="P2153" s="58"/>
      <c r="Q2153" s="59"/>
      <c r="R2153" s="58"/>
      <c r="S2153" s="59"/>
      <c r="T2153" s="58"/>
      <c r="U2153" s="59"/>
      <c r="V2153" s="58"/>
      <c r="W2153" s="59"/>
      <c r="X2153" s="58"/>
      <c r="Y2153" s="59"/>
      <c r="Z2153" s="60" t="b">
        <v>0</v>
      </c>
      <c r="AA2153" s="125">
        <f t="shared" ref="AA2153:AA2161" si="859">(J2153*K2153+L2153*M2153+N2153*O2153+P2153*Q2153+R2153*S2153+T2153*U2153+V2153*W2153+X2153*Y2153)*if(Z2153=true,0.453592,1)</f>
        <v>0</v>
      </c>
      <c r="AB2153" s="126">
        <f t="shared" ref="AB2153:AB2161" si="860">SUM(AE2153*AF2153*0.025,AE2153)</f>
        <v>0</v>
      </c>
      <c r="AC2153" s="127">
        <f t="shared" ref="AC2153:AC2161" si="861">AB2153*87%</f>
        <v>0</v>
      </c>
      <c r="AD2153" s="128">
        <f t="shared" ref="AD2153:AD2161" si="862">AB2153*67%</f>
        <v>0</v>
      </c>
      <c r="AE2153" s="126">
        <f t="shared" ref="AE2153:AE2161" si="863">MAX(J2153,L2153,N2153,P2153,R2153,T2153,V2153,X2153)*if(Z2153=true,0.453592,1)</f>
        <v>0</v>
      </c>
      <c r="AF2153" s="128">
        <f t="shared" ref="AF2153:AF2161" si="864">MAX(IF(J2153*if(Z2153=true,0.453592,1)=$AE2153,K2153,0),IF(L2153*if(Z2153=true,0.453592,1)=$AE2153,M2153,0),IF(N2153*if(Z2153=true,0.453592,1)=$AE2153,O2153,0),IF(P2153*if(Z2153=true,0.453592,1)=$AE2153,Q2153,0),IF(R2153*if(Z2153=true,0.453592,1)=$AE2153,S2153,0),IF(T2153*if(Z2153=true,0.453592,1)=$AE2153,U2153,0),IF(V2153*if(Z2153=true,0.453592,1)=$AE2153,W2153,0),IF(X2153*if(Z2153=true,0.453592,1)=$AE2153,Y2153,0))</f>
        <v>0</v>
      </c>
      <c r="AG2153" s="1"/>
    </row>
    <row r="2154" ht="21.0" customHeight="1">
      <c r="A2154" s="1"/>
      <c r="B2154" s="48" t="s">
        <v>36</v>
      </c>
      <c r="C2154" s="49"/>
      <c r="D2154" s="65"/>
      <c r="E2154" s="66"/>
      <c r="F2154" s="52" t="s">
        <v>37</v>
      </c>
      <c r="G2154" s="67"/>
      <c r="H2154" s="129"/>
      <c r="I2154" s="69"/>
      <c r="J2154" s="72"/>
      <c r="K2154" s="73"/>
      <c r="L2154" s="72"/>
      <c r="M2154" s="73"/>
      <c r="N2154" s="72"/>
      <c r="O2154" s="73"/>
      <c r="P2154" s="72"/>
      <c r="Q2154" s="73"/>
      <c r="R2154" s="72"/>
      <c r="S2154" s="73"/>
      <c r="T2154" s="72"/>
      <c r="U2154" s="73"/>
      <c r="V2154" s="72"/>
      <c r="W2154" s="73"/>
      <c r="X2154" s="72"/>
      <c r="Y2154" s="73"/>
      <c r="Z2154" s="74" t="b">
        <v>0</v>
      </c>
      <c r="AA2154" s="130">
        <f t="shared" si="859"/>
        <v>0</v>
      </c>
      <c r="AB2154" s="131">
        <f t="shared" si="860"/>
        <v>0</v>
      </c>
      <c r="AC2154" s="132">
        <f t="shared" si="861"/>
        <v>0</v>
      </c>
      <c r="AD2154" s="133">
        <f t="shared" si="862"/>
        <v>0</v>
      </c>
      <c r="AE2154" s="131">
        <f t="shared" si="863"/>
        <v>0</v>
      </c>
      <c r="AF2154" s="133">
        <f t="shared" si="864"/>
        <v>0</v>
      </c>
      <c r="AG2154" s="1"/>
    </row>
    <row r="2155" ht="21.0" customHeight="1">
      <c r="A2155" s="1"/>
      <c r="B2155" s="48" t="s">
        <v>39</v>
      </c>
      <c r="C2155" s="49"/>
      <c r="D2155" s="65"/>
      <c r="E2155" s="41"/>
      <c r="F2155" s="52" t="s">
        <v>40</v>
      </c>
      <c r="G2155" s="79"/>
      <c r="H2155" s="80"/>
      <c r="I2155" s="69"/>
      <c r="J2155" s="72"/>
      <c r="K2155" s="73"/>
      <c r="L2155" s="72"/>
      <c r="M2155" s="73"/>
      <c r="N2155" s="72"/>
      <c r="O2155" s="73"/>
      <c r="P2155" s="72"/>
      <c r="Q2155" s="73"/>
      <c r="R2155" s="72"/>
      <c r="S2155" s="73"/>
      <c r="T2155" s="72"/>
      <c r="U2155" s="73"/>
      <c r="V2155" s="72"/>
      <c r="W2155" s="73"/>
      <c r="X2155" s="72"/>
      <c r="Y2155" s="73"/>
      <c r="Z2155" s="74" t="b">
        <v>0</v>
      </c>
      <c r="AA2155" s="130">
        <f t="shared" si="859"/>
        <v>0</v>
      </c>
      <c r="AB2155" s="131">
        <f t="shared" si="860"/>
        <v>0</v>
      </c>
      <c r="AC2155" s="132">
        <f t="shared" si="861"/>
        <v>0</v>
      </c>
      <c r="AD2155" s="133">
        <f t="shared" si="862"/>
        <v>0</v>
      </c>
      <c r="AE2155" s="131">
        <f t="shared" si="863"/>
        <v>0</v>
      </c>
      <c r="AF2155" s="133">
        <f t="shared" si="864"/>
        <v>0</v>
      </c>
      <c r="AG2155" s="1"/>
    </row>
    <row r="2156" ht="21.0" customHeight="1">
      <c r="A2156" s="1"/>
      <c r="B2156" s="48" t="s">
        <v>41</v>
      </c>
      <c r="C2156" s="81"/>
      <c r="D2156" s="82" t="b">
        <v>0</v>
      </c>
      <c r="E2156" s="51" t="s">
        <v>42</v>
      </c>
      <c r="F2156" s="52" t="s">
        <v>34</v>
      </c>
      <c r="G2156" s="83"/>
      <c r="H2156" s="84"/>
      <c r="I2156" s="85"/>
      <c r="J2156" s="72"/>
      <c r="K2156" s="73"/>
      <c r="L2156" s="72"/>
      <c r="M2156" s="73"/>
      <c r="N2156" s="72"/>
      <c r="O2156" s="73"/>
      <c r="P2156" s="72"/>
      <c r="Q2156" s="73"/>
      <c r="R2156" s="72"/>
      <c r="S2156" s="73"/>
      <c r="T2156" s="72"/>
      <c r="U2156" s="73"/>
      <c r="V2156" s="72"/>
      <c r="W2156" s="73"/>
      <c r="X2156" s="72"/>
      <c r="Y2156" s="73"/>
      <c r="Z2156" s="74" t="b">
        <v>0</v>
      </c>
      <c r="AA2156" s="130">
        <f t="shared" si="859"/>
        <v>0</v>
      </c>
      <c r="AB2156" s="131">
        <f t="shared" si="860"/>
        <v>0</v>
      </c>
      <c r="AC2156" s="132">
        <f t="shared" si="861"/>
        <v>0</v>
      </c>
      <c r="AD2156" s="133">
        <f t="shared" si="862"/>
        <v>0</v>
      </c>
      <c r="AE2156" s="131">
        <f t="shared" si="863"/>
        <v>0</v>
      </c>
      <c r="AF2156" s="133">
        <f t="shared" si="864"/>
        <v>0</v>
      </c>
      <c r="AG2156" s="1"/>
    </row>
    <row r="2157" ht="21.0" customHeight="1">
      <c r="A2157" s="1"/>
      <c r="B2157" s="48" t="s">
        <v>43</v>
      </c>
      <c r="C2157" s="49"/>
      <c r="D2157" s="86" t="b">
        <v>0</v>
      </c>
      <c r="E2157" s="66"/>
      <c r="F2157" s="52" t="s">
        <v>37</v>
      </c>
      <c r="G2157" s="67"/>
      <c r="H2157" s="80"/>
      <c r="I2157" s="69"/>
      <c r="J2157" s="72"/>
      <c r="K2157" s="73"/>
      <c r="L2157" s="72"/>
      <c r="M2157" s="73"/>
      <c r="N2157" s="72"/>
      <c r="O2157" s="73"/>
      <c r="P2157" s="72"/>
      <c r="Q2157" s="73"/>
      <c r="R2157" s="72"/>
      <c r="S2157" s="73"/>
      <c r="T2157" s="72"/>
      <c r="U2157" s="73"/>
      <c r="V2157" s="72"/>
      <c r="W2157" s="73"/>
      <c r="X2157" s="72"/>
      <c r="Y2157" s="73"/>
      <c r="Z2157" s="74" t="b">
        <v>0</v>
      </c>
      <c r="AA2157" s="130">
        <f t="shared" si="859"/>
        <v>0</v>
      </c>
      <c r="AB2157" s="131">
        <f t="shared" si="860"/>
        <v>0</v>
      </c>
      <c r="AC2157" s="132">
        <f t="shared" si="861"/>
        <v>0</v>
      </c>
      <c r="AD2157" s="133">
        <f t="shared" si="862"/>
        <v>0</v>
      </c>
      <c r="AE2157" s="131">
        <f t="shared" si="863"/>
        <v>0</v>
      </c>
      <c r="AF2157" s="133">
        <f t="shared" si="864"/>
        <v>0</v>
      </c>
      <c r="AG2157" s="1"/>
    </row>
    <row r="2158" ht="21.0" customHeight="1">
      <c r="A2158" s="1"/>
      <c r="B2158" s="87" t="str">
        <f t="array" ref="B2158">"📌최근 인바디 결과 : "&amp;text(xlookup(B2150,'현황'!O:O,'현황'!O:O,,-1,-1),"m/d(ddd)")</f>
        <v>#REF!</v>
      </c>
      <c r="C2158" s="88"/>
      <c r="D2158" s="49"/>
      <c r="E2158" s="41"/>
      <c r="F2158" s="52" t="s">
        <v>40</v>
      </c>
      <c r="G2158" s="79"/>
      <c r="H2158" s="80"/>
      <c r="I2158" s="69"/>
      <c r="J2158" s="72"/>
      <c r="K2158" s="73"/>
      <c r="L2158" s="72"/>
      <c r="M2158" s="73"/>
      <c r="N2158" s="72"/>
      <c r="O2158" s="73"/>
      <c r="P2158" s="72"/>
      <c r="Q2158" s="73"/>
      <c r="R2158" s="72"/>
      <c r="S2158" s="73"/>
      <c r="T2158" s="72"/>
      <c r="U2158" s="73"/>
      <c r="V2158" s="72"/>
      <c r="W2158" s="73"/>
      <c r="X2158" s="72"/>
      <c r="Y2158" s="73"/>
      <c r="Z2158" s="74" t="b">
        <v>0</v>
      </c>
      <c r="AA2158" s="130">
        <f t="shared" si="859"/>
        <v>0</v>
      </c>
      <c r="AB2158" s="131">
        <f t="shared" si="860"/>
        <v>0</v>
      </c>
      <c r="AC2158" s="132">
        <f t="shared" si="861"/>
        <v>0</v>
      </c>
      <c r="AD2158" s="133">
        <f t="shared" si="862"/>
        <v>0</v>
      </c>
      <c r="AE2158" s="131">
        <f t="shared" si="863"/>
        <v>0</v>
      </c>
      <c r="AF2158" s="133">
        <f t="shared" si="864"/>
        <v>0</v>
      </c>
      <c r="AG2158" s="1"/>
    </row>
    <row r="2159" ht="21.0" customHeight="1">
      <c r="A2159" s="1"/>
      <c r="B2159" s="89" t="s">
        <v>44</v>
      </c>
      <c r="C2159" s="49"/>
      <c r="D2159" s="90">
        <f t="array" ref="D2159">iferror(vlookup(xlookup(B2150,'현황'!O:O,'현황'!O:O,,-1,-1),'현황'!O:S,2,false),0)</f>
        <v>0</v>
      </c>
      <c r="E2159" s="51" t="s">
        <v>45</v>
      </c>
      <c r="F2159" s="52" t="s">
        <v>34</v>
      </c>
      <c r="G2159" s="83"/>
      <c r="H2159" s="84"/>
      <c r="I2159" s="85"/>
      <c r="J2159" s="72"/>
      <c r="K2159" s="73"/>
      <c r="L2159" s="72"/>
      <c r="M2159" s="73"/>
      <c r="N2159" s="72"/>
      <c r="O2159" s="73"/>
      <c r="P2159" s="72"/>
      <c r="Q2159" s="73"/>
      <c r="R2159" s="72"/>
      <c r="S2159" s="73"/>
      <c r="T2159" s="72"/>
      <c r="U2159" s="73"/>
      <c r="V2159" s="72"/>
      <c r="W2159" s="73"/>
      <c r="X2159" s="72"/>
      <c r="Y2159" s="73"/>
      <c r="Z2159" s="74" t="b">
        <v>0</v>
      </c>
      <c r="AA2159" s="130">
        <f t="shared" si="859"/>
        <v>0</v>
      </c>
      <c r="AB2159" s="131">
        <f t="shared" si="860"/>
        <v>0</v>
      </c>
      <c r="AC2159" s="132">
        <f t="shared" si="861"/>
        <v>0</v>
      </c>
      <c r="AD2159" s="133">
        <f t="shared" si="862"/>
        <v>0</v>
      </c>
      <c r="AE2159" s="131">
        <f t="shared" si="863"/>
        <v>0</v>
      </c>
      <c r="AF2159" s="133">
        <f t="shared" si="864"/>
        <v>0</v>
      </c>
      <c r="AG2159" s="1"/>
    </row>
    <row r="2160" ht="21.0" customHeight="1">
      <c r="A2160" s="1"/>
      <c r="B2160" s="48" t="s">
        <v>46</v>
      </c>
      <c r="C2160" s="49"/>
      <c r="D2160" s="91">
        <f t="array" ref="D2160">iferror(vlookup(xlookup(B2150,'현황'!O:O,'현황'!O:O,,-1,-1),'현황'!O:S,3,false),0)</f>
        <v>0</v>
      </c>
      <c r="E2160" s="66"/>
      <c r="F2160" s="52" t="s">
        <v>37</v>
      </c>
      <c r="G2160" s="67"/>
      <c r="H2160" s="80"/>
      <c r="I2160" s="69"/>
      <c r="J2160" s="72"/>
      <c r="K2160" s="73"/>
      <c r="L2160" s="72"/>
      <c r="M2160" s="73"/>
      <c r="N2160" s="72"/>
      <c r="O2160" s="73"/>
      <c r="P2160" s="72"/>
      <c r="Q2160" s="73"/>
      <c r="R2160" s="72"/>
      <c r="S2160" s="73"/>
      <c r="T2160" s="72"/>
      <c r="U2160" s="73"/>
      <c r="V2160" s="72"/>
      <c r="W2160" s="73"/>
      <c r="X2160" s="72"/>
      <c r="Y2160" s="73"/>
      <c r="Z2160" s="74" t="b">
        <v>0</v>
      </c>
      <c r="AA2160" s="130">
        <f t="shared" si="859"/>
        <v>0</v>
      </c>
      <c r="AB2160" s="131">
        <f t="shared" si="860"/>
        <v>0</v>
      </c>
      <c r="AC2160" s="132">
        <f t="shared" si="861"/>
        <v>0</v>
      </c>
      <c r="AD2160" s="133">
        <f t="shared" si="862"/>
        <v>0</v>
      </c>
      <c r="AE2160" s="131">
        <f t="shared" si="863"/>
        <v>0</v>
      </c>
      <c r="AF2160" s="133">
        <f t="shared" si="864"/>
        <v>0</v>
      </c>
      <c r="AG2160" s="1"/>
    </row>
    <row r="2161" ht="21.0" customHeight="1">
      <c r="A2161" s="1"/>
      <c r="B2161" s="48" t="s">
        <v>47</v>
      </c>
      <c r="C2161" s="49"/>
      <c r="D2161" s="91">
        <f t="array" ref="D2161">iferror(vlookup(xlookup(B2150,'현황'!O:O,'현황'!O:O,,-1,-1),'현황'!O:S,4,false),0)</f>
        <v>0</v>
      </c>
      <c r="E2161" s="41"/>
      <c r="F2161" s="92" t="s">
        <v>40</v>
      </c>
      <c r="G2161" s="79"/>
      <c r="H2161" s="93"/>
      <c r="I2161" s="94"/>
      <c r="J2161" s="95"/>
      <c r="K2161" s="96"/>
      <c r="L2161" s="95"/>
      <c r="M2161" s="96"/>
      <c r="N2161" s="95"/>
      <c r="O2161" s="96"/>
      <c r="P2161" s="95"/>
      <c r="Q2161" s="96"/>
      <c r="R2161" s="95"/>
      <c r="S2161" s="96"/>
      <c r="T2161" s="95"/>
      <c r="U2161" s="96"/>
      <c r="V2161" s="95"/>
      <c r="W2161" s="96"/>
      <c r="X2161" s="95"/>
      <c r="Y2161" s="96"/>
      <c r="Z2161" s="97" t="b">
        <v>0</v>
      </c>
      <c r="AA2161" s="135">
        <f t="shared" si="859"/>
        <v>0</v>
      </c>
      <c r="AB2161" s="136">
        <f t="shared" si="860"/>
        <v>0</v>
      </c>
      <c r="AC2161" s="137">
        <f t="shared" si="861"/>
        <v>0</v>
      </c>
      <c r="AD2161" s="138">
        <f t="shared" si="862"/>
        <v>0</v>
      </c>
      <c r="AE2161" s="136">
        <f t="shared" si="863"/>
        <v>0</v>
      </c>
      <c r="AF2161" s="138">
        <f t="shared" si="864"/>
        <v>0</v>
      </c>
      <c r="AG2161" s="1"/>
    </row>
    <row r="2162" ht="21.0" customHeight="1">
      <c r="A2162" s="1"/>
      <c r="B2162" s="102" t="s">
        <v>48</v>
      </c>
      <c r="C2162" s="103"/>
      <c r="D2162" s="104">
        <f>iferror(D2161/D2159,0)</f>
        <v>0</v>
      </c>
      <c r="E2162" s="102" t="s">
        <v>49</v>
      </c>
      <c r="F2162" s="103"/>
      <c r="G2162" s="105"/>
      <c r="H2162" s="143" t="s">
        <v>50</v>
      </c>
      <c r="I2162" s="144"/>
      <c r="J2162" s="11"/>
      <c r="K2162" s="11"/>
      <c r="L2162" s="11"/>
      <c r="M2162" s="11"/>
      <c r="N2162" s="11"/>
      <c r="O2162" s="11"/>
      <c r="P2162" s="145" t="s">
        <v>51</v>
      </c>
      <c r="Q2162" s="12"/>
      <c r="R2162" s="146"/>
      <c r="S2162" s="11"/>
      <c r="T2162" s="11"/>
      <c r="U2162" s="11"/>
      <c r="V2162" s="11"/>
      <c r="W2162" s="11"/>
      <c r="X2162" s="11"/>
      <c r="Y2162" s="11"/>
      <c r="Z2162" s="12"/>
      <c r="AA2162" s="139">
        <f>SUM(AA2153:AA2161)</f>
        <v>0</v>
      </c>
      <c r="AB2162" s="140" t="s">
        <v>385</v>
      </c>
      <c r="AG2162" s="1"/>
    </row>
    <row r="2163" ht="21.0" customHeight="1">
      <c r="A2163" s="1"/>
      <c r="B2163" s="1"/>
      <c r="C2163" s="1"/>
      <c r="D2163" s="1"/>
      <c r="E2163" s="1"/>
      <c r="F2163" s="1"/>
      <c r="G2163" s="1"/>
      <c r="H2163" s="1"/>
      <c r="I2163" s="1"/>
      <c r="AA2163" s="1"/>
      <c r="AB2163" s="1"/>
      <c r="AC2163" s="3"/>
      <c r="AD2163" s="1"/>
      <c r="AE2163" s="1"/>
      <c r="AF2163" s="1"/>
      <c r="AG2163" s="1"/>
    </row>
    <row r="2164" ht="21.0" customHeight="1">
      <c r="A2164" s="1"/>
      <c r="B2164" s="4" t="s">
        <v>1</v>
      </c>
      <c r="C2164" s="5"/>
      <c r="D2164" s="6" t="s">
        <v>2</v>
      </c>
      <c r="E2164" s="7"/>
      <c r="F2164" s="7"/>
      <c r="G2164" s="5"/>
      <c r="H2164" s="8" t="s">
        <v>3</v>
      </c>
      <c r="I2164" s="8" t="s">
        <v>4</v>
      </c>
      <c r="J2164" s="9" t="s">
        <v>5</v>
      </c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5"/>
      <c r="AA2164" s="117" t="s">
        <v>6</v>
      </c>
      <c r="AB2164" s="11"/>
      <c r="AC2164" s="11"/>
      <c r="AD2164" s="11"/>
      <c r="AE2164" s="11"/>
      <c r="AF2164" s="12"/>
      <c r="AG2164" s="1"/>
    </row>
    <row r="2165" ht="21.0" customHeight="1">
      <c r="A2165" s="1"/>
      <c r="B2165" s="149" t="s">
        <v>138</v>
      </c>
      <c r="C2165" s="14" t="str">
        <f>if(B2165="0/0","",choose(weekday(B2165),"(일)","(월)","(화)","(수)","(목)","(금)","(토)"))</f>
        <v/>
      </c>
      <c r="D2165" s="15" t="s">
        <v>7</v>
      </c>
      <c r="E2165" s="16" t="s">
        <v>8</v>
      </c>
      <c r="F2165" s="17"/>
      <c r="G2165" s="18" t="s">
        <v>9</v>
      </c>
      <c r="H2165" s="150" t="s">
        <v>139</v>
      </c>
      <c r="I2165" s="151"/>
      <c r="J2165" s="21" t="s">
        <v>12</v>
      </c>
      <c r="K2165" s="22"/>
      <c r="L2165" s="21" t="s">
        <v>13</v>
      </c>
      <c r="M2165" s="22"/>
      <c r="N2165" s="21" t="s">
        <v>14</v>
      </c>
      <c r="O2165" s="22"/>
      <c r="P2165" s="21" t="s">
        <v>15</v>
      </c>
      <c r="Q2165" s="22"/>
      <c r="R2165" s="23" t="s">
        <v>16</v>
      </c>
      <c r="S2165" s="22"/>
      <c r="T2165" s="23" t="s">
        <v>17</v>
      </c>
      <c r="U2165" s="22"/>
      <c r="V2165" s="23" t="s">
        <v>18</v>
      </c>
      <c r="W2165" s="22"/>
      <c r="X2165" s="23" t="s">
        <v>19</v>
      </c>
      <c r="Y2165" s="22"/>
      <c r="Z2165" s="24" t="s">
        <v>386</v>
      </c>
      <c r="AA2165" s="118" t="s">
        <v>21</v>
      </c>
      <c r="AB2165" s="119" t="s">
        <v>22</v>
      </c>
      <c r="AC2165" s="7"/>
      <c r="AD2165" s="22"/>
      <c r="AE2165" s="120" t="s">
        <v>23</v>
      </c>
      <c r="AF2165" s="22"/>
      <c r="AG2165" s="1"/>
    </row>
    <row r="2166" ht="21.0" customHeight="1">
      <c r="A2166" s="1"/>
      <c r="B2166" s="27">
        <f>iferror(B2165-'현황'!$C$4+1,0)</f>
        <v>0</v>
      </c>
      <c r="C2166" s="28"/>
      <c r="D2166" s="29">
        <v>0.0</v>
      </c>
      <c r="E2166" s="30">
        <v>0.0</v>
      </c>
      <c r="F2166" s="31"/>
      <c r="G2166" s="32">
        <v>0.0</v>
      </c>
      <c r="H2166" s="33">
        <v>0.0</v>
      </c>
      <c r="I2166" s="34"/>
      <c r="J2166" s="35"/>
      <c r="K2166" s="36"/>
      <c r="L2166" s="35"/>
      <c r="M2166" s="36"/>
      <c r="N2166" s="35"/>
      <c r="O2166" s="36"/>
      <c r="P2166" s="35"/>
      <c r="Q2166" s="36"/>
      <c r="R2166" s="35"/>
      <c r="S2166" s="36"/>
      <c r="T2166" s="35"/>
      <c r="U2166" s="36"/>
      <c r="V2166" s="35"/>
      <c r="W2166" s="36"/>
      <c r="X2166" s="35"/>
      <c r="Y2166" s="36"/>
      <c r="Z2166" s="37"/>
      <c r="AA2166" s="37"/>
      <c r="AB2166" s="35"/>
      <c r="AC2166" s="38"/>
      <c r="AD2166" s="36"/>
      <c r="AE2166" s="35"/>
      <c r="AF2166" s="36"/>
      <c r="AG2166" s="1"/>
    </row>
    <row r="2167" ht="21.0" customHeight="1">
      <c r="A2167" s="1"/>
      <c r="B2167" s="39" t="s">
        <v>24</v>
      </c>
      <c r="C2167" s="40"/>
      <c r="D2167" s="41"/>
      <c r="E2167" s="42" t="s">
        <v>25</v>
      </c>
      <c r="F2167" s="40"/>
      <c r="G2167" s="41"/>
      <c r="H2167" s="43" t="s">
        <v>26</v>
      </c>
      <c r="J2167" s="44" t="s">
        <v>27</v>
      </c>
      <c r="K2167" s="45" t="s">
        <v>28</v>
      </c>
      <c r="L2167" s="44" t="s">
        <v>27</v>
      </c>
      <c r="M2167" s="45" t="s">
        <v>28</v>
      </c>
      <c r="N2167" s="44" t="s">
        <v>27</v>
      </c>
      <c r="O2167" s="45" t="s">
        <v>28</v>
      </c>
      <c r="P2167" s="44" t="s">
        <v>27</v>
      </c>
      <c r="Q2167" s="45" t="s">
        <v>28</v>
      </c>
      <c r="R2167" s="44" t="s">
        <v>27</v>
      </c>
      <c r="S2167" s="45" t="s">
        <v>28</v>
      </c>
      <c r="T2167" s="44" t="s">
        <v>27</v>
      </c>
      <c r="U2167" s="45" t="s">
        <v>28</v>
      </c>
      <c r="V2167" s="44" t="s">
        <v>27</v>
      </c>
      <c r="W2167" s="45" t="s">
        <v>28</v>
      </c>
      <c r="X2167" s="44" t="s">
        <v>27</v>
      </c>
      <c r="Y2167" s="45" t="s">
        <v>28</v>
      </c>
      <c r="Z2167" s="46"/>
      <c r="AA2167" s="46"/>
      <c r="AB2167" s="121" t="s">
        <v>29</v>
      </c>
      <c r="AC2167" s="122" t="s">
        <v>30</v>
      </c>
      <c r="AD2167" s="123" t="s">
        <v>31</v>
      </c>
      <c r="AE2167" s="121" t="s">
        <v>27</v>
      </c>
      <c r="AF2167" s="123" t="s">
        <v>28</v>
      </c>
      <c r="AG2167" s="1"/>
    </row>
    <row r="2168" ht="21.0" customHeight="1">
      <c r="A2168" s="1"/>
      <c r="B2168" s="48" t="s">
        <v>32</v>
      </c>
      <c r="C2168" s="49"/>
      <c r="D2168" s="50"/>
      <c r="E2168" s="51" t="s">
        <v>33</v>
      </c>
      <c r="F2168" s="52" t="s">
        <v>34</v>
      </c>
      <c r="G2168" s="53"/>
      <c r="H2168" s="148"/>
      <c r="I2168" s="55"/>
      <c r="J2168" s="58"/>
      <c r="K2168" s="59"/>
      <c r="L2168" s="58"/>
      <c r="M2168" s="59"/>
      <c r="N2168" s="58"/>
      <c r="O2168" s="59"/>
      <c r="P2168" s="58"/>
      <c r="Q2168" s="59"/>
      <c r="R2168" s="58"/>
      <c r="S2168" s="59"/>
      <c r="T2168" s="58"/>
      <c r="U2168" s="59"/>
      <c r="V2168" s="58"/>
      <c r="W2168" s="59"/>
      <c r="X2168" s="58"/>
      <c r="Y2168" s="59"/>
      <c r="Z2168" s="60" t="b">
        <v>0</v>
      </c>
      <c r="AA2168" s="125">
        <f t="shared" ref="AA2168:AA2176" si="865">(J2168*K2168+L2168*M2168+N2168*O2168+P2168*Q2168+R2168*S2168+T2168*U2168+V2168*W2168+X2168*Y2168)*if(Z2168=true,0.453592,1)</f>
        <v>0</v>
      </c>
      <c r="AB2168" s="126">
        <f t="shared" ref="AB2168:AB2176" si="866">SUM(AE2168*AF2168*0.025,AE2168)</f>
        <v>0</v>
      </c>
      <c r="AC2168" s="127">
        <f t="shared" ref="AC2168:AC2176" si="867">AB2168*87%</f>
        <v>0</v>
      </c>
      <c r="AD2168" s="128">
        <f t="shared" ref="AD2168:AD2176" si="868">AB2168*67%</f>
        <v>0</v>
      </c>
      <c r="AE2168" s="126">
        <f t="shared" ref="AE2168:AE2176" si="869">MAX(J2168,L2168,N2168,P2168,R2168,T2168,V2168,X2168)*if(Z2168=true,0.453592,1)</f>
        <v>0</v>
      </c>
      <c r="AF2168" s="128">
        <f t="shared" ref="AF2168:AF2176" si="870">MAX(IF(J2168*if(Z2168=true,0.453592,1)=$AE2168,K2168,0),IF(L2168*if(Z2168=true,0.453592,1)=$AE2168,M2168,0),IF(N2168*if(Z2168=true,0.453592,1)=$AE2168,O2168,0),IF(P2168*if(Z2168=true,0.453592,1)=$AE2168,Q2168,0),IF(R2168*if(Z2168=true,0.453592,1)=$AE2168,S2168,0),IF(T2168*if(Z2168=true,0.453592,1)=$AE2168,U2168,0),IF(V2168*if(Z2168=true,0.453592,1)=$AE2168,W2168,0),IF(X2168*if(Z2168=true,0.453592,1)=$AE2168,Y2168,0))</f>
        <v>0</v>
      </c>
      <c r="AG2168" s="1"/>
    </row>
    <row r="2169" ht="21.0" customHeight="1">
      <c r="A2169" s="1"/>
      <c r="B2169" s="48" t="s">
        <v>36</v>
      </c>
      <c r="C2169" s="49"/>
      <c r="D2169" s="65"/>
      <c r="E2169" s="66"/>
      <c r="F2169" s="52" t="s">
        <v>37</v>
      </c>
      <c r="G2169" s="67"/>
      <c r="H2169" s="129"/>
      <c r="I2169" s="69"/>
      <c r="J2169" s="72"/>
      <c r="K2169" s="73"/>
      <c r="L2169" s="72"/>
      <c r="M2169" s="73"/>
      <c r="N2169" s="72"/>
      <c r="O2169" s="73"/>
      <c r="P2169" s="72"/>
      <c r="Q2169" s="73"/>
      <c r="R2169" s="72"/>
      <c r="S2169" s="73"/>
      <c r="T2169" s="72"/>
      <c r="U2169" s="73"/>
      <c r="V2169" s="72"/>
      <c r="W2169" s="73"/>
      <c r="X2169" s="72"/>
      <c r="Y2169" s="73"/>
      <c r="Z2169" s="74" t="b">
        <v>0</v>
      </c>
      <c r="AA2169" s="130">
        <f t="shared" si="865"/>
        <v>0</v>
      </c>
      <c r="AB2169" s="131">
        <f t="shared" si="866"/>
        <v>0</v>
      </c>
      <c r="AC2169" s="132">
        <f t="shared" si="867"/>
        <v>0</v>
      </c>
      <c r="AD2169" s="133">
        <f t="shared" si="868"/>
        <v>0</v>
      </c>
      <c r="AE2169" s="131">
        <f t="shared" si="869"/>
        <v>0</v>
      </c>
      <c r="AF2169" s="133">
        <f t="shared" si="870"/>
        <v>0</v>
      </c>
      <c r="AG2169" s="1"/>
    </row>
    <row r="2170" ht="21.0" customHeight="1">
      <c r="A2170" s="1"/>
      <c r="B2170" s="48" t="s">
        <v>39</v>
      </c>
      <c r="C2170" s="49"/>
      <c r="D2170" s="65"/>
      <c r="E2170" s="41"/>
      <c r="F2170" s="52" t="s">
        <v>40</v>
      </c>
      <c r="G2170" s="79"/>
      <c r="H2170" s="80"/>
      <c r="I2170" s="69"/>
      <c r="J2170" s="72"/>
      <c r="K2170" s="73"/>
      <c r="L2170" s="72"/>
      <c r="M2170" s="73"/>
      <c r="N2170" s="72"/>
      <c r="O2170" s="73"/>
      <c r="P2170" s="72"/>
      <c r="Q2170" s="73"/>
      <c r="R2170" s="72"/>
      <c r="S2170" s="73"/>
      <c r="T2170" s="72"/>
      <c r="U2170" s="73"/>
      <c r="V2170" s="72"/>
      <c r="W2170" s="73"/>
      <c r="X2170" s="72"/>
      <c r="Y2170" s="73"/>
      <c r="Z2170" s="74" t="b">
        <v>0</v>
      </c>
      <c r="AA2170" s="130">
        <f t="shared" si="865"/>
        <v>0</v>
      </c>
      <c r="AB2170" s="131">
        <f t="shared" si="866"/>
        <v>0</v>
      </c>
      <c r="AC2170" s="132">
        <f t="shared" si="867"/>
        <v>0</v>
      </c>
      <c r="AD2170" s="133">
        <f t="shared" si="868"/>
        <v>0</v>
      </c>
      <c r="AE2170" s="131">
        <f t="shared" si="869"/>
        <v>0</v>
      </c>
      <c r="AF2170" s="133">
        <f t="shared" si="870"/>
        <v>0</v>
      </c>
      <c r="AG2170" s="1"/>
    </row>
    <row r="2171" ht="21.0" customHeight="1">
      <c r="A2171" s="1"/>
      <c r="B2171" s="48" t="s">
        <v>41</v>
      </c>
      <c r="C2171" s="81"/>
      <c r="D2171" s="82" t="b">
        <v>0</v>
      </c>
      <c r="E2171" s="51" t="s">
        <v>42</v>
      </c>
      <c r="F2171" s="52" t="s">
        <v>34</v>
      </c>
      <c r="G2171" s="83"/>
      <c r="H2171" s="84"/>
      <c r="I2171" s="85"/>
      <c r="J2171" s="72"/>
      <c r="K2171" s="73"/>
      <c r="L2171" s="72"/>
      <c r="M2171" s="73"/>
      <c r="N2171" s="72"/>
      <c r="O2171" s="73"/>
      <c r="P2171" s="72"/>
      <c r="Q2171" s="73"/>
      <c r="R2171" s="72"/>
      <c r="S2171" s="73"/>
      <c r="T2171" s="72"/>
      <c r="U2171" s="73"/>
      <c r="V2171" s="72"/>
      <c r="W2171" s="73"/>
      <c r="X2171" s="72"/>
      <c r="Y2171" s="73"/>
      <c r="Z2171" s="74" t="b">
        <v>0</v>
      </c>
      <c r="AA2171" s="130">
        <f t="shared" si="865"/>
        <v>0</v>
      </c>
      <c r="AB2171" s="131">
        <f t="shared" si="866"/>
        <v>0</v>
      </c>
      <c r="AC2171" s="132">
        <f t="shared" si="867"/>
        <v>0</v>
      </c>
      <c r="AD2171" s="133">
        <f t="shared" si="868"/>
        <v>0</v>
      </c>
      <c r="AE2171" s="131">
        <f t="shared" si="869"/>
        <v>0</v>
      </c>
      <c r="AF2171" s="133">
        <f t="shared" si="870"/>
        <v>0</v>
      </c>
      <c r="AG2171" s="1"/>
    </row>
    <row r="2172" ht="21.0" customHeight="1">
      <c r="A2172" s="1"/>
      <c r="B2172" s="48" t="s">
        <v>43</v>
      </c>
      <c r="C2172" s="49"/>
      <c r="D2172" s="86" t="b">
        <v>0</v>
      </c>
      <c r="E2172" s="66"/>
      <c r="F2172" s="52" t="s">
        <v>37</v>
      </c>
      <c r="G2172" s="67"/>
      <c r="H2172" s="80"/>
      <c r="I2172" s="69"/>
      <c r="J2172" s="72"/>
      <c r="K2172" s="73"/>
      <c r="L2172" s="72"/>
      <c r="M2172" s="73"/>
      <c r="N2172" s="72"/>
      <c r="O2172" s="73"/>
      <c r="P2172" s="72"/>
      <c r="Q2172" s="73"/>
      <c r="R2172" s="72"/>
      <c r="S2172" s="73"/>
      <c r="T2172" s="72"/>
      <c r="U2172" s="73"/>
      <c r="V2172" s="72"/>
      <c r="W2172" s="73"/>
      <c r="X2172" s="72"/>
      <c r="Y2172" s="73"/>
      <c r="Z2172" s="74" t="b">
        <v>0</v>
      </c>
      <c r="AA2172" s="130">
        <f t="shared" si="865"/>
        <v>0</v>
      </c>
      <c r="AB2172" s="131">
        <f t="shared" si="866"/>
        <v>0</v>
      </c>
      <c r="AC2172" s="132">
        <f t="shared" si="867"/>
        <v>0</v>
      </c>
      <c r="AD2172" s="133">
        <f t="shared" si="868"/>
        <v>0</v>
      </c>
      <c r="AE2172" s="131">
        <f t="shared" si="869"/>
        <v>0</v>
      </c>
      <c r="AF2172" s="133">
        <f t="shared" si="870"/>
        <v>0</v>
      </c>
      <c r="AG2172" s="1"/>
    </row>
    <row r="2173" ht="21.0" customHeight="1">
      <c r="A2173" s="1"/>
      <c r="B2173" s="87" t="str">
        <f t="array" ref="B2173">"📌최근 인바디 결과 : "&amp;text(xlookup(B2165,'현황'!O:O,'현황'!O:O,,-1,-1),"m/d(ddd)")</f>
        <v>#REF!</v>
      </c>
      <c r="C2173" s="88"/>
      <c r="D2173" s="49"/>
      <c r="E2173" s="41"/>
      <c r="F2173" s="52" t="s">
        <v>40</v>
      </c>
      <c r="G2173" s="79"/>
      <c r="H2173" s="80"/>
      <c r="I2173" s="69"/>
      <c r="J2173" s="72"/>
      <c r="K2173" s="73"/>
      <c r="L2173" s="72"/>
      <c r="M2173" s="73"/>
      <c r="N2173" s="72"/>
      <c r="O2173" s="73"/>
      <c r="P2173" s="72"/>
      <c r="Q2173" s="73"/>
      <c r="R2173" s="72"/>
      <c r="S2173" s="73"/>
      <c r="T2173" s="72"/>
      <c r="U2173" s="73"/>
      <c r="V2173" s="72"/>
      <c r="W2173" s="73"/>
      <c r="X2173" s="72"/>
      <c r="Y2173" s="73"/>
      <c r="Z2173" s="74" t="b">
        <v>0</v>
      </c>
      <c r="AA2173" s="130">
        <f t="shared" si="865"/>
        <v>0</v>
      </c>
      <c r="AB2173" s="131">
        <f t="shared" si="866"/>
        <v>0</v>
      </c>
      <c r="AC2173" s="132">
        <f t="shared" si="867"/>
        <v>0</v>
      </c>
      <c r="AD2173" s="133">
        <f t="shared" si="868"/>
        <v>0</v>
      </c>
      <c r="AE2173" s="131">
        <f t="shared" si="869"/>
        <v>0</v>
      </c>
      <c r="AF2173" s="133">
        <f t="shared" si="870"/>
        <v>0</v>
      </c>
      <c r="AG2173" s="1"/>
    </row>
    <row r="2174" ht="21.0" customHeight="1">
      <c r="A2174" s="1"/>
      <c r="B2174" s="89" t="s">
        <v>44</v>
      </c>
      <c r="C2174" s="49"/>
      <c r="D2174" s="90">
        <f t="array" ref="D2174">iferror(vlookup(xlookup(B2165,'현황'!O:O,'현황'!O:O,,-1,-1),'현황'!O:S,2,false),0)</f>
        <v>0</v>
      </c>
      <c r="E2174" s="51" t="s">
        <v>45</v>
      </c>
      <c r="F2174" s="52" t="s">
        <v>34</v>
      </c>
      <c r="G2174" s="83"/>
      <c r="H2174" s="84"/>
      <c r="I2174" s="85"/>
      <c r="J2174" s="72"/>
      <c r="K2174" s="73"/>
      <c r="L2174" s="72"/>
      <c r="M2174" s="73"/>
      <c r="N2174" s="72"/>
      <c r="O2174" s="73"/>
      <c r="P2174" s="72"/>
      <c r="Q2174" s="73"/>
      <c r="R2174" s="72"/>
      <c r="S2174" s="73"/>
      <c r="T2174" s="72"/>
      <c r="U2174" s="73"/>
      <c r="V2174" s="72"/>
      <c r="W2174" s="73"/>
      <c r="X2174" s="72"/>
      <c r="Y2174" s="73"/>
      <c r="Z2174" s="74" t="b">
        <v>0</v>
      </c>
      <c r="AA2174" s="130">
        <f t="shared" si="865"/>
        <v>0</v>
      </c>
      <c r="AB2174" s="131">
        <f t="shared" si="866"/>
        <v>0</v>
      </c>
      <c r="AC2174" s="132">
        <f t="shared" si="867"/>
        <v>0</v>
      </c>
      <c r="AD2174" s="133">
        <f t="shared" si="868"/>
        <v>0</v>
      </c>
      <c r="AE2174" s="131">
        <f t="shared" si="869"/>
        <v>0</v>
      </c>
      <c r="AF2174" s="133">
        <f t="shared" si="870"/>
        <v>0</v>
      </c>
      <c r="AG2174" s="1"/>
    </row>
    <row r="2175" ht="21.0" customHeight="1">
      <c r="A2175" s="1"/>
      <c r="B2175" s="48" t="s">
        <v>46</v>
      </c>
      <c r="C2175" s="49"/>
      <c r="D2175" s="91">
        <f t="array" ref="D2175">iferror(vlookup(xlookup(B2165,'현황'!O:O,'현황'!O:O,,-1,-1),'현황'!O:S,3,false),0)</f>
        <v>0</v>
      </c>
      <c r="E2175" s="66"/>
      <c r="F2175" s="52" t="s">
        <v>37</v>
      </c>
      <c r="G2175" s="67"/>
      <c r="H2175" s="80"/>
      <c r="I2175" s="69"/>
      <c r="J2175" s="72"/>
      <c r="K2175" s="73"/>
      <c r="L2175" s="72"/>
      <c r="M2175" s="73"/>
      <c r="N2175" s="72"/>
      <c r="O2175" s="73"/>
      <c r="P2175" s="72"/>
      <c r="Q2175" s="73"/>
      <c r="R2175" s="72"/>
      <c r="S2175" s="73"/>
      <c r="T2175" s="72"/>
      <c r="U2175" s="73"/>
      <c r="V2175" s="72"/>
      <c r="W2175" s="73"/>
      <c r="X2175" s="72"/>
      <c r="Y2175" s="73"/>
      <c r="Z2175" s="74" t="b">
        <v>0</v>
      </c>
      <c r="AA2175" s="130">
        <f t="shared" si="865"/>
        <v>0</v>
      </c>
      <c r="AB2175" s="131">
        <f t="shared" si="866"/>
        <v>0</v>
      </c>
      <c r="AC2175" s="132">
        <f t="shared" si="867"/>
        <v>0</v>
      </c>
      <c r="AD2175" s="133">
        <f t="shared" si="868"/>
        <v>0</v>
      </c>
      <c r="AE2175" s="131">
        <f t="shared" si="869"/>
        <v>0</v>
      </c>
      <c r="AF2175" s="133">
        <f t="shared" si="870"/>
        <v>0</v>
      </c>
      <c r="AG2175" s="1"/>
    </row>
    <row r="2176" ht="21.0" customHeight="1">
      <c r="A2176" s="1"/>
      <c r="B2176" s="48" t="s">
        <v>47</v>
      </c>
      <c r="C2176" s="49"/>
      <c r="D2176" s="91">
        <f t="array" ref="D2176">iferror(vlookup(xlookup(B2165,'현황'!O:O,'현황'!O:O,,-1,-1),'현황'!O:S,4,false),0)</f>
        <v>0</v>
      </c>
      <c r="E2176" s="41"/>
      <c r="F2176" s="92" t="s">
        <v>40</v>
      </c>
      <c r="G2176" s="79"/>
      <c r="H2176" s="93"/>
      <c r="I2176" s="94"/>
      <c r="J2176" s="95"/>
      <c r="K2176" s="96"/>
      <c r="L2176" s="95"/>
      <c r="M2176" s="96"/>
      <c r="N2176" s="95"/>
      <c r="O2176" s="96"/>
      <c r="P2176" s="95"/>
      <c r="Q2176" s="96"/>
      <c r="R2176" s="95"/>
      <c r="S2176" s="96"/>
      <c r="T2176" s="95"/>
      <c r="U2176" s="96"/>
      <c r="V2176" s="95"/>
      <c r="W2176" s="96"/>
      <c r="X2176" s="95"/>
      <c r="Y2176" s="96"/>
      <c r="Z2176" s="97" t="b">
        <v>0</v>
      </c>
      <c r="AA2176" s="135">
        <f t="shared" si="865"/>
        <v>0</v>
      </c>
      <c r="AB2176" s="136">
        <f t="shared" si="866"/>
        <v>0</v>
      </c>
      <c r="AC2176" s="137">
        <f t="shared" si="867"/>
        <v>0</v>
      </c>
      <c r="AD2176" s="138">
        <f t="shared" si="868"/>
        <v>0</v>
      </c>
      <c r="AE2176" s="136">
        <f t="shared" si="869"/>
        <v>0</v>
      </c>
      <c r="AF2176" s="138">
        <f t="shared" si="870"/>
        <v>0</v>
      </c>
      <c r="AG2176" s="1"/>
    </row>
    <row r="2177" ht="21.0" customHeight="1">
      <c r="A2177" s="1"/>
      <c r="B2177" s="102" t="s">
        <v>48</v>
      </c>
      <c r="C2177" s="103"/>
      <c r="D2177" s="104">
        <f>iferror(D2176/D2174,0)</f>
        <v>0</v>
      </c>
      <c r="E2177" s="102" t="s">
        <v>49</v>
      </c>
      <c r="F2177" s="103"/>
      <c r="G2177" s="105"/>
      <c r="H2177" s="106" t="s">
        <v>50</v>
      </c>
      <c r="I2177" s="107"/>
      <c r="J2177" s="11"/>
      <c r="K2177" s="11"/>
      <c r="L2177" s="11"/>
      <c r="M2177" s="11"/>
      <c r="N2177" s="11"/>
      <c r="O2177" s="11"/>
      <c r="P2177" s="108" t="s">
        <v>51</v>
      </c>
      <c r="Q2177" s="12"/>
      <c r="R2177" s="109"/>
      <c r="S2177" s="11"/>
      <c r="T2177" s="11"/>
      <c r="U2177" s="11"/>
      <c r="V2177" s="11"/>
      <c r="W2177" s="11"/>
      <c r="X2177" s="11"/>
      <c r="Y2177" s="11"/>
      <c r="Z2177" s="12"/>
      <c r="AA2177" s="139">
        <f>SUM(AA2168:AA2176)</f>
        <v>0</v>
      </c>
      <c r="AB2177" s="140" t="s">
        <v>387</v>
      </c>
      <c r="AG2177" s="1"/>
    </row>
    <row r="2178" ht="21.0" customHeight="1">
      <c r="A2178" s="1"/>
      <c r="B2178" s="1"/>
      <c r="C2178" s="1"/>
      <c r="D2178" s="1"/>
      <c r="E2178" s="1"/>
      <c r="F2178" s="1"/>
      <c r="G2178" s="1"/>
      <c r="H2178" s="1"/>
      <c r="I2178" s="1"/>
      <c r="AA2178" s="1"/>
      <c r="AB2178" s="1"/>
      <c r="AC2178" s="3"/>
      <c r="AD2178" s="1"/>
      <c r="AE2178" s="1"/>
      <c r="AF2178" s="1"/>
      <c r="AG2178" s="1"/>
    </row>
    <row r="2179" ht="21.0" customHeight="1">
      <c r="A2179" s="1"/>
      <c r="B2179" s="4" t="s">
        <v>1</v>
      </c>
      <c r="C2179" s="5"/>
      <c r="D2179" s="6" t="s">
        <v>2</v>
      </c>
      <c r="E2179" s="7"/>
      <c r="F2179" s="7"/>
      <c r="G2179" s="5"/>
      <c r="H2179" s="8" t="s">
        <v>3</v>
      </c>
      <c r="I2179" s="8" t="s">
        <v>4</v>
      </c>
      <c r="J2179" s="9" t="s">
        <v>5</v>
      </c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5"/>
      <c r="AA2179" s="117" t="s">
        <v>6</v>
      </c>
      <c r="AB2179" s="11"/>
      <c r="AC2179" s="11"/>
      <c r="AD2179" s="11"/>
      <c r="AE2179" s="11"/>
      <c r="AF2179" s="12"/>
      <c r="AG2179" s="1"/>
    </row>
    <row r="2180" ht="21.0" customHeight="1">
      <c r="A2180" s="1"/>
      <c r="B2180" s="149" t="s">
        <v>138</v>
      </c>
      <c r="C2180" s="14" t="str">
        <f>if(B2180="0/0","",choose(weekday(B2180),"(일)","(월)","(화)","(수)","(목)","(금)","(토)"))</f>
        <v/>
      </c>
      <c r="D2180" s="15" t="s">
        <v>7</v>
      </c>
      <c r="E2180" s="16" t="s">
        <v>8</v>
      </c>
      <c r="F2180" s="17"/>
      <c r="G2180" s="18" t="s">
        <v>9</v>
      </c>
      <c r="H2180" s="150" t="s">
        <v>139</v>
      </c>
      <c r="I2180" s="151"/>
      <c r="J2180" s="21" t="s">
        <v>12</v>
      </c>
      <c r="K2180" s="22"/>
      <c r="L2180" s="21" t="s">
        <v>13</v>
      </c>
      <c r="M2180" s="22"/>
      <c r="N2180" s="21" t="s">
        <v>14</v>
      </c>
      <c r="O2180" s="22"/>
      <c r="P2180" s="21" t="s">
        <v>15</v>
      </c>
      <c r="Q2180" s="22"/>
      <c r="R2180" s="23" t="s">
        <v>16</v>
      </c>
      <c r="S2180" s="22"/>
      <c r="T2180" s="23" t="s">
        <v>17</v>
      </c>
      <c r="U2180" s="22"/>
      <c r="V2180" s="23" t="s">
        <v>18</v>
      </c>
      <c r="W2180" s="22"/>
      <c r="X2180" s="23" t="s">
        <v>19</v>
      </c>
      <c r="Y2180" s="22"/>
      <c r="Z2180" s="24" t="s">
        <v>388</v>
      </c>
      <c r="AA2180" s="118" t="s">
        <v>21</v>
      </c>
      <c r="AB2180" s="119" t="s">
        <v>22</v>
      </c>
      <c r="AC2180" s="7"/>
      <c r="AD2180" s="22"/>
      <c r="AE2180" s="120" t="s">
        <v>23</v>
      </c>
      <c r="AF2180" s="22"/>
      <c r="AG2180" s="1"/>
    </row>
    <row r="2181" ht="21.0" customHeight="1">
      <c r="A2181" s="1"/>
      <c r="B2181" s="27">
        <f>iferror(B2180-'현황'!$C$4+1,0)</f>
        <v>0</v>
      </c>
      <c r="C2181" s="28"/>
      <c r="D2181" s="29">
        <v>0.0</v>
      </c>
      <c r="E2181" s="30">
        <v>0.0</v>
      </c>
      <c r="F2181" s="31"/>
      <c r="G2181" s="32">
        <v>0.0</v>
      </c>
      <c r="H2181" s="33">
        <v>0.0</v>
      </c>
      <c r="I2181" s="34"/>
      <c r="J2181" s="35"/>
      <c r="K2181" s="36"/>
      <c r="L2181" s="35"/>
      <c r="M2181" s="36"/>
      <c r="N2181" s="35"/>
      <c r="O2181" s="36"/>
      <c r="P2181" s="35"/>
      <c r="Q2181" s="36"/>
      <c r="R2181" s="35"/>
      <c r="S2181" s="36"/>
      <c r="T2181" s="35"/>
      <c r="U2181" s="36"/>
      <c r="V2181" s="35"/>
      <c r="W2181" s="36"/>
      <c r="X2181" s="35"/>
      <c r="Y2181" s="36"/>
      <c r="Z2181" s="37"/>
      <c r="AA2181" s="37"/>
      <c r="AB2181" s="35"/>
      <c r="AC2181" s="38"/>
      <c r="AD2181" s="36"/>
      <c r="AE2181" s="35"/>
      <c r="AF2181" s="36"/>
      <c r="AG2181" s="1"/>
    </row>
    <row r="2182" ht="21.0" customHeight="1">
      <c r="A2182" s="1"/>
      <c r="B2182" s="39" t="s">
        <v>24</v>
      </c>
      <c r="C2182" s="40"/>
      <c r="D2182" s="41"/>
      <c r="E2182" s="42" t="s">
        <v>25</v>
      </c>
      <c r="F2182" s="40"/>
      <c r="G2182" s="41"/>
      <c r="H2182" s="43" t="s">
        <v>26</v>
      </c>
      <c r="J2182" s="44" t="s">
        <v>27</v>
      </c>
      <c r="K2182" s="45" t="s">
        <v>28</v>
      </c>
      <c r="L2182" s="44" t="s">
        <v>27</v>
      </c>
      <c r="M2182" s="45" t="s">
        <v>28</v>
      </c>
      <c r="N2182" s="44" t="s">
        <v>27</v>
      </c>
      <c r="O2182" s="45" t="s">
        <v>28</v>
      </c>
      <c r="P2182" s="44" t="s">
        <v>27</v>
      </c>
      <c r="Q2182" s="45" t="s">
        <v>28</v>
      </c>
      <c r="R2182" s="44" t="s">
        <v>27</v>
      </c>
      <c r="S2182" s="45" t="s">
        <v>28</v>
      </c>
      <c r="T2182" s="44" t="s">
        <v>27</v>
      </c>
      <c r="U2182" s="45" t="s">
        <v>28</v>
      </c>
      <c r="V2182" s="44" t="s">
        <v>27</v>
      </c>
      <c r="W2182" s="45" t="s">
        <v>28</v>
      </c>
      <c r="X2182" s="44" t="s">
        <v>27</v>
      </c>
      <c r="Y2182" s="45" t="s">
        <v>28</v>
      </c>
      <c r="Z2182" s="46"/>
      <c r="AA2182" s="46"/>
      <c r="AB2182" s="121" t="s">
        <v>29</v>
      </c>
      <c r="AC2182" s="122" t="s">
        <v>30</v>
      </c>
      <c r="AD2182" s="123" t="s">
        <v>31</v>
      </c>
      <c r="AE2182" s="121" t="s">
        <v>27</v>
      </c>
      <c r="AF2182" s="123" t="s">
        <v>28</v>
      </c>
      <c r="AG2182" s="1"/>
    </row>
    <row r="2183" ht="21.0" customHeight="1">
      <c r="A2183" s="1"/>
      <c r="B2183" s="48" t="s">
        <v>32</v>
      </c>
      <c r="C2183" s="49"/>
      <c r="D2183" s="50"/>
      <c r="E2183" s="51" t="s">
        <v>33</v>
      </c>
      <c r="F2183" s="52" t="s">
        <v>34</v>
      </c>
      <c r="G2183" s="53"/>
      <c r="H2183" s="148"/>
      <c r="I2183" s="55"/>
      <c r="J2183" s="58"/>
      <c r="K2183" s="59"/>
      <c r="L2183" s="58"/>
      <c r="M2183" s="59"/>
      <c r="N2183" s="58"/>
      <c r="O2183" s="59"/>
      <c r="P2183" s="58"/>
      <c r="Q2183" s="59"/>
      <c r="R2183" s="58"/>
      <c r="S2183" s="59"/>
      <c r="T2183" s="58"/>
      <c r="U2183" s="59"/>
      <c r="V2183" s="58"/>
      <c r="W2183" s="59"/>
      <c r="X2183" s="58"/>
      <c r="Y2183" s="59"/>
      <c r="Z2183" s="60" t="b">
        <v>0</v>
      </c>
      <c r="AA2183" s="125">
        <f t="shared" ref="AA2183:AA2191" si="871">(J2183*K2183+L2183*M2183+N2183*O2183+P2183*Q2183+R2183*S2183+T2183*U2183+V2183*W2183+X2183*Y2183)*if(Z2183=true,0.453592,1)</f>
        <v>0</v>
      </c>
      <c r="AB2183" s="126">
        <f t="shared" ref="AB2183:AB2191" si="872">SUM(AE2183*AF2183*0.025,AE2183)</f>
        <v>0</v>
      </c>
      <c r="AC2183" s="127">
        <f t="shared" ref="AC2183:AC2191" si="873">AB2183*87%</f>
        <v>0</v>
      </c>
      <c r="AD2183" s="128">
        <f t="shared" ref="AD2183:AD2191" si="874">AB2183*67%</f>
        <v>0</v>
      </c>
      <c r="AE2183" s="126">
        <f t="shared" ref="AE2183:AE2191" si="875">MAX(J2183,L2183,N2183,P2183,R2183,T2183,V2183,X2183)*if(Z2183=true,0.453592,1)</f>
        <v>0</v>
      </c>
      <c r="AF2183" s="128">
        <f t="shared" ref="AF2183:AF2191" si="876">MAX(IF(J2183*if(Z2183=true,0.453592,1)=$AE2183,K2183,0),IF(L2183*if(Z2183=true,0.453592,1)=$AE2183,M2183,0),IF(N2183*if(Z2183=true,0.453592,1)=$AE2183,O2183,0),IF(P2183*if(Z2183=true,0.453592,1)=$AE2183,Q2183,0),IF(R2183*if(Z2183=true,0.453592,1)=$AE2183,S2183,0),IF(T2183*if(Z2183=true,0.453592,1)=$AE2183,U2183,0),IF(V2183*if(Z2183=true,0.453592,1)=$AE2183,W2183,0),IF(X2183*if(Z2183=true,0.453592,1)=$AE2183,Y2183,0))</f>
        <v>0</v>
      </c>
      <c r="AG2183" s="1"/>
    </row>
    <row r="2184" ht="21.0" customHeight="1">
      <c r="A2184" s="1"/>
      <c r="B2184" s="48" t="s">
        <v>36</v>
      </c>
      <c r="C2184" s="49"/>
      <c r="D2184" s="65"/>
      <c r="E2184" s="66"/>
      <c r="F2184" s="52" t="s">
        <v>37</v>
      </c>
      <c r="G2184" s="67"/>
      <c r="H2184" s="129"/>
      <c r="I2184" s="69"/>
      <c r="J2184" s="72"/>
      <c r="K2184" s="73"/>
      <c r="L2184" s="72"/>
      <c r="M2184" s="73"/>
      <c r="N2184" s="72"/>
      <c r="O2184" s="73"/>
      <c r="P2184" s="72"/>
      <c r="Q2184" s="73"/>
      <c r="R2184" s="72"/>
      <c r="S2184" s="73"/>
      <c r="T2184" s="72"/>
      <c r="U2184" s="73"/>
      <c r="V2184" s="72"/>
      <c r="W2184" s="73"/>
      <c r="X2184" s="72"/>
      <c r="Y2184" s="73"/>
      <c r="Z2184" s="74" t="b">
        <v>0</v>
      </c>
      <c r="AA2184" s="130">
        <f t="shared" si="871"/>
        <v>0</v>
      </c>
      <c r="AB2184" s="131">
        <f t="shared" si="872"/>
        <v>0</v>
      </c>
      <c r="AC2184" s="132">
        <f t="shared" si="873"/>
        <v>0</v>
      </c>
      <c r="AD2184" s="133">
        <f t="shared" si="874"/>
        <v>0</v>
      </c>
      <c r="AE2184" s="131">
        <f t="shared" si="875"/>
        <v>0</v>
      </c>
      <c r="AF2184" s="133">
        <f t="shared" si="876"/>
        <v>0</v>
      </c>
      <c r="AG2184" s="1"/>
    </row>
    <row r="2185" ht="21.0" customHeight="1">
      <c r="A2185" s="1"/>
      <c r="B2185" s="48" t="s">
        <v>39</v>
      </c>
      <c r="C2185" s="49"/>
      <c r="D2185" s="65"/>
      <c r="E2185" s="41"/>
      <c r="F2185" s="52" t="s">
        <v>40</v>
      </c>
      <c r="G2185" s="79"/>
      <c r="H2185" s="80"/>
      <c r="I2185" s="69"/>
      <c r="J2185" s="72"/>
      <c r="K2185" s="73"/>
      <c r="L2185" s="72"/>
      <c r="M2185" s="73"/>
      <c r="N2185" s="72"/>
      <c r="O2185" s="73"/>
      <c r="P2185" s="72"/>
      <c r="Q2185" s="73"/>
      <c r="R2185" s="72"/>
      <c r="S2185" s="73"/>
      <c r="T2185" s="72"/>
      <c r="U2185" s="73"/>
      <c r="V2185" s="72"/>
      <c r="W2185" s="73"/>
      <c r="X2185" s="72"/>
      <c r="Y2185" s="73"/>
      <c r="Z2185" s="74" t="b">
        <v>0</v>
      </c>
      <c r="AA2185" s="130">
        <f t="shared" si="871"/>
        <v>0</v>
      </c>
      <c r="AB2185" s="131">
        <f t="shared" si="872"/>
        <v>0</v>
      </c>
      <c r="AC2185" s="132">
        <f t="shared" si="873"/>
        <v>0</v>
      </c>
      <c r="AD2185" s="133">
        <f t="shared" si="874"/>
        <v>0</v>
      </c>
      <c r="AE2185" s="131">
        <f t="shared" si="875"/>
        <v>0</v>
      </c>
      <c r="AF2185" s="133">
        <f t="shared" si="876"/>
        <v>0</v>
      </c>
      <c r="AG2185" s="1"/>
    </row>
    <row r="2186" ht="21.0" customHeight="1">
      <c r="A2186" s="1"/>
      <c r="B2186" s="48" t="s">
        <v>41</v>
      </c>
      <c r="C2186" s="81"/>
      <c r="D2186" s="82" t="b">
        <v>0</v>
      </c>
      <c r="E2186" s="51" t="s">
        <v>42</v>
      </c>
      <c r="F2186" s="52" t="s">
        <v>34</v>
      </c>
      <c r="G2186" s="83"/>
      <c r="H2186" s="84"/>
      <c r="I2186" s="85"/>
      <c r="J2186" s="72"/>
      <c r="K2186" s="73"/>
      <c r="L2186" s="72"/>
      <c r="M2186" s="73"/>
      <c r="N2186" s="72"/>
      <c r="O2186" s="73"/>
      <c r="P2186" s="72"/>
      <c r="Q2186" s="73"/>
      <c r="R2186" s="72"/>
      <c r="S2186" s="73"/>
      <c r="T2186" s="72"/>
      <c r="U2186" s="73"/>
      <c r="V2186" s="72"/>
      <c r="W2186" s="73"/>
      <c r="X2186" s="72"/>
      <c r="Y2186" s="73"/>
      <c r="Z2186" s="74" t="b">
        <v>0</v>
      </c>
      <c r="AA2186" s="130">
        <f t="shared" si="871"/>
        <v>0</v>
      </c>
      <c r="AB2186" s="131">
        <f t="shared" si="872"/>
        <v>0</v>
      </c>
      <c r="AC2186" s="132">
        <f t="shared" si="873"/>
        <v>0</v>
      </c>
      <c r="AD2186" s="133">
        <f t="shared" si="874"/>
        <v>0</v>
      </c>
      <c r="AE2186" s="131">
        <f t="shared" si="875"/>
        <v>0</v>
      </c>
      <c r="AF2186" s="133">
        <f t="shared" si="876"/>
        <v>0</v>
      </c>
      <c r="AG2186" s="1"/>
    </row>
    <row r="2187" ht="21.0" customHeight="1">
      <c r="A2187" s="1"/>
      <c r="B2187" s="48" t="s">
        <v>43</v>
      </c>
      <c r="C2187" s="49"/>
      <c r="D2187" s="86" t="b">
        <v>0</v>
      </c>
      <c r="E2187" s="66"/>
      <c r="F2187" s="52" t="s">
        <v>37</v>
      </c>
      <c r="G2187" s="67"/>
      <c r="H2187" s="80"/>
      <c r="I2187" s="69"/>
      <c r="J2187" s="72"/>
      <c r="K2187" s="73"/>
      <c r="L2187" s="72"/>
      <c r="M2187" s="73"/>
      <c r="N2187" s="72"/>
      <c r="O2187" s="73"/>
      <c r="P2187" s="72"/>
      <c r="Q2187" s="73"/>
      <c r="R2187" s="72"/>
      <c r="S2187" s="73"/>
      <c r="T2187" s="72"/>
      <c r="U2187" s="73"/>
      <c r="V2187" s="72"/>
      <c r="W2187" s="73"/>
      <c r="X2187" s="72"/>
      <c r="Y2187" s="73"/>
      <c r="Z2187" s="74" t="b">
        <v>0</v>
      </c>
      <c r="AA2187" s="130">
        <f t="shared" si="871"/>
        <v>0</v>
      </c>
      <c r="AB2187" s="131">
        <f t="shared" si="872"/>
        <v>0</v>
      </c>
      <c r="AC2187" s="132">
        <f t="shared" si="873"/>
        <v>0</v>
      </c>
      <c r="AD2187" s="133">
        <f t="shared" si="874"/>
        <v>0</v>
      </c>
      <c r="AE2187" s="131">
        <f t="shared" si="875"/>
        <v>0</v>
      </c>
      <c r="AF2187" s="133">
        <f t="shared" si="876"/>
        <v>0</v>
      </c>
      <c r="AG2187" s="1"/>
    </row>
    <row r="2188" ht="21.0" customHeight="1">
      <c r="A2188" s="1"/>
      <c r="B2188" s="87" t="str">
        <f t="array" ref="B2188">"📌최근 인바디 결과 : "&amp;text(xlookup(B2180,'현황'!O:O,'현황'!O:O,,-1,-1),"m/d(ddd)")</f>
        <v>#REF!</v>
      </c>
      <c r="C2188" s="88"/>
      <c r="D2188" s="49"/>
      <c r="E2188" s="41"/>
      <c r="F2188" s="52" t="s">
        <v>40</v>
      </c>
      <c r="G2188" s="79"/>
      <c r="H2188" s="80"/>
      <c r="I2188" s="69"/>
      <c r="J2188" s="72"/>
      <c r="K2188" s="73"/>
      <c r="L2188" s="72"/>
      <c r="M2188" s="73"/>
      <c r="N2188" s="72"/>
      <c r="O2188" s="73"/>
      <c r="P2188" s="72"/>
      <c r="Q2188" s="73"/>
      <c r="R2188" s="72"/>
      <c r="S2188" s="73"/>
      <c r="T2188" s="72"/>
      <c r="U2188" s="73"/>
      <c r="V2188" s="72"/>
      <c r="W2188" s="73"/>
      <c r="X2188" s="72"/>
      <c r="Y2188" s="73"/>
      <c r="Z2188" s="74" t="b">
        <v>0</v>
      </c>
      <c r="AA2188" s="130">
        <f t="shared" si="871"/>
        <v>0</v>
      </c>
      <c r="AB2188" s="131">
        <f t="shared" si="872"/>
        <v>0</v>
      </c>
      <c r="AC2188" s="132">
        <f t="shared" si="873"/>
        <v>0</v>
      </c>
      <c r="AD2188" s="133">
        <f t="shared" si="874"/>
        <v>0</v>
      </c>
      <c r="AE2188" s="131">
        <f t="shared" si="875"/>
        <v>0</v>
      </c>
      <c r="AF2188" s="133">
        <f t="shared" si="876"/>
        <v>0</v>
      </c>
      <c r="AG2188" s="1"/>
    </row>
    <row r="2189" ht="21.0" customHeight="1">
      <c r="A2189" s="1"/>
      <c r="B2189" s="89" t="s">
        <v>44</v>
      </c>
      <c r="C2189" s="49"/>
      <c r="D2189" s="90">
        <f t="array" ref="D2189">iferror(vlookup(xlookup(B2180,'현황'!O:O,'현황'!O:O,,-1,-1),'현황'!O:S,2,false),0)</f>
        <v>0</v>
      </c>
      <c r="E2189" s="51" t="s">
        <v>45</v>
      </c>
      <c r="F2189" s="52" t="s">
        <v>34</v>
      </c>
      <c r="G2189" s="83"/>
      <c r="H2189" s="84"/>
      <c r="I2189" s="85"/>
      <c r="J2189" s="72"/>
      <c r="K2189" s="73"/>
      <c r="L2189" s="72"/>
      <c r="M2189" s="73"/>
      <c r="N2189" s="72"/>
      <c r="O2189" s="73"/>
      <c r="P2189" s="72"/>
      <c r="Q2189" s="73"/>
      <c r="R2189" s="72"/>
      <c r="S2189" s="73"/>
      <c r="T2189" s="72"/>
      <c r="U2189" s="73"/>
      <c r="V2189" s="72"/>
      <c r="W2189" s="73"/>
      <c r="X2189" s="72"/>
      <c r="Y2189" s="73"/>
      <c r="Z2189" s="74" t="b">
        <v>0</v>
      </c>
      <c r="AA2189" s="130">
        <f t="shared" si="871"/>
        <v>0</v>
      </c>
      <c r="AB2189" s="131">
        <f t="shared" si="872"/>
        <v>0</v>
      </c>
      <c r="AC2189" s="132">
        <f t="shared" si="873"/>
        <v>0</v>
      </c>
      <c r="AD2189" s="133">
        <f t="shared" si="874"/>
        <v>0</v>
      </c>
      <c r="AE2189" s="131">
        <f t="shared" si="875"/>
        <v>0</v>
      </c>
      <c r="AF2189" s="133">
        <f t="shared" si="876"/>
        <v>0</v>
      </c>
      <c r="AG2189" s="1"/>
    </row>
    <row r="2190" ht="21.0" customHeight="1">
      <c r="A2190" s="1"/>
      <c r="B2190" s="48" t="s">
        <v>46</v>
      </c>
      <c r="C2190" s="49"/>
      <c r="D2190" s="91">
        <f t="array" ref="D2190">iferror(vlookup(xlookup(B2180,'현황'!O:O,'현황'!O:O,,-1,-1),'현황'!O:S,3,false),0)</f>
        <v>0</v>
      </c>
      <c r="E2190" s="66"/>
      <c r="F2190" s="52" t="s">
        <v>37</v>
      </c>
      <c r="G2190" s="67"/>
      <c r="H2190" s="80"/>
      <c r="I2190" s="69"/>
      <c r="J2190" s="72"/>
      <c r="K2190" s="73"/>
      <c r="L2190" s="72"/>
      <c r="M2190" s="73"/>
      <c r="N2190" s="72"/>
      <c r="O2190" s="73"/>
      <c r="P2190" s="72"/>
      <c r="Q2190" s="73"/>
      <c r="R2190" s="72"/>
      <c r="S2190" s="73"/>
      <c r="T2190" s="72"/>
      <c r="U2190" s="73"/>
      <c r="V2190" s="72"/>
      <c r="W2190" s="73"/>
      <c r="X2190" s="72"/>
      <c r="Y2190" s="73"/>
      <c r="Z2190" s="74" t="b">
        <v>0</v>
      </c>
      <c r="AA2190" s="130">
        <f t="shared" si="871"/>
        <v>0</v>
      </c>
      <c r="AB2190" s="131">
        <f t="shared" si="872"/>
        <v>0</v>
      </c>
      <c r="AC2190" s="132">
        <f t="shared" si="873"/>
        <v>0</v>
      </c>
      <c r="AD2190" s="133">
        <f t="shared" si="874"/>
        <v>0</v>
      </c>
      <c r="AE2190" s="131">
        <f t="shared" si="875"/>
        <v>0</v>
      </c>
      <c r="AF2190" s="133">
        <f t="shared" si="876"/>
        <v>0</v>
      </c>
      <c r="AG2190" s="1"/>
    </row>
    <row r="2191" ht="21.0" customHeight="1">
      <c r="A2191" s="1"/>
      <c r="B2191" s="48" t="s">
        <v>47</v>
      </c>
      <c r="C2191" s="49"/>
      <c r="D2191" s="91">
        <f t="array" ref="D2191">iferror(vlookup(xlookup(B2180,'현황'!O:O,'현황'!O:O,,-1,-1),'현황'!O:S,4,false),0)</f>
        <v>0</v>
      </c>
      <c r="E2191" s="41"/>
      <c r="F2191" s="92" t="s">
        <v>40</v>
      </c>
      <c r="G2191" s="79"/>
      <c r="H2191" s="93"/>
      <c r="I2191" s="94"/>
      <c r="J2191" s="95"/>
      <c r="K2191" s="96"/>
      <c r="L2191" s="95"/>
      <c r="M2191" s="96"/>
      <c r="N2191" s="95"/>
      <c r="O2191" s="96"/>
      <c r="P2191" s="95"/>
      <c r="Q2191" s="96"/>
      <c r="R2191" s="95"/>
      <c r="S2191" s="96"/>
      <c r="T2191" s="95"/>
      <c r="U2191" s="96"/>
      <c r="V2191" s="95"/>
      <c r="W2191" s="96"/>
      <c r="X2191" s="95"/>
      <c r="Y2191" s="96"/>
      <c r="Z2191" s="97" t="b">
        <v>0</v>
      </c>
      <c r="AA2191" s="135">
        <f t="shared" si="871"/>
        <v>0</v>
      </c>
      <c r="AB2191" s="136">
        <f t="shared" si="872"/>
        <v>0</v>
      </c>
      <c r="AC2191" s="137">
        <f t="shared" si="873"/>
        <v>0</v>
      </c>
      <c r="AD2191" s="138">
        <f t="shared" si="874"/>
        <v>0</v>
      </c>
      <c r="AE2191" s="136">
        <f t="shared" si="875"/>
        <v>0</v>
      </c>
      <c r="AF2191" s="138">
        <f t="shared" si="876"/>
        <v>0</v>
      </c>
      <c r="AG2191" s="1"/>
    </row>
    <row r="2192" ht="21.0" customHeight="1">
      <c r="A2192" s="1"/>
      <c r="B2192" s="102" t="s">
        <v>48</v>
      </c>
      <c r="C2192" s="103"/>
      <c r="D2192" s="104">
        <f>iferror(D2191/D2189,0)</f>
        <v>0</v>
      </c>
      <c r="E2192" s="102" t="s">
        <v>49</v>
      </c>
      <c r="F2192" s="103"/>
      <c r="G2192" s="105"/>
      <c r="H2192" s="106" t="s">
        <v>50</v>
      </c>
      <c r="I2192" s="107"/>
      <c r="J2192" s="11"/>
      <c r="K2192" s="11"/>
      <c r="L2192" s="11"/>
      <c r="M2192" s="11"/>
      <c r="N2192" s="11"/>
      <c r="O2192" s="11"/>
      <c r="P2192" s="108" t="s">
        <v>51</v>
      </c>
      <c r="Q2192" s="12"/>
      <c r="R2192" s="109"/>
      <c r="S2192" s="11"/>
      <c r="T2192" s="11"/>
      <c r="U2192" s="11"/>
      <c r="V2192" s="11"/>
      <c r="W2192" s="11"/>
      <c r="X2192" s="11"/>
      <c r="Y2192" s="11"/>
      <c r="Z2192" s="12"/>
      <c r="AA2192" s="139">
        <f>SUM(AA2183:AA2191)</f>
        <v>0</v>
      </c>
      <c r="AB2192" s="140" t="s">
        <v>389</v>
      </c>
      <c r="AG2192" s="1"/>
    </row>
    <row r="2193" ht="21.0" customHeight="1">
      <c r="A2193" s="1"/>
      <c r="B2193" s="1"/>
      <c r="C2193" s="1"/>
      <c r="D2193" s="1"/>
      <c r="E2193" s="1"/>
      <c r="F2193" s="1"/>
      <c r="G2193" s="1"/>
      <c r="H2193" s="1"/>
      <c r="I2193" s="1"/>
      <c r="AA2193" s="1"/>
      <c r="AB2193" s="1"/>
      <c r="AC2193" s="3"/>
      <c r="AD2193" s="1"/>
      <c r="AE2193" s="1"/>
      <c r="AF2193" s="1"/>
      <c r="AG2193" s="1"/>
    </row>
    <row r="2194" ht="21.0" customHeight="1">
      <c r="A2194" s="1"/>
      <c r="B2194" s="4" t="s">
        <v>1</v>
      </c>
      <c r="C2194" s="5"/>
      <c r="D2194" s="6" t="s">
        <v>2</v>
      </c>
      <c r="E2194" s="7"/>
      <c r="F2194" s="7"/>
      <c r="G2194" s="5"/>
      <c r="H2194" s="8" t="s">
        <v>3</v>
      </c>
      <c r="I2194" s="8" t="s">
        <v>4</v>
      </c>
      <c r="J2194" s="9" t="s">
        <v>5</v>
      </c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5"/>
      <c r="AA2194" s="117" t="s">
        <v>6</v>
      </c>
      <c r="AB2194" s="11"/>
      <c r="AC2194" s="11"/>
      <c r="AD2194" s="11"/>
      <c r="AE2194" s="11"/>
      <c r="AF2194" s="12"/>
      <c r="AG2194" s="1"/>
    </row>
    <row r="2195" ht="21.0" customHeight="1">
      <c r="A2195" s="1"/>
      <c r="B2195" s="149" t="s">
        <v>138</v>
      </c>
      <c r="C2195" s="14" t="str">
        <f>if(B2195="0/0","",choose(weekday(B2195),"(일)","(월)","(화)","(수)","(목)","(금)","(토)"))</f>
        <v/>
      </c>
      <c r="D2195" s="15" t="s">
        <v>7</v>
      </c>
      <c r="E2195" s="16" t="s">
        <v>8</v>
      </c>
      <c r="F2195" s="17"/>
      <c r="G2195" s="18" t="s">
        <v>9</v>
      </c>
      <c r="H2195" s="150" t="s">
        <v>139</v>
      </c>
      <c r="I2195" s="151"/>
      <c r="J2195" s="21" t="s">
        <v>12</v>
      </c>
      <c r="K2195" s="22"/>
      <c r="L2195" s="21" t="s">
        <v>13</v>
      </c>
      <c r="M2195" s="22"/>
      <c r="N2195" s="21" t="s">
        <v>14</v>
      </c>
      <c r="O2195" s="22"/>
      <c r="P2195" s="21" t="s">
        <v>15</v>
      </c>
      <c r="Q2195" s="22"/>
      <c r="R2195" s="23" t="s">
        <v>16</v>
      </c>
      <c r="S2195" s="22"/>
      <c r="T2195" s="23" t="s">
        <v>17</v>
      </c>
      <c r="U2195" s="22"/>
      <c r="V2195" s="23" t="s">
        <v>18</v>
      </c>
      <c r="W2195" s="22"/>
      <c r="X2195" s="23" t="s">
        <v>19</v>
      </c>
      <c r="Y2195" s="22"/>
      <c r="Z2195" s="24" t="s">
        <v>390</v>
      </c>
      <c r="AA2195" s="118" t="s">
        <v>21</v>
      </c>
      <c r="AB2195" s="119" t="s">
        <v>22</v>
      </c>
      <c r="AC2195" s="7"/>
      <c r="AD2195" s="22"/>
      <c r="AE2195" s="120" t="s">
        <v>23</v>
      </c>
      <c r="AF2195" s="22"/>
      <c r="AG2195" s="1"/>
    </row>
    <row r="2196" ht="21.0" customHeight="1">
      <c r="A2196" s="1"/>
      <c r="B2196" s="27">
        <f>iferror(B2195-'현황'!$C$4+1,0)</f>
        <v>0</v>
      </c>
      <c r="C2196" s="28"/>
      <c r="D2196" s="29">
        <v>0.0</v>
      </c>
      <c r="E2196" s="30">
        <v>0.0</v>
      </c>
      <c r="F2196" s="31"/>
      <c r="G2196" s="32">
        <v>0.0</v>
      </c>
      <c r="H2196" s="33">
        <v>0.0</v>
      </c>
      <c r="I2196" s="34"/>
      <c r="J2196" s="35"/>
      <c r="K2196" s="36"/>
      <c r="L2196" s="35"/>
      <c r="M2196" s="36"/>
      <c r="N2196" s="35"/>
      <c r="O2196" s="36"/>
      <c r="P2196" s="35"/>
      <c r="Q2196" s="36"/>
      <c r="R2196" s="35"/>
      <c r="S2196" s="36"/>
      <c r="T2196" s="35"/>
      <c r="U2196" s="36"/>
      <c r="V2196" s="35"/>
      <c r="W2196" s="36"/>
      <c r="X2196" s="35"/>
      <c r="Y2196" s="36"/>
      <c r="Z2196" s="37"/>
      <c r="AA2196" s="37"/>
      <c r="AB2196" s="35"/>
      <c r="AC2196" s="38"/>
      <c r="AD2196" s="36"/>
      <c r="AE2196" s="35"/>
      <c r="AF2196" s="36"/>
      <c r="AG2196" s="1"/>
    </row>
    <row r="2197" ht="21.0" customHeight="1">
      <c r="A2197" s="1"/>
      <c r="B2197" s="39" t="s">
        <v>24</v>
      </c>
      <c r="C2197" s="40"/>
      <c r="D2197" s="41"/>
      <c r="E2197" s="42" t="s">
        <v>25</v>
      </c>
      <c r="F2197" s="40"/>
      <c r="G2197" s="41"/>
      <c r="H2197" s="43" t="s">
        <v>26</v>
      </c>
      <c r="J2197" s="44" t="s">
        <v>27</v>
      </c>
      <c r="K2197" s="45" t="s">
        <v>28</v>
      </c>
      <c r="L2197" s="44" t="s">
        <v>27</v>
      </c>
      <c r="M2197" s="45" t="s">
        <v>28</v>
      </c>
      <c r="N2197" s="44" t="s">
        <v>27</v>
      </c>
      <c r="O2197" s="45" t="s">
        <v>28</v>
      </c>
      <c r="P2197" s="44" t="s">
        <v>27</v>
      </c>
      <c r="Q2197" s="45" t="s">
        <v>28</v>
      </c>
      <c r="R2197" s="44" t="s">
        <v>27</v>
      </c>
      <c r="S2197" s="45" t="s">
        <v>28</v>
      </c>
      <c r="T2197" s="44" t="s">
        <v>27</v>
      </c>
      <c r="U2197" s="45" t="s">
        <v>28</v>
      </c>
      <c r="V2197" s="44" t="s">
        <v>27</v>
      </c>
      <c r="W2197" s="45" t="s">
        <v>28</v>
      </c>
      <c r="X2197" s="44" t="s">
        <v>27</v>
      </c>
      <c r="Y2197" s="45" t="s">
        <v>28</v>
      </c>
      <c r="Z2197" s="46"/>
      <c r="AA2197" s="46"/>
      <c r="AB2197" s="121" t="s">
        <v>29</v>
      </c>
      <c r="AC2197" s="122" t="s">
        <v>30</v>
      </c>
      <c r="AD2197" s="123" t="s">
        <v>31</v>
      </c>
      <c r="AE2197" s="121" t="s">
        <v>27</v>
      </c>
      <c r="AF2197" s="123" t="s">
        <v>28</v>
      </c>
      <c r="AG2197" s="1"/>
    </row>
    <row r="2198" ht="21.0" customHeight="1">
      <c r="A2198" s="1"/>
      <c r="B2198" s="48" t="s">
        <v>32</v>
      </c>
      <c r="C2198" s="49"/>
      <c r="D2198" s="50"/>
      <c r="E2198" s="51" t="s">
        <v>33</v>
      </c>
      <c r="F2198" s="52" t="s">
        <v>34</v>
      </c>
      <c r="G2198" s="53"/>
      <c r="H2198" s="148"/>
      <c r="I2198" s="55"/>
      <c r="J2198" s="58"/>
      <c r="K2198" s="59"/>
      <c r="L2198" s="58"/>
      <c r="M2198" s="59"/>
      <c r="N2198" s="58"/>
      <c r="O2198" s="59"/>
      <c r="P2198" s="58"/>
      <c r="Q2198" s="59"/>
      <c r="R2198" s="58"/>
      <c r="S2198" s="59"/>
      <c r="T2198" s="58"/>
      <c r="U2198" s="59"/>
      <c r="V2198" s="58"/>
      <c r="W2198" s="59"/>
      <c r="X2198" s="58"/>
      <c r="Y2198" s="59"/>
      <c r="Z2198" s="60" t="b">
        <v>0</v>
      </c>
      <c r="AA2198" s="125">
        <f t="shared" ref="AA2198:AA2206" si="877">(J2198*K2198+L2198*M2198+N2198*O2198+P2198*Q2198+R2198*S2198+T2198*U2198+V2198*W2198+X2198*Y2198)*if(Z2198=true,0.453592,1)</f>
        <v>0</v>
      </c>
      <c r="AB2198" s="126">
        <f t="shared" ref="AB2198:AB2206" si="878">SUM(AE2198*AF2198*0.025,AE2198)</f>
        <v>0</v>
      </c>
      <c r="AC2198" s="127">
        <f t="shared" ref="AC2198:AC2206" si="879">AB2198*87%</f>
        <v>0</v>
      </c>
      <c r="AD2198" s="128">
        <f t="shared" ref="AD2198:AD2206" si="880">AB2198*67%</f>
        <v>0</v>
      </c>
      <c r="AE2198" s="126">
        <f t="shared" ref="AE2198:AE2206" si="881">MAX(J2198,L2198,N2198,P2198,R2198,T2198,V2198,X2198)*if(Z2198=true,0.453592,1)</f>
        <v>0</v>
      </c>
      <c r="AF2198" s="128">
        <f t="shared" ref="AF2198:AF2206" si="882">MAX(IF(J2198*if(Z2198=true,0.453592,1)=$AE2198,K2198,0),IF(L2198*if(Z2198=true,0.453592,1)=$AE2198,M2198,0),IF(N2198*if(Z2198=true,0.453592,1)=$AE2198,O2198,0),IF(P2198*if(Z2198=true,0.453592,1)=$AE2198,Q2198,0),IF(R2198*if(Z2198=true,0.453592,1)=$AE2198,S2198,0),IF(T2198*if(Z2198=true,0.453592,1)=$AE2198,U2198,0),IF(V2198*if(Z2198=true,0.453592,1)=$AE2198,W2198,0),IF(X2198*if(Z2198=true,0.453592,1)=$AE2198,Y2198,0))</f>
        <v>0</v>
      </c>
      <c r="AG2198" s="1"/>
    </row>
    <row r="2199" ht="21.0" customHeight="1">
      <c r="A2199" s="1"/>
      <c r="B2199" s="48" t="s">
        <v>36</v>
      </c>
      <c r="C2199" s="49"/>
      <c r="D2199" s="65"/>
      <c r="E2199" s="66"/>
      <c r="F2199" s="52" t="s">
        <v>37</v>
      </c>
      <c r="G2199" s="67"/>
      <c r="H2199" s="129"/>
      <c r="I2199" s="69"/>
      <c r="J2199" s="72"/>
      <c r="K2199" s="73"/>
      <c r="L2199" s="72"/>
      <c r="M2199" s="73"/>
      <c r="N2199" s="72"/>
      <c r="O2199" s="73"/>
      <c r="P2199" s="72"/>
      <c r="Q2199" s="73"/>
      <c r="R2199" s="72"/>
      <c r="S2199" s="73"/>
      <c r="T2199" s="72"/>
      <c r="U2199" s="73"/>
      <c r="V2199" s="72"/>
      <c r="W2199" s="73"/>
      <c r="X2199" s="72"/>
      <c r="Y2199" s="73"/>
      <c r="Z2199" s="74" t="b">
        <v>0</v>
      </c>
      <c r="AA2199" s="130">
        <f t="shared" si="877"/>
        <v>0</v>
      </c>
      <c r="AB2199" s="131">
        <f t="shared" si="878"/>
        <v>0</v>
      </c>
      <c r="AC2199" s="132">
        <f t="shared" si="879"/>
        <v>0</v>
      </c>
      <c r="AD2199" s="133">
        <f t="shared" si="880"/>
        <v>0</v>
      </c>
      <c r="AE2199" s="131">
        <f t="shared" si="881"/>
        <v>0</v>
      </c>
      <c r="AF2199" s="133">
        <f t="shared" si="882"/>
        <v>0</v>
      </c>
      <c r="AG2199" s="1"/>
    </row>
    <row r="2200" ht="21.0" customHeight="1">
      <c r="A2200" s="1"/>
      <c r="B2200" s="48" t="s">
        <v>39</v>
      </c>
      <c r="C2200" s="49"/>
      <c r="D2200" s="65"/>
      <c r="E2200" s="41"/>
      <c r="F2200" s="52" t="s">
        <v>40</v>
      </c>
      <c r="G2200" s="79"/>
      <c r="H2200" s="80"/>
      <c r="I2200" s="69"/>
      <c r="J2200" s="72"/>
      <c r="K2200" s="73"/>
      <c r="L2200" s="72"/>
      <c r="M2200" s="73"/>
      <c r="N2200" s="72"/>
      <c r="O2200" s="73"/>
      <c r="P2200" s="72"/>
      <c r="Q2200" s="73"/>
      <c r="R2200" s="72"/>
      <c r="S2200" s="73"/>
      <c r="T2200" s="72"/>
      <c r="U2200" s="73"/>
      <c r="V2200" s="72"/>
      <c r="W2200" s="73"/>
      <c r="X2200" s="72"/>
      <c r="Y2200" s="73"/>
      <c r="Z2200" s="74" t="b">
        <v>0</v>
      </c>
      <c r="AA2200" s="130">
        <f t="shared" si="877"/>
        <v>0</v>
      </c>
      <c r="AB2200" s="131">
        <f t="shared" si="878"/>
        <v>0</v>
      </c>
      <c r="AC2200" s="132">
        <f t="shared" si="879"/>
        <v>0</v>
      </c>
      <c r="AD2200" s="133">
        <f t="shared" si="880"/>
        <v>0</v>
      </c>
      <c r="AE2200" s="131">
        <f t="shared" si="881"/>
        <v>0</v>
      </c>
      <c r="AF2200" s="133">
        <f t="shared" si="882"/>
        <v>0</v>
      </c>
      <c r="AG2200" s="1"/>
    </row>
    <row r="2201" ht="21.0" customHeight="1">
      <c r="A2201" s="1"/>
      <c r="B2201" s="48" t="s">
        <v>41</v>
      </c>
      <c r="C2201" s="81"/>
      <c r="D2201" s="82" t="b">
        <v>0</v>
      </c>
      <c r="E2201" s="51" t="s">
        <v>42</v>
      </c>
      <c r="F2201" s="52" t="s">
        <v>34</v>
      </c>
      <c r="G2201" s="83"/>
      <c r="H2201" s="84"/>
      <c r="I2201" s="85"/>
      <c r="J2201" s="72"/>
      <c r="K2201" s="73"/>
      <c r="L2201" s="72"/>
      <c r="M2201" s="73"/>
      <c r="N2201" s="72"/>
      <c r="O2201" s="73"/>
      <c r="P2201" s="72"/>
      <c r="Q2201" s="73"/>
      <c r="R2201" s="72"/>
      <c r="S2201" s="73"/>
      <c r="T2201" s="72"/>
      <c r="U2201" s="73"/>
      <c r="V2201" s="72"/>
      <c r="W2201" s="73"/>
      <c r="X2201" s="72"/>
      <c r="Y2201" s="73"/>
      <c r="Z2201" s="74" t="b">
        <v>0</v>
      </c>
      <c r="AA2201" s="130">
        <f t="shared" si="877"/>
        <v>0</v>
      </c>
      <c r="AB2201" s="131">
        <f t="shared" si="878"/>
        <v>0</v>
      </c>
      <c r="AC2201" s="132">
        <f t="shared" si="879"/>
        <v>0</v>
      </c>
      <c r="AD2201" s="133">
        <f t="shared" si="880"/>
        <v>0</v>
      </c>
      <c r="AE2201" s="131">
        <f t="shared" si="881"/>
        <v>0</v>
      </c>
      <c r="AF2201" s="133">
        <f t="shared" si="882"/>
        <v>0</v>
      </c>
      <c r="AG2201" s="1"/>
    </row>
    <row r="2202" ht="21.0" customHeight="1">
      <c r="A2202" s="1"/>
      <c r="B2202" s="48" t="s">
        <v>43</v>
      </c>
      <c r="C2202" s="49"/>
      <c r="D2202" s="86" t="b">
        <v>0</v>
      </c>
      <c r="E2202" s="66"/>
      <c r="F2202" s="52" t="s">
        <v>37</v>
      </c>
      <c r="G2202" s="67"/>
      <c r="H2202" s="80"/>
      <c r="I2202" s="69"/>
      <c r="J2202" s="72"/>
      <c r="K2202" s="73"/>
      <c r="L2202" s="72"/>
      <c r="M2202" s="73"/>
      <c r="N2202" s="72"/>
      <c r="O2202" s="73"/>
      <c r="P2202" s="72"/>
      <c r="Q2202" s="73"/>
      <c r="R2202" s="72"/>
      <c r="S2202" s="73"/>
      <c r="T2202" s="72"/>
      <c r="U2202" s="73"/>
      <c r="V2202" s="72"/>
      <c r="W2202" s="73"/>
      <c r="X2202" s="72"/>
      <c r="Y2202" s="73"/>
      <c r="Z2202" s="74" t="b">
        <v>0</v>
      </c>
      <c r="AA2202" s="130">
        <f t="shared" si="877"/>
        <v>0</v>
      </c>
      <c r="AB2202" s="131">
        <f t="shared" si="878"/>
        <v>0</v>
      </c>
      <c r="AC2202" s="132">
        <f t="shared" si="879"/>
        <v>0</v>
      </c>
      <c r="AD2202" s="133">
        <f t="shared" si="880"/>
        <v>0</v>
      </c>
      <c r="AE2202" s="131">
        <f t="shared" si="881"/>
        <v>0</v>
      </c>
      <c r="AF2202" s="133">
        <f t="shared" si="882"/>
        <v>0</v>
      </c>
      <c r="AG2202" s="1"/>
    </row>
    <row r="2203" ht="21.0" customHeight="1">
      <c r="A2203" s="1"/>
      <c r="B2203" s="87" t="str">
        <f t="array" ref="B2203">"📌최근 인바디 결과 : "&amp;text(xlookup(B2195,'현황'!O:O,'현황'!O:O,,-1,-1),"m/d(ddd)")</f>
        <v>#REF!</v>
      </c>
      <c r="C2203" s="88"/>
      <c r="D2203" s="49"/>
      <c r="E2203" s="41"/>
      <c r="F2203" s="52" t="s">
        <v>40</v>
      </c>
      <c r="G2203" s="79"/>
      <c r="H2203" s="80"/>
      <c r="I2203" s="69"/>
      <c r="J2203" s="72"/>
      <c r="K2203" s="73"/>
      <c r="L2203" s="72"/>
      <c r="M2203" s="73"/>
      <c r="N2203" s="72"/>
      <c r="O2203" s="73"/>
      <c r="P2203" s="72"/>
      <c r="Q2203" s="73"/>
      <c r="R2203" s="72"/>
      <c r="S2203" s="73"/>
      <c r="T2203" s="72"/>
      <c r="U2203" s="73"/>
      <c r="V2203" s="72"/>
      <c r="W2203" s="73"/>
      <c r="X2203" s="72"/>
      <c r="Y2203" s="73"/>
      <c r="Z2203" s="74" t="b">
        <v>0</v>
      </c>
      <c r="AA2203" s="130">
        <f t="shared" si="877"/>
        <v>0</v>
      </c>
      <c r="AB2203" s="131">
        <f t="shared" si="878"/>
        <v>0</v>
      </c>
      <c r="AC2203" s="132">
        <f t="shared" si="879"/>
        <v>0</v>
      </c>
      <c r="AD2203" s="133">
        <f t="shared" si="880"/>
        <v>0</v>
      </c>
      <c r="AE2203" s="131">
        <f t="shared" si="881"/>
        <v>0</v>
      </c>
      <c r="AF2203" s="133">
        <f t="shared" si="882"/>
        <v>0</v>
      </c>
      <c r="AG2203" s="1"/>
    </row>
    <row r="2204" ht="21.0" customHeight="1">
      <c r="A2204" s="1"/>
      <c r="B2204" s="89" t="s">
        <v>44</v>
      </c>
      <c r="C2204" s="49"/>
      <c r="D2204" s="90">
        <f t="array" ref="D2204">iferror(vlookup(xlookup(B2195,'현황'!O:O,'현황'!O:O,,-1,-1),'현황'!O:S,2,false),0)</f>
        <v>0</v>
      </c>
      <c r="E2204" s="51" t="s">
        <v>45</v>
      </c>
      <c r="F2204" s="52" t="s">
        <v>34</v>
      </c>
      <c r="G2204" s="83"/>
      <c r="H2204" s="84"/>
      <c r="I2204" s="85"/>
      <c r="J2204" s="72"/>
      <c r="K2204" s="73"/>
      <c r="L2204" s="72"/>
      <c r="M2204" s="73"/>
      <c r="N2204" s="72"/>
      <c r="O2204" s="73"/>
      <c r="P2204" s="72"/>
      <c r="Q2204" s="73"/>
      <c r="R2204" s="72"/>
      <c r="S2204" s="73"/>
      <c r="T2204" s="72"/>
      <c r="U2204" s="73"/>
      <c r="V2204" s="72"/>
      <c r="W2204" s="73"/>
      <c r="X2204" s="72"/>
      <c r="Y2204" s="73"/>
      <c r="Z2204" s="74" t="b">
        <v>0</v>
      </c>
      <c r="AA2204" s="130">
        <f t="shared" si="877"/>
        <v>0</v>
      </c>
      <c r="AB2204" s="131">
        <f t="shared" si="878"/>
        <v>0</v>
      </c>
      <c r="AC2204" s="132">
        <f t="shared" si="879"/>
        <v>0</v>
      </c>
      <c r="AD2204" s="133">
        <f t="shared" si="880"/>
        <v>0</v>
      </c>
      <c r="AE2204" s="131">
        <f t="shared" si="881"/>
        <v>0</v>
      </c>
      <c r="AF2204" s="133">
        <f t="shared" si="882"/>
        <v>0</v>
      </c>
      <c r="AG2204" s="1"/>
    </row>
    <row r="2205" ht="21.0" customHeight="1">
      <c r="A2205" s="1"/>
      <c r="B2205" s="48" t="s">
        <v>46</v>
      </c>
      <c r="C2205" s="49"/>
      <c r="D2205" s="91">
        <f t="array" ref="D2205">iferror(vlookup(xlookup(B2195,'현황'!O:O,'현황'!O:O,,-1,-1),'현황'!O:S,3,false),0)</f>
        <v>0</v>
      </c>
      <c r="E2205" s="66"/>
      <c r="F2205" s="52" t="s">
        <v>37</v>
      </c>
      <c r="G2205" s="67"/>
      <c r="H2205" s="80"/>
      <c r="I2205" s="69"/>
      <c r="J2205" s="72"/>
      <c r="K2205" s="73"/>
      <c r="L2205" s="72"/>
      <c r="M2205" s="73"/>
      <c r="N2205" s="72"/>
      <c r="O2205" s="73"/>
      <c r="P2205" s="72"/>
      <c r="Q2205" s="73"/>
      <c r="R2205" s="72"/>
      <c r="S2205" s="73"/>
      <c r="T2205" s="72"/>
      <c r="U2205" s="73"/>
      <c r="V2205" s="72"/>
      <c r="W2205" s="73"/>
      <c r="X2205" s="72"/>
      <c r="Y2205" s="73"/>
      <c r="Z2205" s="74" t="b">
        <v>0</v>
      </c>
      <c r="AA2205" s="130">
        <f t="shared" si="877"/>
        <v>0</v>
      </c>
      <c r="AB2205" s="131">
        <f t="shared" si="878"/>
        <v>0</v>
      </c>
      <c r="AC2205" s="132">
        <f t="shared" si="879"/>
        <v>0</v>
      </c>
      <c r="AD2205" s="133">
        <f t="shared" si="880"/>
        <v>0</v>
      </c>
      <c r="AE2205" s="131">
        <f t="shared" si="881"/>
        <v>0</v>
      </c>
      <c r="AF2205" s="133">
        <f t="shared" si="882"/>
        <v>0</v>
      </c>
      <c r="AG2205" s="1"/>
    </row>
    <row r="2206" ht="21.0" customHeight="1">
      <c r="A2206" s="1"/>
      <c r="B2206" s="48" t="s">
        <v>47</v>
      </c>
      <c r="C2206" s="49"/>
      <c r="D2206" s="91">
        <f t="array" ref="D2206">iferror(vlookup(xlookup(B2195,'현황'!O:O,'현황'!O:O,,-1,-1),'현황'!O:S,4,false),0)</f>
        <v>0</v>
      </c>
      <c r="E2206" s="41"/>
      <c r="F2206" s="92" t="s">
        <v>40</v>
      </c>
      <c r="G2206" s="79"/>
      <c r="H2206" s="93"/>
      <c r="I2206" s="94"/>
      <c r="J2206" s="95"/>
      <c r="K2206" s="96"/>
      <c r="L2206" s="95"/>
      <c r="M2206" s="96"/>
      <c r="N2206" s="95"/>
      <c r="O2206" s="96"/>
      <c r="P2206" s="95"/>
      <c r="Q2206" s="96"/>
      <c r="R2206" s="95"/>
      <c r="S2206" s="96"/>
      <c r="T2206" s="95"/>
      <c r="U2206" s="96"/>
      <c r="V2206" s="95"/>
      <c r="W2206" s="96"/>
      <c r="X2206" s="95"/>
      <c r="Y2206" s="96"/>
      <c r="Z2206" s="97" t="b">
        <v>0</v>
      </c>
      <c r="AA2206" s="135">
        <f t="shared" si="877"/>
        <v>0</v>
      </c>
      <c r="AB2206" s="136">
        <f t="shared" si="878"/>
        <v>0</v>
      </c>
      <c r="AC2206" s="137">
        <f t="shared" si="879"/>
        <v>0</v>
      </c>
      <c r="AD2206" s="138">
        <f t="shared" si="880"/>
        <v>0</v>
      </c>
      <c r="AE2206" s="136">
        <f t="shared" si="881"/>
        <v>0</v>
      </c>
      <c r="AF2206" s="138">
        <f t="shared" si="882"/>
        <v>0</v>
      </c>
      <c r="AG2206" s="1"/>
    </row>
    <row r="2207" ht="21.0" customHeight="1">
      <c r="A2207" s="1"/>
      <c r="B2207" s="102" t="s">
        <v>48</v>
      </c>
      <c r="C2207" s="103"/>
      <c r="D2207" s="104">
        <f>iferror(D2206/D2204,0)</f>
        <v>0</v>
      </c>
      <c r="E2207" s="102" t="s">
        <v>49</v>
      </c>
      <c r="F2207" s="103"/>
      <c r="G2207" s="105"/>
      <c r="H2207" s="106" t="s">
        <v>50</v>
      </c>
      <c r="I2207" s="107"/>
      <c r="J2207" s="11"/>
      <c r="K2207" s="11"/>
      <c r="L2207" s="11"/>
      <c r="M2207" s="11"/>
      <c r="N2207" s="11"/>
      <c r="O2207" s="11"/>
      <c r="P2207" s="108" t="s">
        <v>51</v>
      </c>
      <c r="Q2207" s="12"/>
      <c r="R2207" s="109"/>
      <c r="S2207" s="11"/>
      <c r="T2207" s="11"/>
      <c r="U2207" s="11"/>
      <c r="V2207" s="11"/>
      <c r="W2207" s="11"/>
      <c r="X2207" s="11"/>
      <c r="Y2207" s="11"/>
      <c r="Z2207" s="12"/>
      <c r="AA2207" s="139">
        <f>SUM(AA2198:AA2206)</f>
        <v>0</v>
      </c>
      <c r="AB2207" s="140" t="s">
        <v>391</v>
      </c>
      <c r="AG2207" s="1"/>
    </row>
    <row r="2208" ht="21.0" customHeight="1">
      <c r="A2208" s="1"/>
      <c r="B2208" s="1"/>
      <c r="C2208" s="1"/>
      <c r="D2208" s="1"/>
      <c r="E2208" s="1"/>
      <c r="F2208" s="1"/>
      <c r="G2208" s="1"/>
      <c r="H2208" s="1"/>
      <c r="I2208" s="1"/>
      <c r="AA2208" s="1"/>
      <c r="AB2208" s="1"/>
      <c r="AC2208" s="3"/>
      <c r="AD2208" s="1"/>
      <c r="AE2208" s="1"/>
      <c r="AF2208" s="1"/>
      <c r="AG2208" s="1"/>
    </row>
    <row r="2209" ht="21.0" customHeight="1">
      <c r="A2209" s="1"/>
      <c r="B2209" s="4" t="s">
        <v>1</v>
      </c>
      <c r="C2209" s="5"/>
      <c r="D2209" s="6" t="s">
        <v>2</v>
      </c>
      <c r="E2209" s="7"/>
      <c r="F2209" s="7"/>
      <c r="G2209" s="5"/>
      <c r="H2209" s="8" t="s">
        <v>3</v>
      </c>
      <c r="I2209" s="8" t="s">
        <v>4</v>
      </c>
      <c r="J2209" s="9" t="s">
        <v>5</v>
      </c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5"/>
      <c r="AA2209" s="117" t="s">
        <v>6</v>
      </c>
      <c r="AB2209" s="11"/>
      <c r="AC2209" s="11"/>
      <c r="AD2209" s="11"/>
      <c r="AE2209" s="11"/>
      <c r="AF2209" s="12"/>
      <c r="AG2209" s="1"/>
    </row>
    <row r="2210" ht="21.0" customHeight="1">
      <c r="A2210" s="1"/>
      <c r="B2210" s="149" t="s">
        <v>138</v>
      </c>
      <c r="C2210" s="14" t="str">
        <f>if(B2210="0/0","",choose(weekday(B2210),"(일)","(월)","(화)","(수)","(목)","(금)","(토)"))</f>
        <v/>
      </c>
      <c r="D2210" s="15" t="s">
        <v>7</v>
      </c>
      <c r="E2210" s="16" t="s">
        <v>8</v>
      </c>
      <c r="F2210" s="17"/>
      <c r="G2210" s="18" t="s">
        <v>9</v>
      </c>
      <c r="H2210" s="150" t="s">
        <v>139</v>
      </c>
      <c r="I2210" s="151"/>
      <c r="J2210" s="21" t="s">
        <v>12</v>
      </c>
      <c r="K2210" s="22"/>
      <c r="L2210" s="21" t="s">
        <v>13</v>
      </c>
      <c r="M2210" s="22"/>
      <c r="N2210" s="21" t="s">
        <v>14</v>
      </c>
      <c r="O2210" s="22"/>
      <c r="P2210" s="21" t="s">
        <v>15</v>
      </c>
      <c r="Q2210" s="22"/>
      <c r="R2210" s="23" t="s">
        <v>16</v>
      </c>
      <c r="S2210" s="22"/>
      <c r="T2210" s="23" t="s">
        <v>17</v>
      </c>
      <c r="U2210" s="22"/>
      <c r="V2210" s="23" t="s">
        <v>18</v>
      </c>
      <c r="W2210" s="22"/>
      <c r="X2210" s="23" t="s">
        <v>19</v>
      </c>
      <c r="Y2210" s="22"/>
      <c r="Z2210" s="24" t="s">
        <v>392</v>
      </c>
      <c r="AA2210" s="118" t="s">
        <v>21</v>
      </c>
      <c r="AB2210" s="119" t="s">
        <v>22</v>
      </c>
      <c r="AC2210" s="7"/>
      <c r="AD2210" s="22"/>
      <c r="AE2210" s="120" t="s">
        <v>23</v>
      </c>
      <c r="AF2210" s="22"/>
      <c r="AG2210" s="1"/>
    </row>
    <row r="2211" ht="21.0" customHeight="1">
      <c r="A2211" s="1"/>
      <c r="B2211" s="27">
        <f>iferror(B2210-'현황'!$C$4+1,0)</f>
        <v>0</v>
      </c>
      <c r="C2211" s="28"/>
      <c r="D2211" s="29">
        <v>0.0</v>
      </c>
      <c r="E2211" s="30">
        <v>0.0</v>
      </c>
      <c r="F2211" s="31"/>
      <c r="G2211" s="32">
        <v>0.0</v>
      </c>
      <c r="H2211" s="33">
        <v>0.0</v>
      </c>
      <c r="I2211" s="34"/>
      <c r="J2211" s="35"/>
      <c r="K2211" s="36"/>
      <c r="L2211" s="35"/>
      <c r="M2211" s="36"/>
      <c r="N2211" s="35"/>
      <c r="O2211" s="36"/>
      <c r="P2211" s="35"/>
      <c r="Q2211" s="36"/>
      <c r="R2211" s="35"/>
      <c r="S2211" s="36"/>
      <c r="T2211" s="35"/>
      <c r="U2211" s="36"/>
      <c r="V2211" s="35"/>
      <c r="W2211" s="36"/>
      <c r="X2211" s="35"/>
      <c r="Y2211" s="36"/>
      <c r="Z2211" s="37"/>
      <c r="AA2211" s="37"/>
      <c r="AB2211" s="35"/>
      <c r="AC2211" s="38"/>
      <c r="AD2211" s="36"/>
      <c r="AE2211" s="35"/>
      <c r="AF2211" s="36"/>
      <c r="AG2211" s="1"/>
    </row>
    <row r="2212" ht="21.0" customHeight="1">
      <c r="A2212" s="1"/>
      <c r="B2212" s="39" t="s">
        <v>24</v>
      </c>
      <c r="C2212" s="40"/>
      <c r="D2212" s="41"/>
      <c r="E2212" s="42" t="s">
        <v>25</v>
      </c>
      <c r="F2212" s="40"/>
      <c r="G2212" s="41"/>
      <c r="H2212" s="43" t="s">
        <v>26</v>
      </c>
      <c r="J2212" s="44" t="s">
        <v>27</v>
      </c>
      <c r="K2212" s="45" t="s">
        <v>28</v>
      </c>
      <c r="L2212" s="44" t="s">
        <v>27</v>
      </c>
      <c r="M2212" s="45" t="s">
        <v>28</v>
      </c>
      <c r="N2212" s="44" t="s">
        <v>27</v>
      </c>
      <c r="O2212" s="45" t="s">
        <v>28</v>
      </c>
      <c r="P2212" s="44" t="s">
        <v>27</v>
      </c>
      <c r="Q2212" s="45" t="s">
        <v>28</v>
      </c>
      <c r="R2212" s="44" t="s">
        <v>27</v>
      </c>
      <c r="S2212" s="45" t="s">
        <v>28</v>
      </c>
      <c r="T2212" s="44" t="s">
        <v>27</v>
      </c>
      <c r="U2212" s="45" t="s">
        <v>28</v>
      </c>
      <c r="V2212" s="44" t="s">
        <v>27</v>
      </c>
      <c r="W2212" s="45" t="s">
        <v>28</v>
      </c>
      <c r="X2212" s="44" t="s">
        <v>27</v>
      </c>
      <c r="Y2212" s="45" t="s">
        <v>28</v>
      </c>
      <c r="Z2212" s="46"/>
      <c r="AA2212" s="46"/>
      <c r="AB2212" s="121" t="s">
        <v>29</v>
      </c>
      <c r="AC2212" s="122" t="s">
        <v>30</v>
      </c>
      <c r="AD2212" s="123" t="s">
        <v>31</v>
      </c>
      <c r="AE2212" s="121" t="s">
        <v>27</v>
      </c>
      <c r="AF2212" s="123" t="s">
        <v>28</v>
      </c>
      <c r="AG2212" s="1"/>
    </row>
    <row r="2213" ht="21.0" customHeight="1">
      <c r="A2213" s="1"/>
      <c r="B2213" s="48" t="s">
        <v>32</v>
      </c>
      <c r="C2213" s="49"/>
      <c r="D2213" s="50"/>
      <c r="E2213" s="51" t="s">
        <v>33</v>
      </c>
      <c r="F2213" s="52" t="s">
        <v>34</v>
      </c>
      <c r="G2213" s="53"/>
      <c r="H2213" s="148"/>
      <c r="I2213" s="55"/>
      <c r="J2213" s="58"/>
      <c r="K2213" s="59"/>
      <c r="L2213" s="58"/>
      <c r="M2213" s="59"/>
      <c r="N2213" s="58"/>
      <c r="O2213" s="59"/>
      <c r="P2213" s="58"/>
      <c r="Q2213" s="59"/>
      <c r="R2213" s="58"/>
      <c r="S2213" s="59"/>
      <c r="T2213" s="58"/>
      <c r="U2213" s="59"/>
      <c r="V2213" s="58"/>
      <c r="W2213" s="59"/>
      <c r="X2213" s="58"/>
      <c r="Y2213" s="59"/>
      <c r="Z2213" s="60" t="b">
        <v>0</v>
      </c>
      <c r="AA2213" s="125">
        <f t="shared" ref="AA2213:AA2221" si="883">(J2213*K2213+L2213*M2213+N2213*O2213+P2213*Q2213+R2213*S2213+T2213*U2213+V2213*W2213+X2213*Y2213)*if(Z2213=true,0.453592,1)</f>
        <v>0</v>
      </c>
      <c r="AB2213" s="126">
        <f t="shared" ref="AB2213:AB2221" si="884">SUM(AE2213*AF2213*0.025,AE2213)</f>
        <v>0</v>
      </c>
      <c r="AC2213" s="127">
        <f t="shared" ref="AC2213:AC2221" si="885">AB2213*87%</f>
        <v>0</v>
      </c>
      <c r="AD2213" s="128">
        <f t="shared" ref="AD2213:AD2221" si="886">AB2213*67%</f>
        <v>0</v>
      </c>
      <c r="AE2213" s="126">
        <f t="shared" ref="AE2213:AE2221" si="887">MAX(J2213,L2213,N2213,P2213,R2213,T2213,V2213,X2213)*if(Z2213=true,0.453592,1)</f>
        <v>0</v>
      </c>
      <c r="AF2213" s="128">
        <f t="shared" ref="AF2213:AF2221" si="888">MAX(IF(J2213*if(Z2213=true,0.453592,1)=$AE2213,K2213,0),IF(L2213*if(Z2213=true,0.453592,1)=$AE2213,M2213,0),IF(N2213*if(Z2213=true,0.453592,1)=$AE2213,O2213,0),IF(P2213*if(Z2213=true,0.453592,1)=$AE2213,Q2213,0),IF(R2213*if(Z2213=true,0.453592,1)=$AE2213,S2213,0),IF(T2213*if(Z2213=true,0.453592,1)=$AE2213,U2213,0),IF(V2213*if(Z2213=true,0.453592,1)=$AE2213,W2213,0),IF(X2213*if(Z2213=true,0.453592,1)=$AE2213,Y2213,0))</f>
        <v>0</v>
      </c>
      <c r="AG2213" s="1"/>
    </row>
    <row r="2214" ht="21.0" customHeight="1">
      <c r="A2214" s="1"/>
      <c r="B2214" s="48" t="s">
        <v>36</v>
      </c>
      <c r="C2214" s="49"/>
      <c r="D2214" s="65"/>
      <c r="E2214" s="66"/>
      <c r="F2214" s="52" t="s">
        <v>37</v>
      </c>
      <c r="G2214" s="67"/>
      <c r="H2214" s="129"/>
      <c r="I2214" s="69"/>
      <c r="J2214" s="72"/>
      <c r="K2214" s="73"/>
      <c r="L2214" s="72"/>
      <c r="M2214" s="73"/>
      <c r="N2214" s="72"/>
      <c r="O2214" s="73"/>
      <c r="P2214" s="72"/>
      <c r="Q2214" s="73"/>
      <c r="R2214" s="72"/>
      <c r="S2214" s="73"/>
      <c r="T2214" s="72"/>
      <c r="U2214" s="73"/>
      <c r="V2214" s="72"/>
      <c r="W2214" s="73"/>
      <c r="X2214" s="72"/>
      <c r="Y2214" s="73"/>
      <c r="Z2214" s="74" t="b">
        <v>0</v>
      </c>
      <c r="AA2214" s="130">
        <f t="shared" si="883"/>
        <v>0</v>
      </c>
      <c r="AB2214" s="131">
        <f t="shared" si="884"/>
        <v>0</v>
      </c>
      <c r="AC2214" s="132">
        <f t="shared" si="885"/>
        <v>0</v>
      </c>
      <c r="AD2214" s="133">
        <f t="shared" si="886"/>
        <v>0</v>
      </c>
      <c r="AE2214" s="131">
        <f t="shared" si="887"/>
        <v>0</v>
      </c>
      <c r="AF2214" s="133">
        <f t="shared" si="888"/>
        <v>0</v>
      </c>
      <c r="AG2214" s="1"/>
    </row>
    <row r="2215" ht="21.0" customHeight="1">
      <c r="A2215" s="1"/>
      <c r="B2215" s="48" t="s">
        <v>39</v>
      </c>
      <c r="C2215" s="49"/>
      <c r="D2215" s="65"/>
      <c r="E2215" s="41"/>
      <c r="F2215" s="52" t="s">
        <v>40</v>
      </c>
      <c r="G2215" s="79"/>
      <c r="H2215" s="80"/>
      <c r="I2215" s="69"/>
      <c r="J2215" s="72"/>
      <c r="K2215" s="73"/>
      <c r="L2215" s="72"/>
      <c r="M2215" s="73"/>
      <c r="N2215" s="72"/>
      <c r="O2215" s="73"/>
      <c r="P2215" s="72"/>
      <c r="Q2215" s="73"/>
      <c r="R2215" s="72"/>
      <c r="S2215" s="73"/>
      <c r="T2215" s="72"/>
      <c r="U2215" s="73"/>
      <c r="V2215" s="72"/>
      <c r="W2215" s="73"/>
      <c r="X2215" s="72"/>
      <c r="Y2215" s="73"/>
      <c r="Z2215" s="74" t="b">
        <v>0</v>
      </c>
      <c r="AA2215" s="130">
        <f t="shared" si="883"/>
        <v>0</v>
      </c>
      <c r="AB2215" s="131">
        <f t="shared" si="884"/>
        <v>0</v>
      </c>
      <c r="AC2215" s="132">
        <f t="shared" si="885"/>
        <v>0</v>
      </c>
      <c r="AD2215" s="133">
        <f t="shared" si="886"/>
        <v>0</v>
      </c>
      <c r="AE2215" s="131">
        <f t="shared" si="887"/>
        <v>0</v>
      </c>
      <c r="AF2215" s="133">
        <f t="shared" si="888"/>
        <v>0</v>
      </c>
      <c r="AG2215" s="1"/>
    </row>
    <row r="2216" ht="21.0" customHeight="1">
      <c r="A2216" s="1"/>
      <c r="B2216" s="48" t="s">
        <v>41</v>
      </c>
      <c r="C2216" s="81"/>
      <c r="D2216" s="82" t="b">
        <v>0</v>
      </c>
      <c r="E2216" s="51" t="s">
        <v>42</v>
      </c>
      <c r="F2216" s="52" t="s">
        <v>34</v>
      </c>
      <c r="G2216" s="83"/>
      <c r="H2216" s="84"/>
      <c r="I2216" s="85"/>
      <c r="J2216" s="72"/>
      <c r="K2216" s="73"/>
      <c r="L2216" s="72"/>
      <c r="M2216" s="73"/>
      <c r="N2216" s="72"/>
      <c r="O2216" s="73"/>
      <c r="P2216" s="72"/>
      <c r="Q2216" s="73"/>
      <c r="R2216" s="72"/>
      <c r="S2216" s="73"/>
      <c r="T2216" s="72"/>
      <c r="U2216" s="73"/>
      <c r="V2216" s="72"/>
      <c r="W2216" s="73"/>
      <c r="X2216" s="72"/>
      <c r="Y2216" s="73"/>
      <c r="Z2216" s="74" t="b">
        <v>0</v>
      </c>
      <c r="AA2216" s="130">
        <f t="shared" si="883"/>
        <v>0</v>
      </c>
      <c r="AB2216" s="131">
        <f t="shared" si="884"/>
        <v>0</v>
      </c>
      <c r="AC2216" s="132">
        <f t="shared" si="885"/>
        <v>0</v>
      </c>
      <c r="AD2216" s="133">
        <f t="shared" si="886"/>
        <v>0</v>
      </c>
      <c r="AE2216" s="131">
        <f t="shared" si="887"/>
        <v>0</v>
      </c>
      <c r="AF2216" s="133">
        <f t="shared" si="888"/>
        <v>0</v>
      </c>
      <c r="AG2216" s="1"/>
    </row>
    <row r="2217" ht="21.0" customHeight="1">
      <c r="A2217" s="1"/>
      <c r="B2217" s="48" t="s">
        <v>43</v>
      </c>
      <c r="C2217" s="49"/>
      <c r="D2217" s="86" t="b">
        <v>0</v>
      </c>
      <c r="E2217" s="66"/>
      <c r="F2217" s="52" t="s">
        <v>37</v>
      </c>
      <c r="G2217" s="67"/>
      <c r="H2217" s="80"/>
      <c r="I2217" s="69"/>
      <c r="J2217" s="72"/>
      <c r="K2217" s="73"/>
      <c r="L2217" s="72"/>
      <c r="M2217" s="73"/>
      <c r="N2217" s="72"/>
      <c r="O2217" s="73"/>
      <c r="P2217" s="72"/>
      <c r="Q2217" s="73"/>
      <c r="R2217" s="72"/>
      <c r="S2217" s="73"/>
      <c r="T2217" s="72"/>
      <c r="U2217" s="73"/>
      <c r="V2217" s="72"/>
      <c r="W2217" s="73"/>
      <c r="X2217" s="72"/>
      <c r="Y2217" s="73"/>
      <c r="Z2217" s="74" t="b">
        <v>0</v>
      </c>
      <c r="AA2217" s="130">
        <f t="shared" si="883"/>
        <v>0</v>
      </c>
      <c r="AB2217" s="131">
        <f t="shared" si="884"/>
        <v>0</v>
      </c>
      <c r="AC2217" s="132">
        <f t="shared" si="885"/>
        <v>0</v>
      </c>
      <c r="AD2217" s="133">
        <f t="shared" si="886"/>
        <v>0</v>
      </c>
      <c r="AE2217" s="131">
        <f t="shared" si="887"/>
        <v>0</v>
      </c>
      <c r="AF2217" s="133">
        <f t="shared" si="888"/>
        <v>0</v>
      </c>
      <c r="AG2217" s="1"/>
    </row>
    <row r="2218" ht="21.0" customHeight="1">
      <c r="A2218" s="1"/>
      <c r="B2218" s="87" t="str">
        <f t="array" ref="B2218">"📌최근 인바디 결과 : "&amp;text(xlookup(B2210,'현황'!O:O,'현황'!O:O,,-1,-1),"m/d(ddd)")</f>
        <v>#REF!</v>
      </c>
      <c r="C2218" s="88"/>
      <c r="D2218" s="49"/>
      <c r="E2218" s="41"/>
      <c r="F2218" s="52" t="s">
        <v>40</v>
      </c>
      <c r="G2218" s="79"/>
      <c r="H2218" s="80"/>
      <c r="I2218" s="69"/>
      <c r="J2218" s="72"/>
      <c r="K2218" s="73"/>
      <c r="L2218" s="72"/>
      <c r="M2218" s="73"/>
      <c r="N2218" s="72"/>
      <c r="O2218" s="73"/>
      <c r="P2218" s="72"/>
      <c r="Q2218" s="73"/>
      <c r="R2218" s="72"/>
      <c r="S2218" s="73"/>
      <c r="T2218" s="72"/>
      <c r="U2218" s="73"/>
      <c r="V2218" s="72"/>
      <c r="W2218" s="73"/>
      <c r="X2218" s="72"/>
      <c r="Y2218" s="73"/>
      <c r="Z2218" s="74" t="b">
        <v>0</v>
      </c>
      <c r="AA2218" s="130">
        <f t="shared" si="883"/>
        <v>0</v>
      </c>
      <c r="AB2218" s="131">
        <f t="shared" si="884"/>
        <v>0</v>
      </c>
      <c r="AC2218" s="132">
        <f t="shared" si="885"/>
        <v>0</v>
      </c>
      <c r="AD2218" s="133">
        <f t="shared" si="886"/>
        <v>0</v>
      </c>
      <c r="AE2218" s="131">
        <f t="shared" si="887"/>
        <v>0</v>
      </c>
      <c r="AF2218" s="133">
        <f t="shared" si="888"/>
        <v>0</v>
      </c>
      <c r="AG2218" s="1"/>
    </row>
    <row r="2219" ht="21.0" customHeight="1">
      <c r="A2219" s="1"/>
      <c r="B2219" s="89" t="s">
        <v>44</v>
      </c>
      <c r="C2219" s="49"/>
      <c r="D2219" s="90">
        <f t="array" ref="D2219">iferror(vlookup(xlookup(B2210,'현황'!O:O,'현황'!O:O,,-1,-1),'현황'!O:S,2,false),0)</f>
        <v>0</v>
      </c>
      <c r="E2219" s="51" t="s">
        <v>45</v>
      </c>
      <c r="F2219" s="52" t="s">
        <v>34</v>
      </c>
      <c r="G2219" s="83"/>
      <c r="H2219" s="84"/>
      <c r="I2219" s="85"/>
      <c r="J2219" s="72"/>
      <c r="K2219" s="73"/>
      <c r="L2219" s="72"/>
      <c r="M2219" s="73"/>
      <c r="N2219" s="72"/>
      <c r="O2219" s="73"/>
      <c r="P2219" s="72"/>
      <c r="Q2219" s="73"/>
      <c r="R2219" s="72"/>
      <c r="S2219" s="73"/>
      <c r="T2219" s="72"/>
      <c r="U2219" s="73"/>
      <c r="V2219" s="72"/>
      <c r="W2219" s="73"/>
      <c r="X2219" s="72"/>
      <c r="Y2219" s="73"/>
      <c r="Z2219" s="74" t="b">
        <v>0</v>
      </c>
      <c r="AA2219" s="130">
        <f t="shared" si="883"/>
        <v>0</v>
      </c>
      <c r="AB2219" s="131">
        <f t="shared" si="884"/>
        <v>0</v>
      </c>
      <c r="AC2219" s="132">
        <f t="shared" si="885"/>
        <v>0</v>
      </c>
      <c r="AD2219" s="133">
        <f t="shared" si="886"/>
        <v>0</v>
      </c>
      <c r="AE2219" s="131">
        <f t="shared" si="887"/>
        <v>0</v>
      </c>
      <c r="AF2219" s="133">
        <f t="shared" si="888"/>
        <v>0</v>
      </c>
      <c r="AG2219" s="1"/>
    </row>
    <row r="2220" ht="21.0" customHeight="1">
      <c r="A2220" s="1"/>
      <c r="B2220" s="48" t="s">
        <v>46</v>
      </c>
      <c r="C2220" s="49"/>
      <c r="D2220" s="91">
        <f t="array" ref="D2220">iferror(vlookup(xlookup(B2210,'현황'!O:O,'현황'!O:O,,-1,-1),'현황'!O:S,3,false),0)</f>
        <v>0</v>
      </c>
      <c r="E2220" s="66"/>
      <c r="F2220" s="52" t="s">
        <v>37</v>
      </c>
      <c r="G2220" s="67"/>
      <c r="H2220" s="80"/>
      <c r="I2220" s="69"/>
      <c r="J2220" s="72"/>
      <c r="K2220" s="73"/>
      <c r="L2220" s="72"/>
      <c r="M2220" s="73"/>
      <c r="N2220" s="72"/>
      <c r="O2220" s="73"/>
      <c r="P2220" s="72"/>
      <c r="Q2220" s="73"/>
      <c r="R2220" s="72"/>
      <c r="S2220" s="73"/>
      <c r="T2220" s="72"/>
      <c r="U2220" s="73"/>
      <c r="V2220" s="72"/>
      <c r="W2220" s="73"/>
      <c r="X2220" s="72"/>
      <c r="Y2220" s="73"/>
      <c r="Z2220" s="74" t="b">
        <v>0</v>
      </c>
      <c r="AA2220" s="130">
        <f t="shared" si="883"/>
        <v>0</v>
      </c>
      <c r="AB2220" s="131">
        <f t="shared" si="884"/>
        <v>0</v>
      </c>
      <c r="AC2220" s="132">
        <f t="shared" si="885"/>
        <v>0</v>
      </c>
      <c r="AD2220" s="133">
        <f t="shared" si="886"/>
        <v>0</v>
      </c>
      <c r="AE2220" s="131">
        <f t="shared" si="887"/>
        <v>0</v>
      </c>
      <c r="AF2220" s="133">
        <f t="shared" si="888"/>
        <v>0</v>
      </c>
      <c r="AG2220" s="1"/>
    </row>
    <row r="2221" ht="21.0" customHeight="1">
      <c r="A2221" s="1"/>
      <c r="B2221" s="48" t="s">
        <v>47</v>
      </c>
      <c r="C2221" s="49"/>
      <c r="D2221" s="91">
        <f t="array" ref="D2221">iferror(vlookup(xlookup(B2210,'현황'!O:O,'현황'!O:O,,-1,-1),'현황'!O:S,4,false),0)</f>
        <v>0</v>
      </c>
      <c r="E2221" s="41"/>
      <c r="F2221" s="92" t="s">
        <v>40</v>
      </c>
      <c r="G2221" s="79"/>
      <c r="H2221" s="93"/>
      <c r="I2221" s="94"/>
      <c r="J2221" s="95"/>
      <c r="K2221" s="96"/>
      <c r="L2221" s="95"/>
      <c r="M2221" s="96"/>
      <c r="N2221" s="95"/>
      <c r="O2221" s="96"/>
      <c r="P2221" s="95"/>
      <c r="Q2221" s="96"/>
      <c r="R2221" s="95"/>
      <c r="S2221" s="96"/>
      <c r="T2221" s="95"/>
      <c r="U2221" s="96"/>
      <c r="V2221" s="95"/>
      <c r="W2221" s="96"/>
      <c r="X2221" s="95"/>
      <c r="Y2221" s="96"/>
      <c r="Z2221" s="97" t="b">
        <v>0</v>
      </c>
      <c r="AA2221" s="135">
        <f t="shared" si="883"/>
        <v>0</v>
      </c>
      <c r="AB2221" s="136">
        <f t="shared" si="884"/>
        <v>0</v>
      </c>
      <c r="AC2221" s="137">
        <f t="shared" si="885"/>
        <v>0</v>
      </c>
      <c r="AD2221" s="138">
        <f t="shared" si="886"/>
        <v>0</v>
      </c>
      <c r="AE2221" s="136">
        <f t="shared" si="887"/>
        <v>0</v>
      </c>
      <c r="AF2221" s="138">
        <f t="shared" si="888"/>
        <v>0</v>
      </c>
      <c r="AG2221" s="1"/>
    </row>
    <row r="2222" ht="21.0" customHeight="1">
      <c r="A2222" s="1"/>
      <c r="B2222" s="102" t="s">
        <v>48</v>
      </c>
      <c r="C2222" s="103"/>
      <c r="D2222" s="104">
        <f>iferror(D2221/D2219,0)</f>
        <v>0</v>
      </c>
      <c r="E2222" s="102" t="s">
        <v>49</v>
      </c>
      <c r="F2222" s="103"/>
      <c r="G2222" s="105"/>
      <c r="H2222" s="143" t="s">
        <v>50</v>
      </c>
      <c r="I2222" s="144"/>
      <c r="J2222" s="11"/>
      <c r="K2222" s="11"/>
      <c r="L2222" s="11"/>
      <c r="M2222" s="11"/>
      <c r="N2222" s="11"/>
      <c r="O2222" s="11"/>
      <c r="P2222" s="145" t="s">
        <v>51</v>
      </c>
      <c r="Q2222" s="12"/>
      <c r="R2222" s="146"/>
      <c r="S2222" s="11"/>
      <c r="T2222" s="11"/>
      <c r="U2222" s="11"/>
      <c r="V2222" s="11"/>
      <c r="W2222" s="11"/>
      <c r="X2222" s="11"/>
      <c r="Y2222" s="11"/>
      <c r="Z2222" s="12"/>
      <c r="AA2222" s="139">
        <f>SUM(AA2213:AA2221)</f>
        <v>0</v>
      </c>
      <c r="AB2222" s="140" t="s">
        <v>393</v>
      </c>
      <c r="AG2222" s="1"/>
    </row>
    <row r="2223" ht="21.0" customHeight="1">
      <c r="A2223" s="1"/>
      <c r="B2223" s="1"/>
      <c r="C2223" s="1"/>
      <c r="D2223" s="1"/>
      <c r="E2223" s="1"/>
      <c r="F2223" s="1"/>
      <c r="G2223" s="1"/>
      <c r="H2223" s="1"/>
      <c r="I2223" s="1"/>
      <c r="AA2223" s="1"/>
      <c r="AB2223" s="1"/>
      <c r="AC2223" s="3"/>
      <c r="AD2223" s="1"/>
      <c r="AE2223" s="1"/>
      <c r="AF2223" s="1"/>
      <c r="AG2223" s="1"/>
    </row>
    <row r="2224" ht="21.0" customHeight="1">
      <c r="A2224" s="1"/>
      <c r="B2224" s="4" t="s">
        <v>1</v>
      </c>
      <c r="C2224" s="5"/>
      <c r="D2224" s="6" t="s">
        <v>2</v>
      </c>
      <c r="E2224" s="7"/>
      <c r="F2224" s="7"/>
      <c r="G2224" s="5"/>
      <c r="H2224" s="8" t="s">
        <v>3</v>
      </c>
      <c r="I2224" s="8" t="s">
        <v>4</v>
      </c>
      <c r="J2224" s="9" t="s">
        <v>5</v>
      </c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5"/>
      <c r="AA2224" s="117" t="s">
        <v>6</v>
      </c>
      <c r="AB2224" s="11"/>
      <c r="AC2224" s="11"/>
      <c r="AD2224" s="11"/>
      <c r="AE2224" s="11"/>
      <c r="AF2224" s="12"/>
      <c r="AG2224" s="1"/>
    </row>
    <row r="2225" ht="21.0" customHeight="1">
      <c r="A2225" s="1"/>
      <c r="B2225" s="149" t="s">
        <v>138</v>
      </c>
      <c r="C2225" s="14" t="str">
        <f>if(B2225="0/0","",choose(weekday(B2225),"(일)","(월)","(화)","(수)","(목)","(금)","(토)"))</f>
        <v/>
      </c>
      <c r="D2225" s="15" t="s">
        <v>7</v>
      </c>
      <c r="E2225" s="16" t="s">
        <v>8</v>
      </c>
      <c r="F2225" s="17"/>
      <c r="G2225" s="18" t="s">
        <v>9</v>
      </c>
      <c r="H2225" s="150" t="s">
        <v>139</v>
      </c>
      <c r="I2225" s="151"/>
      <c r="J2225" s="21" t="s">
        <v>12</v>
      </c>
      <c r="K2225" s="22"/>
      <c r="L2225" s="21" t="s">
        <v>13</v>
      </c>
      <c r="M2225" s="22"/>
      <c r="N2225" s="21" t="s">
        <v>14</v>
      </c>
      <c r="O2225" s="22"/>
      <c r="P2225" s="21" t="s">
        <v>15</v>
      </c>
      <c r="Q2225" s="22"/>
      <c r="R2225" s="23" t="s">
        <v>16</v>
      </c>
      <c r="S2225" s="22"/>
      <c r="T2225" s="23" t="s">
        <v>17</v>
      </c>
      <c r="U2225" s="22"/>
      <c r="V2225" s="23" t="s">
        <v>18</v>
      </c>
      <c r="W2225" s="22"/>
      <c r="X2225" s="23" t="s">
        <v>19</v>
      </c>
      <c r="Y2225" s="22"/>
      <c r="Z2225" s="24" t="s">
        <v>394</v>
      </c>
      <c r="AA2225" s="118" t="s">
        <v>21</v>
      </c>
      <c r="AB2225" s="119" t="s">
        <v>22</v>
      </c>
      <c r="AC2225" s="7"/>
      <c r="AD2225" s="22"/>
      <c r="AE2225" s="120" t="s">
        <v>23</v>
      </c>
      <c r="AF2225" s="22"/>
      <c r="AG2225" s="1"/>
    </row>
    <row r="2226" ht="21.0" customHeight="1">
      <c r="A2226" s="1"/>
      <c r="B2226" s="27">
        <f>iferror(B2225-'현황'!$C$4+1,0)</f>
        <v>0</v>
      </c>
      <c r="C2226" s="28"/>
      <c r="D2226" s="29">
        <v>0.0</v>
      </c>
      <c r="E2226" s="30">
        <v>0.0</v>
      </c>
      <c r="F2226" s="31"/>
      <c r="G2226" s="32">
        <v>0.0</v>
      </c>
      <c r="H2226" s="33">
        <v>0.0</v>
      </c>
      <c r="I2226" s="34"/>
      <c r="J2226" s="35"/>
      <c r="K2226" s="36"/>
      <c r="L2226" s="35"/>
      <c r="M2226" s="36"/>
      <c r="N2226" s="35"/>
      <c r="O2226" s="36"/>
      <c r="P2226" s="35"/>
      <c r="Q2226" s="36"/>
      <c r="R2226" s="35"/>
      <c r="S2226" s="36"/>
      <c r="T2226" s="35"/>
      <c r="U2226" s="36"/>
      <c r="V2226" s="35"/>
      <c r="W2226" s="36"/>
      <c r="X2226" s="35"/>
      <c r="Y2226" s="36"/>
      <c r="Z2226" s="37"/>
      <c r="AA2226" s="37"/>
      <c r="AB2226" s="35"/>
      <c r="AC2226" s="38"/>
      <c r="AD2226" s="36"/>
      <c r="AE2226" s="35"/>
      <c r="AF2226" s="36"/>
      <c r="AG2226" s="1"/>
    </row>
    <row r="2227" ht="21.0" customHeight="1">
      <c r="A2227" s="1"/>
      <c r="B2227" s="39" t="s">
        <v>24</v>
      </c>
      <c r="C2227" s="40"/>
      <c r="D2227" s="41"/>
      <c r="E2227" s="42" t="s">
        <v>25</v>
      </c>
      <c r="F2227" s="40"/>
      <c r="G2227" s="41"/>
      <c r="H2227" s="43" t="s">
        <v>26</v>
      </c>
      <c r="J2227" s="44" t="s">
        <v>27</v>
      </c>
      <c r="K2227" s="45" t="s">
        <v>28</v>
      </c>
      <c r="L2227" s="44" t="s">
        <v>27</v>
      </c>
      <c r="M2227" s="45" t="s">
        <v>28</v>
      </c>
      <c r="N2227" s="44" t="s">
        <v>27</v>
      </c>
      <c r="O2227" s="45" t="s">
        <v>28</v>
      </c>
      <c r="P2227" s="44" t="s">
        <v>27</v>
      </c>
      <c r="Q2227" s="45" t="s">
        <v>28</v>
      </c>
      <c r="R2227" s="44" t="s">
        <v>27</v>
      </c>
      <c r="S2227" s="45" t="s">
        <v>28</v>
      </c>
      <c r="T2227" s="44" t="s">
        <v>27</v>
      </c>
      <c r="U2227" s="45" t="s">
        <v>28</v>
      </c>
      <c r="V2227" s="44" t="s">
        <v>27</v>
      </c>
      <c r="W2227" s="45" t="s">
        <v>28</v>
      </c>
      <c r="X2227" s="44" t="s">
        <v>27</v>
      </c>
      <c r="Y2227" s="45" t="s">
        <v>28</v>
      </c>
      <c r="Z2227" s="46"/>
      <c r="AA2227" s="46"/>
      <c r="AB2227" s="121" t="s">
        <v>29</v>
      </c>
      <c r="AC2227" s="122" t="s">
        <v>30</v>
      </c>
      <c r="AD2227" s="123" t="s">
        <v>31</v>
      </c>
      <c r="AE2227" s="121" t="s">
        <v>27</v>
      </c>
      <c r="AF2227" s="123" t="s">
        <v>28</v>
      </c>
      <c r="AG2227" s="1"/>
    </row>
    <row r="2228" ht="21.0" customHeight="1">
      <c r="A2228" s="1"/>
      <c r="B2228" s="48" t="s">
        <v>32</v>
      </c>
      <c r="C2228" s="49"/>
      <c r="D2228" s="50"/>
      <c r="E2228" s="51" t="s">
        <v>33</v>
      </c>
      <c r="F2228" s="52" t="s">
        <v>34</v>
      </c>
      <c r="G2228" s="53"/>
      <c r="H2228" s="148"/>
      <c r="I2228" s="55"/>
      <c r="J2228" s="58"/>
      <c r="K2228" s="59"/>
      <c r="L2228" s="58"/>
      <c r="M2228" s="59"/>
      <c r="N2228" s="58"/>
      <c r="O2228" s="59"/>
      <c r="P2228" s="58"/>
      <c r="Q2228" s="59"/>
      <c r="R2228" s="58"/>
      <c r="S2228" s="59"/>
      <c r="T2228" s="58"/>
      <c r="U2228" s="59"/>
      <c r="V2228" s="58"/>
      <c r="W2228" s="59"/>
      <c r="X2228" s="58"/>
      <c r="Y2228" s="59"/>
      <c r="Z2228" s="60" t="b">
        <v>0</v>
      </c>
      <c r="AA2228" s="125">
        <f t="shared" ref="AA2228:AA2236" si="889">(J2228*K2228+L2228*M2228+N2228*O2228+P2228*Q2228+R2228*S2228+T2228*U2228+V2228*W2228+X2228*Y2228)*if(Z2228=true,0.453592,1)</f>
        <v>0</v>
      </c>
      <c r="AB2228" s="126">
        <f t="shared" ref="AB2228:AB2236" si="890">SUM(AE2228*AF2228*0.025,AE2228)</f>
        <v>0</v>
      </c>
      <c r="AC2228" s="127">
        <f t="shared" ref="AC2228:AC2236" si="891">AB2228*87%</f>
        <v>0</v>
      </c>
      <c r="AD2228" s="128">
        <f t="shared" ref="AD2228:AD2236" si="892">AB2228*67%</f>
        <v>0</v>
      </c>
      <c r="AE2228" s="126">
        <f t="shared" ref="AE2228:AE2236" si="893">MAX(J2228,L2228,N2228,P2228,R2228,T2228,V2228,X2228)*if(Z2228=true,0.453592,1)</f>
        <v>0</v>
      </c>
      <c r="AF2228" s="128">
        <f t="shared" ref="AF2228:AF2236" si="894">MAX(IF(J2228*if(Z2228=true,0.453592,1)=$AE2228,K2228,0),IF(L2228*if(Z2228=true,0.453592,1)=$AE2228,M2228,0),IF(N2228*if(Z2228=true,0.453592,1)=$AE2228,O2228,0),IF(P2228*if(Z2228=true,0.453592,1)=$AE2228,Q2228,0),IF(R2228*if(Z2228=true,0.453592,1)=$AE2228,S2228,0),IF(T2228*if(Z2228=true,0.453592,1)=$AE2228,U2228,0),IF(V2228*if(Z2228=true,0.453592,1)=$AE2228,W2228,0),IF(X2228*if(Z2228=true,0.453592,1)=$AE2228,Y2228,0))</f>
        <v>0</v>
      </c>
      <c r="AG2228" s="1"/>
    </row>
    <row r="2229" ht="21.0" customHeight="1">
      <c r="A2229" s="1"/>
      <c r="B2229" s="48" t="s">
        <v>36</v>
      </c>
      <c r="C2229" s="49"/>
      <c r="D2229" s="65"/>
      <c r="E2229" s="66"/>
      <c r="F2229" s="52" t="s">
        <v>37</v>
      </c>
      <c r="G2229" s="67"/>
      <c r="H2229" s="129"/>
      <c r="I2229" s="69"/>
      <c r="J2229" s="72"/>
      <c r="K2229" s="73"/>
      <c r="L2229" s="72"/>
      <c r="M2229" s="73"/>
      <c r="N2229" s="72"/>
      <c r="O2229" s="73"/>
      <c r="P2229" s="72"/>
      <c r="Q2229" s="73"/>
      <c r="R2229" s="72"/>
      <c r="S2229" s="73"/>
      <c r="T2229" s="72"/>
      <c r="U2229" s="73"/>
      <c r="V2229" s="72"/>
      <c r="W2229" s="73"/>
      <c r="X2229" s="72"/>
      <c r="Y2229" s="73"/>
      <c r="Z2229" s="74" t="b">
        <v>0</v>
      </c>
      <c r="AA2229" s="130">
        <f t="shared" si="889"/>
        <v>0</v>
      </c>
      <c r="AB2229" s="131">
        <f t="shared" si="890"/>
        <v>0</v>
      </c>
      <c r="AC2229" s="132">
        <f t="shared" si="891"/>
        <v>0</v>
      </c>
      <c r="AD2229" s="133">
        <f t="shared" si="892"/>
        <v>0</v>
      </c>
      <c r="AE2229" s="131">
        <f t="shared" si="893"/>
        <v>0</v>
      </c>
      <c r="AF2229" s="133">
        <f t="shared" si="894"/>
        <v>0</v>
      </c>
      <c r="AG2229" s="1"/>
    </row>
    <row r="2230" ht="21.0" customHeight="1">
      <c r="A2230" s="1"/>
      <c r="B2230" s="48" t="s">
        <v>39</v>
      </c>
      <c r="C2230" s="49"/>
      <c r="D2230" s="65"/>
      <c r="E2230" s="41"/>
      <c r="F2230" s="52" t="s">
        <v>40</v>
      </c>
      <c r="G2230" s="79"/>
      <c r="H2230" s="80"/>
      <c r="I2230" s="69"/>
      <c r="J2230" s="72"/>
      <c r="K2230" s="73"/>
      <c r="L2230" s="72"/>
      <c r="M2230" s="73"/>
      <c r="N2230" s="72"/>
      <c r="O2230" s="73"/>
      <c r="P2230" s="72"/>
      <c r="Q2230" s="73"/>
      <c r="R2230" s="72"/>
      <c r="S2230" s="73"/>
      <c r="T2230" s="72"/>
      <c r="U2230" s="73"/>
      <c r="V2230" s="72"/>
      <c r="W2230" s="73"/>
      <c r="X2230" s="72"/>
      <c r="Y2230" s="73"/>
      <c r="Z2230" s="74" t="b">
        <v>0</v>
      </c>
      <c r="AA2230" s="130">
        <f t="shared" si="889"/>
        <v>0</v>
      </c>
      <c r="AB2230" s="131">
        <f t="shared" si="890"/>
        <v>0</v>
      </c>
      <c r="AC2230" s="132">
        <f t="shared" si="891"/>
        <v>0</v>
      </c>
      <c r="AD2230" s="133">
        <f t="shared" si="892"/>
        <v>0</v>
      </c>
      <c r="AE2230" s="131">
        <f t="shared" si="893"/>
        <v>0</v>
      </c>
      <c r="AF2230" s="133">
        <f t="shared" si="894"/>
        <v>0</v>
      </c>
      <c r="AG2230" s="1"/>
    </row>
    <row r="2231" ht="21.0" customHeight="1">
      <c r="A2231" s="1"/>
      <c r="B2231" s="48" t="s">
        <v>41</v>
      </c>
      <c r="C2231" s="81"/>
      <c r="D2231" s="82" t="b">
        <v>0</v>
      </c>
      <c r="E2231" s="51" t="s">
        <v>42</v>
      </c>
      <c r="F2231" s="52" t="s">
        <v>34</v>
      </c>
      <c r="G2231" s="83"/>
      <c r="H2231" s="84"/>
      <c r="I2231" s="85"/>
      <c r="J2231" s="72"/>
      <c r="K2231" s="73"/>
      <c r="L2231" s="72"/>
      <c r="M2231" s="73"/>
      <c r="N2231" s="72"/>
      <c r="O2231" s="73"/>
      <c r="P2231" s="72"/>
      <c r="Q2231" s="73"/>
      <c r="R2231" s="72"/>
      <c r="S2231" s="73"/>
      <c r="T2231" s="72"/>
      <c r="U2231" s="73"/>
      <c r="V2231" s="72"/>
      <c r="W2231" s="73"/>
      <c r="X2231" s="72"/>
      <c r="Y2231" s="73"/>
      <c r="Z2231" s="74" t="b">
        <v>0</v>
      </c>
      <c r="AA2231" s="130">
        <f t="shared" si="889"/>
        <v>0</v>
      </c>
      <c r="AB2231" s="131">
        <f t="shared" si="890"/>
        <v>0</v>
      </c>
      <c r="AC2231" s="132">
        <f t="shared" si="891"/>
        <v>0</v>
      </c>
      <c r="AD2231" s="133">
        <f t="shared" si="892"/>
        <v>0</v>
      </c>
      <c r="AE2231" s="131">
        <f t="shared" si="893"/>
        <v>0</v>
      </c>
      <c r="AF2231" s="133">
        <f t="shared" si="894"/>
        <v>0</v>
      </c>
      <c r="AG2231" s="1"/>
    </row>
    <row r="2232" ht="21.0" customHeight="1">
      <c r="A2232" s="1"/>
      <c r="B2232" s="48" t="s">
        <v>43</v>
      </c>
      <c r="C2232" s="49"/>
      <c r="D2232" s="86" t="b">
        <v>0</v>
      </c>
      <c r="E2232" s="66"/>
      <c r="F2232" s="52" t="s">
        <v>37</v>
      </c>
      <c r="G2232" s="67"/>
      <c r="H2232" s="80"/>
      <c r="I2232" s="69"/>
      <c r="J2232" s="72"/>
      <c r="K2232" s="73"/>
      <c r="L2232" s="72"/>
      <c r="M2232" s="73"/>
      <c r="N2232" s="72"/>
      <c r="O2232" s="73"/>
      <c r="P2232" s="72"/>
      <c r="Q2232" s="73"/>
      <c r="R2232" s="72"/>
      <c r="S2232" s="73"/>
      <c r="T2232" s="72"/>
      <c r="U2232" s="73"/>
      <c r="V2232" s="72"/>
      <c r="W2232" s="73"/>
      <c r="X2232" s="72"/>
      <c r="Y2232" s="73"/>
      <c r="Z2232" s="74" t="b">
        <v>0</v>
      </c>
      <c r="AA2232" s="130">
        <f t="shared" si="889"/>
        <v>0</v>
      </c>
      <c r="AB2232" s="131">
        <f t="shared" si="890"/>
        <v>0</v>
      </c>
      <c r="AC2232" s="132">
        <f t="shared" si="891"/>
        <v>0</v>
      </c>
      <c r="AD2232" s="133">
        <f t="shared" si="892"/>
        <v>0</v>
      </c>
      <c r="AE2232" s="131">
        <f t="shared" si="893"/>
        <v>0</v>
      </c>
      <c r="AF2232" s="133">
        <f t="shared" si="894"/>
        <v>0</v>
      </c>
      <c r="AG2232" s="1"/>
    </row>
    <row r="2233" ht="21.0" customHeight="1">
      <c r="A2233" s="1"/>
      <c r="B2233" s="87" t="str">
        <f t="array" ref="B2233">"📌최근 인바디 결과 : "&amp;text(xlookup(B2225,'현황'!O:O,'현황'!O:O,,-1,-1),"m/d(ddd)")</f>
        <v>#REF!</v>
      </c>
      <c r="C2233" s="88"/>
      <c r="D2233" s="49"/>
      <c r="E2233" s="41"/>
      <c r="F2233" s="52" t="s">
        <v>40</v>
      </c>
      <c r="G2233" s="79"/>
      <c r="H2233" s="80"/>
      <c r="I2233" s="69"/>
      <c r="J2233" s="72"/>
      <c r="K2233" s="73"/>
      <c r="L2233" s="72"/>
      <c r="M2233" s="73"/>
      <c r="N2233" s="72"/>
      <c r="O2233" s="73"/>
      <c r="P2233" s="72"/>
      <c r="Q2233" s="73"/>
      <c r="R2233" s="72"/>
      <c r="S2233" s="73"/>
      <c r="T2233" s="72"/>
      <c r="U2233" s="73"/>
      <c r="V2233" s="72"/>
      <c r="W2233" s="73"/>
      <c r="X2233" s="72"/>
      <c r="Y2233" s="73"/>
      <c r="Z2233" s="74" t="b">
        <v>0</v>
      </c>
      <c r="AA2233" s="130">
        <f t="shared" si="889"/>
        <v>0</v>
      </c>
      <c r="AB2233" s="131">
        <f t="shared" si="890"/>
        <v>0</v>
      </c>
      <c r="AC2233" s="132">
        <f t="shared" si="891"/>
        <v>0</v>
      </c>
      <c r="AD2233" s="133">
        <f t="shared" si="892"/>
        <v>0</v>
      </c>
      <c r="AE2233" s="131">
        <f t="shared" si="893"/>
        <v>0</v>
      </c>
      <c r="AF2233" s="133">
        <f t="shared" si="894"/>
        <v>0</v>
      </c>
      <c r="AG2233" s="1"/>
    </row>
    <row r="2234" ht="21.0" customHeight="1">
      <c r="A2234" s="1"/>
      <c r="B2234" s="89" t="s">
        <v>44</v>
      </c>
      <c r="C2234" s="49"/>
      <c r="D2234" s="90">
        <f t="array" ref="D2234">iferror(vlookup(xlookup(B2225,'현황'!O:O,'현황'!O:O,,-1,-1),'현황'!O:S,2,false),0)</f>
        <v>0</v>
      </c>
      <c r="E2234" s="51" t="s">
        <v>45</v>
      </c>
      <c r="F2234" s="52" t="s">
        <v>34</v>
      </c>
      <c r="G2234" s="83"/>
      <c r="H2234" s="84"/>
      <c r="I2234" s="85"/>
      <c r="J2234" s="72"/>
      <c r="K2234" s="73"/>
      <c r="L2234" s="72"/>
      <c r="M2234" s="73"/>
      <c r="N2234" s="72"/>
      <c r="O2234" s="73"/>
      <c r="P2234" s="72"/>
      <c r="Q2234" s="73"/>
      <c r="R2234" s="72"/>
      <c r="S2234" s="73"/>
      <c r="T2234" s="72"/>
      <c r="U2234" s="73"/>
      <c r="V2234" s="72"/>
      <c r="W2234" s="73"/>
      <c r="X2234" s="72"/>
      <c r="Y2234" s="73"/>
      <c r="Z2234" s="74" t="b">
        <v>0</v>
      </c>
      <c r="AA2234" s="130">
        <f t="shared" si="889"/>
        <v>0</v>
      </c>
      <c r="AB2234" s="131">
        <f t="shared" si="890"/>
        <v>0</v>
      </c>
      <c r="AC2234" s="132">
        <f t="shared" si="891"/>
        <v>0</v>
      </c>
      <c r="AD2234" s="133">
        <f t="shared" si="892"/>
        <v>0</v>
      </c>
      <c r="AE2234" s="131">
        <f t="shared" si="893"/>
        <v>0</v>
      </c>
      <c r="AF2234" s="133">
        <f t="shared" si="894"/>
        <v>0</v>
      </c>
      <c r="AG2234" s="1"/>
    </row>
    <row r="2235" ht="21.0" customHeight="1">
      <c r="A2235" s="1"/>
      <c r="B2235" s="48" t="s">
        <v>46</v>
      </c>
      <c r="C2235" s="49"/>
      <c r="D2235" s="91">
        <f t="array" ref="D2235">iferror(vlookup(xlookup(B2225,'현황'!O:O,'현황'!O:O,,-1,-1),'현황'!O:S,3,false),0)</f>
        <v>0</v>
      </c>
      <c r="E2235" s="66"/>
      <c r="F2235" s="52" t="s">
        <v>37</v>
      </c>
      <c r="G2235" s="67"/>
      <c r="H2235" s="80"/>
      <c r="I2235" s="69"/>
      <c r="J2235" s="72"/>
      <c r="K2235" s="73"/>
      <c r="L2235" s="72"/>
      <c r="M2235" s="73"/>
      <c r="N2235" s="72"/>
      <c r="O2235" s="73"/>
      <c r="P2235" s="72"/>
      <c r="Q2235" s="73"/>
      <c r="R2235" s="72"/>
      <c r="S2235" s="73"/>
      <c r="T2235" s="72"/>
      <c r="U2235" s="73"/>
      <c r="V2235" s="72"/>
      <c r="W2235" s="73"/>
      <c r="X2235" s="72"/>
      <c r="Y2235" s="73"/>
      <c r="Z2235" s="74" t="b">
        <v>0</v>
      </c>
      <c r="AA2235" s="130">
        <f t="shared" si="889"/>
        <v>0</v>
      </c>
      <c r="AB2235" s="131">
        <f t="shared" si="890"/>
        <v>0</v>
      </c>
      <c r="AC2235" s="132">
        <f t="shared" si="891"/>
        <v>0</v>
      </c>
      <c r="AD2235" s="133">
        <f t="shared" si="892"/>
        <v>0</v>
      </c>
      <c r="AE2235" s="131">
        <f t="shared" si="893"/>
        <v>0</v>
      </c>
      <c r="AF2235" s="133">
        <f t="shared" si="894"/>
        <v>0</v>
      </c>
      <c r="AG2235" s="1"/>
    </row>
    <row r="2236" ht="21.0" customHeight="1">
      <c r="A2236" s="1"/>
      <c r="B2236" s="48" t="s">
        <v>47</v>
      </c>
      <c r="C2236" s="49"/>
      <c r="D2236" s="91">
        <f t="array" ref="D2236">iferror(vlookup(xlookup(B2225,'현황'!O:O,'현황'!O:O,,-1,-1),'현황'!O:S,4,false),0)</f>
        <v>0</v>
      </c>
      <c r="E2236" s="41"/>
      <c r="F2236" s="92" t="s">
        <v>40</v>
      </c>
      <c r="G2236" s="79"/>
      <c r="H2236" s="93"/>
      <c r="I2236" s="94"/>
      <c r="J2236" s="95"/>
      <c r="K2236" s="96"/>
      <c r="L2236" s="95"/>
      <c r="M2236" s="96"/>
      <c r="N2236" s="95"/>
      <c r="O2236" s="96"/>
      <c r="P2236" s="95"/>
      <c r="Q2236" s="96"/>
      <c r="R2236" s="95"/>
      <c r="S2236" s="96"/>
      <c r="T2236" s="95"/>
      <c r="U2236" s="96"/>
      <c r="V2236" s="95"/>
      <c r="W2236" s="96"/>
      <c r="X2236" s="95"/>
      <c r="Y2236" s="96"/>
      <c r="Z2236" s="97" t="b">
        <v>0</v>
      </c>
      <c r="AA2236" s="135">
        <f t="shared" si="889"/>
        <v>0</v>
      </c>
      <c r="AB2236" s="136">
        <f t="shared" si="890"/>
        <v>0</v>
      </c>
      <c r="AC2236" s="137">
        <f t="shared" si="891"/>
        <v>0</v>
      </c>
      <c r="AD2236" s="138">
        <f t="shared" si="892"/>
        <v>0</v>
      </c>
      <c r="AE2236" s="136">
        <f t="shared" si="893"/>
        <v>0</v>
      </c>
      <c r="AF2236" s="138">
        <f t="shared" si="894"/>
        <v>0</v>
      </c>
      <c r="AG2236" s="1"/>
    </row>
    <row r="2237" ht="21.0" customHeight="1">
      <c r="A2237" s="1"/>
      <c r="B2237" s="102" t="s">
        <v>48</v>
      </c>
      <c r="C2237" s="103"/>
      <c r="D2237" s="104">
        <f>iferror(D2236/D2234,0)</f>
        <v>0</v>
      </c>
      <c r="E2237" s="102" t="s">
        <v>49</v>
      </c>
      <c r="F2237" s="103"/>
      <c r="G2237" s="105"/>
      <c r="H2237" s="106" t="s">
        <v>50</v>
      </c>
      <c r="I2237" s="107"/>
      <c r="J2237" s="11"/>
      <c r="K2237" s="11"/>
      <c r="L2237" s="11"/>
      <c r="M2237" s="11"/>
      <c r="N2237" s="11"/>
      <c r="O2237" s="11"/>
      <c r="P2237" s="108" t="s">
        <v>51</v>
      </c>
      <c r="Q2237" s="12"/>
      <c r="R2237" s="109"/>
      <c r="S2237" s="11"/>
      <c r="T2237" s="11"/>
      <c r="U2237" s="11"/>
      <c r="V2237" s="11"/>
      <c r="W2237" s="11"/>
      <c r="X2237" s="11"/>
      <c r="Y2237" s="11"/>
      <c r="Z2237" s="12"/>
      <c r="AA2237" s="139">
        <f>SUM(AA2228:AA2236)</f>
        <v>0</v>
      </c>
      <c r="AB2237" s="140" t="s">
        <v>395</v>
      </c>
      <c r="AG2237" s="1"/>
    </row>
    <row r="2238" ht="21.0" customHeight="1">
      <c r="A2238" s="1"/>
      <c r="B2238" s="1"/>
      <c r="C2238" s="1"/>
      <c r="D2238" s="1"/>
      <c r="E2238" s="1"/>
      <c r="F2238" s="1"/>
      <c r="G2238" s="1"/>
      <c r="H2238" s="1"/>
      <c r="I2238" s="1"/>
      <c r="AA2238" s="1"/>
      <c r="AB2238" s="1"/>
      <c r="AC2238" s="3"/>
      <c r="AD2238" s="1"/>
      <c r="AE2238" s="1"/>
      <c r="AF2238" s="1"/>
      <c r="AG2238" s="1"/>
    </row>
    <row r="2239" ht="21.0" customHeight="1">
      <c r="A2239" s="1"/>
      <c r="B2239" s="4" t="s">
        <v>1</v>
      </c>
      <c r="C2239" s="5"/>
      <c r="D2239" s="6" t="s">
        <v>2</v>
      </c>
      <c r="E2239" s="7"/>
      <c r="F2239" s="7"/>
      <c r="G2239" s="5"/>
      <c r="H2239" s="8" t="s">
        <v>3</v>
      </c>
      <c r="I2239" s="8" t="s">
        <v>4</v>
      </c>
      <c r="J2239" s="9" t="s">
        <v>5</v>
      </c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5"/>
      <c r="AA2239" s="117" t="s">
        <v>6</v>
      </c>
      <c r="AB2239" s="11"/>
      <c r="AC2239" s="11"/>
      <c r="AD2239" s="11"/>
      <c r="AE2239" s="11"/>
      <c r="AF2239" s="12"/>
      <c r="AG2239" s="1"/>
    </row>
    <row r="2240" ht="21.0" customHeight="1">
      <c r="A2240" s="1"/>
      <c r="B2240" s="149" t="s">
        <v>138</v>
      </c>
      <c r="C2240" s="14" t="str">
        <f>if(B2240="0/0","",choose(weekday(B2240),"(일)","(월)","(화)","(수)","(목)","(금)","(토)"))</f>
        <v/>
      </c>
      <c r="D2240" s="15" t="s">
        <v>7</v>
      </c>
      <c r="E2240" s="16" t="s">
        <v>8</v>
      </c>
      <c r="F2240" s="17"/>
      <c r="G2240" s="18" t="s">
        <v>9</v>
      </c>
      <c r="H2240" s="150" t="s">
        <v>139</v>
      </c>
      <c r="I2240" s="151"/>
      <c r="J2240" s="21" t="s">
        <v>12</v>
      </c>
      <c r="K2240" s="22"/>
      <c r="L2240" s="21" t="s">
        <v>13</v>
      </c>
      <c r="M2240" s="22"/>
      <c r="N2240" s="21" t="s">
        <v>14</v>
      </c>
      <c r="O2240" s="22"/>
      <c r="P2240" s="21" t="s">
        <v>15</v>
      </c>
      <c r="Q2240" s="22"/>
      <c r="R2240" s="23" t="s">
        <v>16</v>
      </c>
      <c r="S2240" s="22"/>
      <c r="T2240" s="23" t="s">
        <v>17</v>
      </c>
      <c r="U2240" s="22"/>
      <c r="V2240" s="23" t="s">
        <v>18</v>
      </c>
      <c r="W2240" s="22"/>
      <c r="X2240" s="23" t="s">
        <v>19</v>
      </c>
      <c r="Y2240" s="22"/>
      <c r="Z2240" s="24" t="s">
        <v>396</v>
      </c>
      <c r="AA2240" s="118" t="s">
        <v>21</v>
      </c>
      <c r="AB2240" s="119" t="s">
        <v>22</v>
      </c>
      <c r="AC2240" s="7"/>
      <c r="AD2240" s="22"/>
      <c r="AE2240" s="120" t="s">
        <v>23</v>
      </c>
      <c r="AF2240" s="22"/>
      <c r="AG2240" s="1"/>
    </row>
    <row r="2241" ht="21.0" customHeight="1">
      <c r="A2241" s="1"/>
      <c r="B2241" s="27">
        <f>iferror(B2240-'현황'!$C$4+1,0)</f>
        <v>0</v>
      </c>
      <c r="C2241" s="28"/>
      <c r="D2241" s="29">
        <v>0.0</v>
      </c>
      <c r="E2241" s="30">
        <v>0.0</v>
      </c>
      <c r="F2241" s="31"/>
      <c r="G2241" s="32">
        <v>0.0</v>
      </c>
      <c r="H2241" s="33">
        <v>0.0</v>
      </c>
      <c r="I2241" s="34"/>
      <c r="J2241" s="35"/>
      <c r="K2241" s="36"/>
      <c r="L2241" s="35"/>
      <c r="M2241" s="36"/>
      <c r="N2241" s="35"/>
      <c r="O2241" s="36"/>
      <c r="P2241" s="35"/>
      <c r="Q2241" s="36"/>
      <c r="R2241" s="35"/>
      <c r="S2241" s="36"/>
      <c r="T2241" s="35"/>
      <c r="U2241" s="36"/>
      <c r="V2241" s="35"/>
      <c r="W2241" s="36"/>
      <c r="X2241" s="35"/>
      <c r="Y2241" s="36"/>
      <c r="Z2241" s="37"/>
      <c r="AA2241" s="37"/>
      <c r="AB2241" s="35"/>
      <c r="AC2241" s="38"/>
      <c r="AD2241" s="36"/>
      <c r="AE2241" s="35"/>
      <c r="AF2241" s="36"/>
      <c r="AG2241" s="1"/>
    </row>
    <row r="2242" ht="21.0" customHeight="1">
      <c r="A2242" s="1"/>
      <c r="B2242" s="39" t="s">
        <v>24</v>
      </c>
      <c r="C2242" s="40"/>
      <c r="D2242" s="41"/>
      <c r="E2242" s="42" t="s">
        <v>25</v>
      </c>
      <c r="F2242" s="40"/>
      <c r="G2242" s="41"/>
      <c r="H2242" s="43" t="s">
        <v>26</v>
      </c>
      <c r="J2242" s="44" t="s">
        <v>27</v>
      </c>
      <c r="K2242" s="45" t="s">
        <v>28</v>
      </c>
      <c r="L2242" s="44" t="s">
        <v>27</v>
      </c>
      <c r="M2242" s="45" t="s">
        <v>28</v>
      </c>
      <c r="N2242" s="44" t="s">
        <v>27</v>
      </c>
      <c r="O2242" s="45" t="s">
        <v>28</v>
      </c>
      <c r="P2242" s="44" t="s">
        <v>27</v>
      </c>
      <c r="Q2242" s="45" t="s">
        <v>28</v>
      </c>
      <c r="R2242" s="44" t="s">
        <v>27</v>
      </c>
      <c r="S2242" s="45" t="s">
        <v>28</v>
      </c>
      <c r="T2242" s="44" t="s">
        <v>27</v>
      </c>
      <c r="U2242" s="45" t="s">
        <v>28</v>
      </c>
      <c r="V2242" s="44" t="s">
        <v>27</v>
      </c>
      <c r="W2242" s="45" t="s">
        <v>28</v>
      </c>
      <c r="X2242" s="44" t="s">
        <v>27</v>
      </c>
      <c r="Y2242" s="45" t="s">
        <v>28</v>
      </c>
      <c r="Z2242" s="46"/>
      <c r="AA2242" s="46"/>
      <c r="AB2242" s="121" t="s">
        <v>29</v>
      </c>
      <c r="AC2242" s="122" t="s">
        <v>30</v>
      </c>
      <c r="AD2242" s="123" t="s">
        <v>31</v>
      </c>
      <c r="AE2242" s="121" t="s">
        <v>27</v>
      </c>
      <c r="AF2242" s="123" t="s">
        <v>28</v>
      </c>
      <c r="AG2242" s="1"/>
    </row>
    <row r="2243" ht="21.0" customHeight="1">
      <c r="A2243" s="1"/>
      <c r="B2243" s="48" t="s">
        <v>32</v>
      </c>
      <c r="C2243" s="49"/>
      <c r="D2243" s="50"/>
      <c r="E2243" s="51" t="s">
        <v>33</v>
      </c>
      <c r="F2243" s="52" t="s">
        <v>34</v>
      </c>
      <c r="G2243" s="53"/>
      <c r="H2243" s="148"/>
      <c r="I2243" s="55"/>
      <c r="J2243" s="58"/>
      <c r="K2243" s="59"/>
      <c r="L2243" s="58"/>
      <c r="M2243" s="59"/>
      <c r="N2243" s="58"/>
      <c r="O2243" s="59"/>
      <c r="P2243" s="58"/>
      <c r="Q2243" s="59"/>
      <c r="R2243" s="58"/>
      <c r="S2243" s="59"/>
      <c r="T2243" s="58"/>
      <c r="U2243" s="59"/>
      <c r="V2243" s="58"/>
      <c r="W2243" s="59"/>
      <c r="X2243" s="58"/>
      <c r="Y2243" s="59"/>
      <c r="Z2243" s="60" t="b">
        <v>0</v>
      </c>
      <c r="AA2243" s="125">
        <f t="shared" ref="AA2243:AA2251" si="895">(J2243*K2243+L2243*M2243+N2243*O2243+P2243*Q2243+R2243*S2243+T2243*U2243+V2243*W2243+X2243*Y2243)*if(Z2243=true,0.453592,1)</f>
        <v>0</v>
      </c>
      <c r="AB2243" s="126">
        <f t="shared" ref="AB2243:AB2251" si="896">SUM(AE2243*AF2243*0.025,AE2243)</f>
        <v>0</v>
      </c>
      <c r="AC2243" s="127">
        <f t="shared" ref="AC2243:AC2251" si="897">AB2243*87%</f>
        <v>0</v>
      </c>
      <c r="AD2243" s="128">
        <f t="shared" ref="AD2243:AD2251" si="898">AB2243*67%</f>
        <v>0</v>
      </c>
      <c r="AE2243" s="126">
        <f t="shared" ref="AE2243:AE2251" si="899">MAX(J2243,L2243,N2243,P2243,R2243,T2243,V2243,X2243)*if(Z2243=true,0.453592,1)</f>
        <v>0</v>
      </c>
      <c r="AF2243" s="128">
        <f t="shared" ref="AF2243:AF2251" si="900">MAX(IF(J2243*if(Z2243=true,0.453592,1)=$AE2243,K2243,0),IF(L2243*if(Z2243=true,0.453592,1)=$AE2243,M2243,0),IF(N2243*if(Z2243=true,0.453592,1)=$AE2243,O2243,0),IF(P2243*if(Z2243=true,0.453592,1)=$AE2243,Q2243,0),IF(R2243*if(Z2243=true,0.453592,1)=$AE2243,S2243,0),IF(T2243*if(Z2243=true,0.453592,1)=$AE2243,U2243,0),IF(V2243*if(Z2243=true,0.453592,1)=$AE2243,W2243,0),IF(X2243*if(Z2243=true,0.453592,1)=$AE2243,Y2243,0))</f>
        <v>0</v>
      </c>
      <c r="AG2243" s="1"/>
    </row>
    <row r="2244" ht="21.0" customHeight="1">
      <c r="A2244" s="1"/>
      <c r="B2244" s="48" t="s">
        <v>36</v>
      </c>
      <c r="C2244" s="49"/>
      <c r="D2244" s="65"/>
      <c r="E2244" s="66"/>
      <c r="F2244" s="52" t="s">
        <v>37</v>
      </c>
      <c r="G2244" s="67"/>
      <c r="H2244" s="129"/>
      <c r="I2244" s="69"/>
      <c r="J2244" s="72"/>
      <c r="K2244" s="73"/>
      <c r="L2244" s="72"/>
      <c r="M2244" s="73"/>
      <c r="N2244" s="72"/>
      <c r="O2244" s="73"/>
      <c r="P2244" s="72"/>
      <c r="Q2244" s="73"/>
      <c r="R2244" s="72"/>
      <c r="S2244" s="73"/>
      <c r="T2244" s="72"/>
      <c r="U2244" s="73"/>
      <c r="V2244" s="72"/>
      <c r="W2244" s="73"/>
      <c r="X2244" s="72"/>
      <c r="Y2244" s="73"/>
      <c r="Z2244" s="74" t="b">
        <v>0</v>
      </c>
      <c r="AA2244" s="130">
        <f t="shared" si="895"/>
        <v>0</v>
      </c>
      <c r="AB2244" s="131">
        <f t="shared" si="896"/>
        <v>0</v>
      </c>
      <c r="AC2244" s="132">
        <f t="shared" si="897"/>
        <v>0</v>
      </c>
      <c r="AD2244" s="133">
        <f t="shared" si="898"/>
        <v>0</v>
      </c>
      <c r="AE2244" s="131">
        <f t="shared" si="899"/>
        <v>0</v>
      </c>
      <c r="AF2244" s="133">
        <f t="shared" si="900"/>
        <v>0</v>
      </c>
      <c r="AG2244" s="1"/>
    </row>
    <row r="2245" ht="21.0" customHeight="1">
      <c r="A2245" s="1"/>
      <c r="B2245" s="48" t="s">
        <v>39</v>
      </c>
      <c r="C2245" s="49"/>
      <c r="D2245" s="65"/>
      <c r="E2245" s="41"/>
      <c r="F2245" s="52" t="s">
        <v>40</v>
      </c>
      <c r="G2245" s="79"/>
      <c r="H2245" s="80"/>
      <c r="I2245" s="69"/>
      <c r="J2245" s="72"/>
      <c r="K2245" s="73"/>
      <c r="L2245" s="72"/>
      <c r="M2245" s="73"/>
      <c r="N2245" s="72"/>
      <c r="O2245" s="73"/>
      <c r="P2245" s="72"/>
      <c r="Q2245" s="73"/>
      <c r="R2245" s="72"/>
      <c r="S2245" s="73"/>
      <c r="T2245" s="72"/>
      <c r="U2245" s="73"/>
      <c r="V2245" s="72"/>
      <c r="W2245" s="73"/>
      <c r="X2245" s="72"/>
      <c r="Y2245" s="73"/>
      <c r="Z2245" s="74" t="b">
        <v>0</v>
      </c>
      <c r="AA2245" s="130">
        <f t="shared" si="895"/>
        <v>0</v>
      </c>
      <c r="AB2245" s="131">
        <f t="shared" si="896"/>
        <v>0</v>
      </c>
      <c r="AC2245" s="132">
        <f t="shared" si="897"/>
        <v>0</v>
      </c>
      <c r="AD2245" s="133">
        <f t="shared" si="898"/>
        <v>0</v>
      </c>
      <c r="AE2245" s="131">
        <f t="shared" si="899"/>
        <v>0</v>
      </c>
      <c r="AF2245" s="133">
        <f t="shared" si="900"/>
        <v>0</v>
      </c>
      <c r="AG2245" s="1"/>
    </row>
    <row r="2246" ht="21.0" customHeight="1">
      <c r="A2246" s="1"/>
      <c r="B2246" s="48" t="s">
        <v>41</v>
      </c>
      <c r="C2246" s="81"/>
      <c r="D2246" s="82" t="b">
        <v>0</v>
      </c>
      <c r="E2246" s="51" t="s">
        <v>42</v>
      </c>
      <c r="F2246" s="52" t="s">
        <v>34</v>
      </c>
      <c r="G2246" s="83"/>
      <c r="H2246" s="84"/>
      <c r="I2246" s="85"/>
      <c r="J2246" s="72"/>
      <c r="K2246" s="73"/>
      <c r="L2246" s="72"/>
      <c r="M2246" s="73"/>
      <c r="N2246" s="72"/>
      <c r="O2246" s="73"/>
      <c r="P2246" s="72"/>
      <c r="Q2246" s="73"/>
      <c r="R2246" s="72"/>
      <c r="S2246" s="73"/>
      <c r="T2246" s="72"/>
      <c r="U2246" s="73"/>
      <c r="V2246" s="72"/>
      <c r="W2246" s="73"/>
      <c r="X2246" s="72"/>
      <c r="Y2246" s="73"/>
      <c r="Z2246" s="74" t="b">
        <v>0</v>
      </c>
      <c r="AA2246" s="130">
        <f t="shared" si="895"/>
        <v>0</v>
      </c>
      <c r="AB2246" s="131">
        <f t="shared" si="896"/>
        <v>0</v>
      </c>
      <c r="AC2246" s="132">
        <f t="shared" si="897"/>
        <v>0</v>
      </c>
      <c r="AD2246" s="133">
        <f t="shared" si="898"/>
        <v>0</v>
      </c>
      <c r="AE2246" s="131">
        <f t="shared" si="899"/>
        <v>0</v>
      </c>
      <c r="AF2246" s="133">
        <f t="shared" si="900"/>
        <v>0</v>
      </c>
      <c r="AG2246" s="1"/>
    </row>
    <row r="2247" ht="21.0" customHeight="1">
      <c r="A2247" s="1"/>
      <c r="B2247" s="48" t="s">
        <v>43</v>
      </c>
      <c r="C2247" s="49"/>
      <c r="D2247" s="86" t="b">
        <v>0</v>
      </c>
      <c r="E2247" s="66"/>
      <c r="F2247" s="52" t="s">
        <v>37</v>
      </c>
      <c r="G2247" s="67"/>
      <c r="H2247" s="80"/>
      <c r="I2247" s="69"/>
      <c r="J2247" s="72"/>
      <c r="K2247" s="73"/>
      <c r="L2247" s="72"/>
      <c r="M2247" s="73"/>
      <c r="N2247" s="72"/>
      <c r="O2247" s="73"/>
      <c r="P2247" s="72"/>
      <c r="Q2247" s="73"/>
      <c r="R2247" s="72"/>
      <c r="S2247" s="73"/>
      <c r="T2247" s="72"/>
      <c r="U2247" s="73"/>
      <c r="V2247" s="72"/>
      <c r="W2247" s="73"/>
      <c r="X2247" s="72"/>
      <c r="Y2247" s="73"/>
      <c r="Z2247" s="74" t="b">
        <v>0</v>
      </c>
      <c r="AA2247" s="130">
        <f t="shared" si="895"/>
        <v>0</v>
      </c>
      <c r="AB2247" s="131">
        <f t="shared" si="896"/>
        <v>0</v>
      </c>
      <c r="AC2247" s="132">
        <f t="shared" si="897"/>
        <v>0</v>
      </c>
      <c r="AD2247" s="133">
        <f t="shared" si="898"/>
        <v>0</v>
      </c>
      <c r="AE2247" s="131">
        <f t="shared" si="899"/>
        <v>0</v>
      </c>
      <c r="AF2247" s="133">
        <f t="shared" si="900"/>
        <v>0</v>
      </c>
      <c r="AG2247" s="1"/>
    </row>
    <row r="2248" ht="21.0" customHeight="1">
      <c r="A2248" s="1"/>
      <c r="B2248" s="87" t="str">
        <f t="array" ref="B2248">"📌최근 인바디 결과 : "&amp;text(xlookup(B2240,'현황'!O:O,'현황'!O:O,,-1,-1),"m/d(ddd)")</f>
        <v>#REF!</v>
      </c>
      <c r="C2248" s="88"/>
      <c r="D2248" s="49"/>
      <c r="E2248" s="41"/>
      <c r="F2248" s="52" t="s">
        <v>40</v>
      </c>
      <c r="G2248" s="79"/>
      <c r="H2248" s="80"/>
      <c r="I2248" s="69"/>
      <c r="J2248" s="72"/>
      <c r="K2248" s="73"/>
      <c r="L2248" s="72"/>
      <c r="M2248" s="73"/>
      <c r="N2248" s="72"/>
      <c r="O2248" s="73"/>
      <c r="P2248" s="72"/>
      <c r="Q2248" s="73"/>
      <c r="R2248" s="72"/>
      <c r="S2248" s="73"/>
      <c r="T2248" s="72"/>
      <c r="U2248" s="73"/>
      <c r="V2248" s="72"/>
      <c r="W2248" s="73"/>
      <c r="X2248" s="72"/>
      <c r="Y2248" s="73"/>
      <c r="Z2248" s="74" t="b">
        <v>0</v>
      </c>
      <c r="AA2248" s="130">
        <f t="shared" si="895"/>
        <v>0</v>
      </c>
      <c r="AB2248" s="131">
        <f t="shared" si="896"/>
        <v>0</v>
      </c>
      <c r="AC2248" s="132">
        <f t="shared" si="897"/>
        <v>0</v>
      </c>
      <c r="AD2248" s="133">
        <f t="shared" si="898"/>
        <v>0</v>
      </c>
      <c r="AE2248" s="131">
        <f t="shared" si="899"/>
        <v>0</v>
      </c>
      <c r="AF2248" s="133">
        <f t="shared" si="900"/>
        <v>0</v>
      </c>
      <c r="AG2248" s="1"/>
    </row>
    <row r="2249" ht="21.0" customHeight="1">
      <c r="A2249" s="1"/>
      <c r="B2249" s="89" t="s">
        <v>44</v>
      </c>
      <c r="C2249" s="49"/>
      <c r="D2249" s="90">
        <f t="array" ref="D2249">iferror(vlookup(xlookup(B2240,'현황'!O:O,'현황'!O:O,,-1,-1),'현황'!O:S,2,false),0)</f>
        <v>0</v>
      </c>
      <c r="E2249" s="51" t="s">
        <v>45</v>
      </c>
      <c r="F2249" s="52" t="s">
        <v>34</v>
      </c>
      <c r="G2249" s="83"/>
      <c r="H2249" s="84"/>
      <c r="I2249" s="85"/>
      <c r="J2249" s="72"/>
      <c r="K2249" s="73"/>
      <c r="L2249" s="72"/>
      <c r="M2249" s="73"/>
      <c r="N2249" s="72"/>
      <c r="O2249" s="73"/>
      <c r="P2249" s="72"/>
      <c r="Q2249" s="73"/>
      <c r="R2249" s="72"/>
      <c r="S2249" s="73"/>
      <c r="T2249" s="72"/>
      <c r="U2249" s="73"/>
      <c r="V2249" s="72"/>
      <c r="W2249" s="73"/>
      <c r="X2249" s="72"/>
      <c r="Y2249" s="73"/>
      <c r="Z2249" s="74" t="b">
        <v>0</v>
      </c>
      <c r="AA2249" s="130">
        <f t="shared" si="895"/>
        <v>0</v>
      </c>
      <c r="AB2249" s="131">
        <f t="shared" si="896"/>
        <v>0</v>
      </c>
      <c r="AC2249" s="132">
        <f t="shared" si="897"/>
        <v>0</v>
      </c>
      <c r="AD2249" s="133">
        <f t="shared" si="898"/>
        <v>0</v>
      </c>
      <c r="AE2249" s="131">
        <f t="shared" si="899"/>
        <v>0</v>
      </c>
      <c r="AF2249" s="133">
        <f t="shared" si="900"/>
        <v>0</v>
      </c>
      <c r="AG2249" s="1"/>
    </row>
    <row r="2250" ht="21.0" customHeight="1">
      <c r="A2250" s="1"/>
      <c r="B2250" s="48" t="s">
        <v>46</v>
      </c>
      <c r="C2250" s="49"/>
      <c r="D2250" s="91">
        <f t="array" ref="D2250">iferror(vlookup(xlookup(B2240,'현황'!O:O,'현황'!O:O,,-1,-1),'현황'!O:S,3,false),0)</f>
        <v>0</v>
      </c>
      <c r="E2250" s="66"/>
      <c r="F2250" s="52" t="s">
        <v>37</v>
      </c>
      <c r="G2250" s="67"/>
      <c r="H2250" s="80"/>
      <c r="I2250" s="69"/>
      <c r="J2250" s="72"/>
      <c r="K2250" s="73"/>
      <c r="L2250" s="72"/>
      <c r="M2250" s="73"/>
      <c r="N2250" s="72"/>
      <c r="O2250" s="73"/>
      <c r="P2250" s="72"/>
      <c r="Q2250" s="73"/>
      <c r="R2250" s="72"/>
      <c r="S2250" s="73"/>
      <c r="T2250" s="72"/>
      <c r="U2250" s="73"/>
      <c r="V2250" s="72"/>
      <c r="W2250" s="73"/>
      <c r="X2250" s="72"/>
      <c r="Y2250" s="73"/>
      <c r="Z2250" s="74" t="b">
        <v>0</v>
      </c>
      <c r="AA2250" s="130">
        <f t="shared" si="895"/>
        <v>0</v>
      </c>
      <c r="AB2250" s="131">
        <f t="shared" si="896"/>
        <v>0</v>
      </c>
      <c r="AC2250" s="132">
        <f t="shared" si="897"/>
        <v>0</v>
      </c>
      <c r="AD2250" s="133">
        <f t="shared" si="898"/>
        <v>0</v>
      </c>
      <c r="AE2250" s="131">
        <f t="shared" si="899"/>
        <v>0</v>
      </c>
      <c r="AF2250" s="133">
        <f t="shared" si="900"/>
        <v>0</v>
      </c>
      <c r="AG2250" s="1"/>
    </row>
    <row r="2251" ht="21.0" customHeight="1">
      <c r="A2251" s="1"/>
      <c r="B2251" s="48" t="s">
        <v>47</v>
      </c>
      <c r="C2251" s="49"/>
      <c r="D2251" s="91">
        <f t="array" ref="D2251">iferror(vlookup(xlookup(B2240,'현황'!O:O,'현황'!O:O,,-1,-1),'현황'!O:S,4,false),0)</f>
        <v>0</v>
      </c>
      <c r="E2251" s="41"/>
      <c r="F2251" s="92" t="s">
        <v>40</v>
      </c>
      <c r="G2251" s="79"/>
      <c r="H2251" s="93"/>
      <c r="I2251" s="94"/>
      <c r="J2251" s="95"/>
      <c r="K2251" s="96"/>
      <c r="L2251" s="95"/>
      <c r="M2251" s="96"/>
      <c r="N2251" s="95"/>
      <c r="O2251" s="96"/>
      <c r="P2251" s="95"/>
      <c r="Q2251" s="96"/>
      <c r="R2251" s="95"/>
      <c r="S2251" s="96"/>
      <c r="T2251" s="95"/>
      <c r="U2251" s="96"/>
      <c r="V2251" s="95"/>
      <c r="W2251" s="96"/>
      <c r="X2251" s="95"/>
      <c r="Y2251" s="96"/>
      <c r="Z2251" s="97" t="b">
        <v>0</v>
      </c>
      <c r="AA2251" s="135">
        <f t="shared" si="895"/>
        <v>0</v>
      </c>
      <c r="AB2251" s="136">
        <f t="shared" si="896"/>
        <v>0</v>
      </c>
      <c r="AC2251" s="137">
        <f t="shared" si="897"/>
        <v>0</v>
      </c>
      <c r="AD2251" s="138">
        <f t="shared" si="898"/>
        <v>0</v>
      </c>
      <c r="AE2251" s="136">
        <f t="shared" si="899"/>
        <v>0</v>
      </c>
      <c r="AF2251" s="138">
        <f t="shared" si="900"/>
        <v>0</v>
      </c>
      <c r="AG2251" s="1"/>
    </row>
    <row r="2252" ht="21.0" customHeight="1">
      <c r="A2252" s="1"/>
      <c r="B2252" s="102" t="s">
        <v>48</v>
      </c>
      <c r="C2252" s="103"/>
      <c r="D2252" s="104">
        <f>iferror(D2251/D2249,0)</f>
        <v>0</v>
      </c>
      <c r="E2252" s="102" t="s">
        <v>49</v>
      </c>
      <c r="F2252" s="103"/>
      <c r="G2252" s="105"/>
      <c r="H2252" s="106" t="s">
        <v>50</v>
      </c>
      <c r="I2252" s="107"/>
      <c r="J2252" s="11"/>
      <c r="K2252" s="11"/>
      <c r="L2252" s="11"/>
      <c r="M2252" s="11"/>
      <c r="N2252" s="11"/>
      <c r="O2252" s="11"/>
      <c r="P2252" s="108" t="s">
        <v>51</v>
      </c>
      <c r="Q2252" s="12"/>
      <c r="R2252" s="109"/>
      <c r="S2252" s="11"/>
      <c r="T2252" s="11"/>
      <c r="U2252" s="11"/>
      <c r="V2252" s="11"/>
      <c r="W2252" s="11"/>
      <c r="X2252" s="11"/>
      <c r="Y2252" s="11"/>
      <c r="Z2252" s="12"/>
      <c r="AA2252" s="139">
        <f>SUM(AA2243:AA2251)</f>
        <v>0</v>
      </c>
      <c r="AB2252" s="140" t="s">
        <v>397</v>
      </c>
      <c r="AG2252" s="1"/>
    </row>
    <row r="2253" ht="21.0" customHeight="1">
      <c r="A2253" s="1"/>
      <c r="B2253" s="1"/>
      <c r="C2253" s="1"/>
      <c r="D2253" s="1"/>
      <c r="E2253" s="1"/>
      <c r="F2253" s="1"/>
      <c r="G2253" s="1"/>
      <c r="H2253" s="1"/>
      <c r="I2253" s="1"/>
      <c r="AA2253" s="1"/>
      <c r="AB2253" s="1"/>
      <c r="AC2253" s="3"/>
      <c r="AD2253" s="1"/>
      <c r="AE2253" s="1"/>
      <c r="AF2253" s="1"/>
      <c r="AG2253" s="1"/>
    </row>
    <row r="2254" ht="21.0" customHeight="1">
      <c r="A2254" s="1"/>
      <c r="B2254" s="4" t="s">
        <v>1</v>
      </c>
      <c r="C2254" s="5"/>
      <c r="D2254" s="6" t="s">
        <v>2</v>
      </c>
      <c r="E2254" s="7"/>
      <c r="F2254" s="7"/>
      <c r="G2254" s="5"/>
      <c r="H2254" s="8" t="s">
        <v>3</v>
      </c>
      <c r="I2254" s="8" t="s">
        <v>4</v>
      </c>
      <c r="J2254" s="9" t="s">
        <v>5</v>
      </c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5"/>
      <c r="AA2254" s="117" t="s">
        <v>6</v>
      </c>
      <c r="AB2254" s="11"/>
      <c r="AC2254" s="11"/>
      <c r="AD2254" s="11"/>
      <c r="AE2254" s="11"/>
      <c r="AF2254" s="12"/>
      <c r="AG2254" s="1"/>
    </row>
    <row r="2255" ht="21.0" customHeight="1">
      <c r="A2255" s="1"/>
      <c r="B2255" s="149" t="s">
        <v>138</v>
      </c>
      <c r="C2255" s="14" t="str">
        <f>if(B2255="0/0","",choose(weekday(B2255),"(일)","(월)","(화)","(수)","(목)","(금)","(토)"))</f>
        <v/>
      </c>
      <c r="D2255" s="15" t="s">
        <v>7</v>
      </c>
      <c r="E2255" s="16" t="s">
        <v>8</v>
      </c>
      <c r="F2255" s="17"/>
      <c r="G2255" s="18" t="s">
        <v>9</v>
      </c>
      <c r="H2255" s="150" t="s">
        <v>139</v>
      </c>
      <c r="I2255" s="151"/>
      <c r="J2255" s="21" t="s">
        <v>12</v>
      </c>
      <c r="K2255" s="22"/>
      <c r="L2255" s="21" t="s">
        <v>13</v>
      </c>
      <c r="M2255" s="22"/>
      <c r="N2255" s="21" t="s">
        <v>14</v>
      </c>
      <c r="O2255" s="22"/>
      <c r="P2255" s="21" t="s">
        <v>15</v>
      </c>
      <c r="Q2255" s="22"/>
      <c r="R2255" s="23" t="s">
        <v>16</v>
      </c>
      <c r="S2255" s="22"/>
      <c r="T2255" s="23" t="s">
        <v>17</v>
      </c>
      <c r="U2255" s="22"/>
      <c r="V2255" s="23" t="s">
        <v>18</v>
      </c>
      <c r="W2255" s="22"/>
      <c r="X2255" s="23" t="s">
        <v>19</v>
      </c>
      <c r="Y2255" s="22"/>
      <c r="Z2255" s="24" t="s">
        <v>398</v>
      </c>
      <c r="AA2255" s="118" t="s">
        <v>21</v>
      </c>
      <c r="AB2255" s="119" t="s">
        <v>22</v>
      </c>
      <c r="AC2255" s="7"/>
      <c r="AD2255" s="22"/>
      <c r="AE2255" s="120" t="s">
        <v>23</v>
      </c>
      <c r="AF2255" s="22"/>
      <c r="AG2255" s="1"/>
    </row>
    <row r="2256" ht="21.0" customHeight="1">
      <c r="A2256" s="1"/>
      <c r="B2256" s="27">
        <f>iferror(B2255-'현황'!$C$4+1,0)</f>
        <v>0</v>
      </c>
      <c r="C2256" s="28"/>
      <c r="D2256" s="29">
        <v>0.0</v>
      </c>
      <c r="E2256" s="30">
        <v>0.0</v>
      </c>
      <c r="F2256" s="31"/>
      <c r="G2256" s="32">
        <v>0.0</v>
      </c>
      <c r="H2256" s="33">
        <v>0.0</v>
      </c>
      <c r="I2256" s="34"/>
      <c r="J2256" s="35"/>
      <c r="K2256" s="36"/>
      <c r="L2256" s="35"/>
      <c r="M2256" s="36"/>
      <c r="N2256" s="35"/>
      <c r="O2256" s="36"/>
      <c r="P2256" s="35"/>
      <c r="Q2256" s="36"/>
      <c r="R2256" s="35"/>
      <c r="S2256" s="36"/>
      <c r="T2256" s="35"/>
      <c r="U2256" s="36"/>
      <c r="V2256" s="35"/>
      <c r="W2256" s="36"/>
      <c r="X2256" s="35"/>
      <c r="Y2256" s="36"/>
      <c r="Z2256" s="37"/>
      <c r="AA2256" s="37"/>
      <c r="AB2256" s="35"/>
      <c r="AC2256" s="38"/>
      <c r="AD2256" s="36"/>
      <c r="AE2256" s="35"/>
      <c r="AF2256" s="36"/>
      <c r="AG2256" s="1"/>
    </row>
    <row r="2257" ht="21.0" customHeight="1">
      <c r="A2257" s="1"/>
      <c r="B2257" s="39" t="s">
        <v>24</v>
      </c>
      <c r="C2257" s="40"/>
      <c r="D2257" s="41"/>
      <c r="E2257" s="42" t="s">
        <v>25</v>
      </c>
      <c r="F2257" s="40"/>
      <c r="G2257" s="41"/>
      <c r="H2257" s="43" t="s">
        <v>26</v>
      </c>
      <c r="J2257" s="44" t="s">
        <v>27</v>
      </c>
      <c r="K2257" s="45" t="s">
        <v>28</v>
      </c>
      <c r="L2257" s="44" t="s">
        <v>27</v>
      </c>
      <c r="M2257" s="45" t="s">
        <v>28</v>
      </c>
      <c r="N2257" s="44" t="s">
        <v>27</v>
      </c>
      <c r="O2257" s="45" t="s">
        <v>28</v>
      </c>
      <c r="P2257" s="44" t="s">
        <v>27</v>
      </c>
      <c r="Q2257" s="45" t="s">
        <v>28</v>
      </c>
      <c r="R2257" s="44" t="s">
        <v>27</v>
      </c>
      <c r="S2257" s="45" t="s">
        <v>28</v>
      </c>
      <c r="T2257" s="44" t="s">
        <v>27</v>
      </c>
      <c r="U2257" s="45" t="s">
        <v>28</v>
      </c>
      <c r="V2257" s="44" t="s">
        <v>27</v>
      </c>
      <c r="W2257" s="45" t="s">
        <v>28</v>
      </c>
      <c r="X2257" s="44" t="s">
        <v>27</v>
      </c>
      <c r="Y2257" s="45" t="s">
        <v>28</v>
      </c>
      <c r="Z2257" s="46"/>
      <c r="AA2257" s="46"/>
      <c r="AB2257" s="121" t="s">
        <v>29</v>
      </c>
      <c r="AC2257" s="122" t="s">
        <v>30</v>
      </c>
      <c r="AD2257" s="123" t="s">
        <v>31</v>
      </c>
      <c r="AE2257" s="121" t="s">
        <v>27</v>
      </c>
      <c r="AF2257" s="123" t="s">
        <v>28</v>
      </c>
      <c r="AG2257" s="1"/>
    </row>
    <row r="2258" ht="21.0" customHeight="1">
      <c r="A2258" s="1"/>
      <c r="B2258" s="48" t="s">
        <v>32</v>
      </c>
      <c r="C2258" s="49"/>
      <c r="D2258" s="50"/>
      <c r="E2258" s="51" t="s">
        <v>33</v>
      </c>
      <c r="F2258" s="52" t="s">
        <v>34</v>
      </c>
      <c r="G2258" s="53"/>
      <c r="H2258" s="148"/>
      <c r="I2258" s="55"/>
      <c r="J2258" s="58"/>
      <c r="K2258" s="59"/>
      <c r="L2258" s="58"/>
      <c r="M2258" s="59"/>
      <c r="N2258" s="58"/>
      <c r="O2258" s="59"/>
      <c r="P2258" s="58"/>
      <c r="Q2258" s="59"/>
      <c r="R2258" s="58"/>
      <c r="S2258" s="59"/>
      <c r="T2258" s="58"/>
      <c r="U2258" s="59"/>
      <c r="V2258" s="58"/>
      <c r="W2258" s="59"/>
      <c r="X2258" s="58"/>
      <c r="Y2258" s="59"/>
      <c r="Z2258" s="60" t="b">
        <v>0</v>
      </c>
      <c r="AA2258" s="125">
        <f t="shared" ref="AA2258:AA2266" si="901">(J2258*K2258+L2258*M2258+N2258*O2258+P2258*Q2258+R2258*S2258+T2258*U2258+V2258*W2258+X2258*Y2258)*if(Z2258=true,0.453592,1)</f>
        <v>0</v>
      </c>
      <c r="AB2258" s="126">
        <f t="shared" ref="AB2258:AB2266" si="902">SUM(AE2258*AF2258*0.025,AE2258)</f>
        <v>0</v>
      </c>
      <c r="AC2258" s="127">
        <f t="shared" ref="AC2258:AC2266" si="903">AB2258*87%</f>
        <v>0</v>
      </c>
      <c r="AD2258" s="128">
        <f t="shared" ref="AD2258:AD2266" si="904">AB2258*67%</f>
        <v>0</v>
      </c>
      <c r="AE2258" s="126">
        <f t="shared" ref="AE2258:AE2266" si="905">MAX(J2258,L2258,N2258,P2258,R2258,T2258,V2258,X2258)*if(Z2258=true,0.453592,1)</f>
        <v>0</v>
      </c>
      <c r="AF2258" s="128">
        <f t="shared" ref="AF2258:AF2266" si="906">MAX(IF(J2258*if(Z2258=true,0.453592,1)=$AE2258,K2258,0),IF(L2258*if(Z2258=true,0.453592,1)=$AE2258,M2258,0),IF(N2258*if(Z2258=true,0.453592,1)=$AE2258,O2258,0),IF(P2258*if(Z2258=true,0.453592,1)=$AE2258,Q2258,0),IF(R2258*if(Z2258=true,0.453592,1)=$AE2258,S2258,0),IF(T2258*if(Z2258=true,0.453592,1)=$AE2258,U2258,0),IF(V2258*if(Z2258=true,0.453592,1)=$AE2258,W2258,0),IF(X2258*if(Z2258=true,0.453592,1)=$AE2258,Y2258,0))</f>
        <v>0</v>
      </c>
      <c r="AG2258" s="1"/>
    </row>
    <row r="2259" ht="21.0" customHeight="1">
      <c r="A2259" s="1"/>
      <c r="B2259" s="48" t="s">
        <v>36</v>
      </c>
      <c r="C2259" s="49"/>
      <c r="D2259" s="65"/>
      <c r="E2259" s="66"/>
      <c r="F2259" s="52" t="s">
        <v>37</v>
      </c>
      <c r="G2259" s="67"/>
      <c r="H2259" s="129"/>
      <c r="I2259" s="69"/>
      <c r="J2259" s="72"/>
      <c r="K2259" s="73"/>
      <c r="L2259" s="72"/>
      <c r="M2259" s="73"/>
      <c r="N2259" s="72"/>
      <c r="O2259" s="73"/>
      <c r="P2259" s="72"/>
      <c r="Q2259" s="73"/>
      <c r="R2259" s="72"/>
      <c r="S2259" s="73"/>
      <c r="T2259" s="72"/>
      <c r="U2259" s="73"/>
      <c r="V2259" s="72"/>
      <c r="W2259" s="73"/>
      <c r="X2259" s="72"/>
      <c r="Y2259" s="73"/>
      <c r="Z2259" s="74" t="b">
        <v>0</v>
      </c>
      <c r="AA2259" s="130">
        <f t="shared" si="901"/>
        <v>0</v>
      </c>
      <c r="AB2259" s="131">
        <f t="shared" si="902"/>
        <v>0</v>
      </c>
      <c r="AC2259" s="132">
        <f t="shared" si="903"/>
        <v>0</v>
      </c>
      <c r="AD2259" s="133">
        <f t="shared" si="904"/>
        <v>0</v>
      </c>
      <c r="AE2259" s="131">
        <f t="shared" si="905"/>
        <v>0</v>
      </c>
      <c r="AF2259" s="133">
        <f t="shared" si="906"/>
        <v>0</v>
      </c>
      <c r="AG2259" s="1"/>
    </row>
    <row r="2260" ht="21.0" customHeight="1">
      <c r="A2260" s="1"/>
      <c r="B2260" s="48" t="s">
        <v>39</v>
      </c>
      <c r="C2260" s="49"/>
      <c r="D2260" s="65"/>
      <c r="E2260" s="41"/>
      <c r="F2260" s="52" t="s">
        <v>40</v>
      </c>
      <c r="G2260" s="79"/>
      <c r="H2260" s="80"/>
      <c r="I2260" s="69"/>
      <c r="J2260" s="72"/>
      <c r="K2260" s="73"/>
      <c r="L2260" s="72"/>
      <c r="M2260" s="73"/>
      <c r="N2260" s="72"/>
      <c r="O2260" s="73"/>
      <c r="P2260" s="72"/>
      <c r="Q2260" s="73"/>
      <c r="R2260" s="72"/>
      <c r="S2260" s="73"/>
      <c r="T2260" s="72"/>
      <c r="U2260" s="73"/>
      <c r="V2260" s="72"/>
      <c r="W2260" s="73"/>
      <c r="X2260" s="72"/>
      <c r="Y2260" s="73"/>
      <c r="Z2260" s="74" t="b">
        <v>0</v>
      </c>
      <c r="AA2260" s="130">
        <f t="shared" si="901"/>
        <v>0</v>
      </c>
      <c r="AB2260" s="131">
        <f t="shared" si="902"/>
        <v>0</v>
      </c>
      <c r="AC2260" s="132">
        <f t="shared" si="903"/>
        <v>0</v>
      </c>
      <c r="AD2260" s="133">
        <f t="shared" si="904"/>
        <v>0</v>
      </c>
      <c r="AE2260" s="131">
        <f t="shared" si="905"/>
        <v>0</v>
      </c>
      <c r="AF2260" s="133">
        <f t="shared" si="906"/>
        <v>0</v>
      </c>
      <c r="AG2260" s="1"/>
    </row>
    <row r="2261" ht="21.0" customHeight="1">
      <c r="A2261" s="1"/>
      <c r="B2261" s="48" t="s">
        <v>41</v>
      </c>
      <c r="C2261" s="81"/>
      <c r="D2261" s="82" t="b">
        <v>0</v>
      </c>
      <c r="E2261" s="51" t="s">
        <v>42</v>
      </c>
      <c r="F2261" s="52" t="s">
        <v>34</v>
      </c>
      <c r="G2261" s="83"/>
      <c r="H2261" s="84"/>
      <c r="I2261" s="85"/>
      <c r="J2261" s="72"/>
      <c r="K2261" s="73"/>
      <c r="L2261" s="72"/>
      <c r="M2261" s="73"/>
      <c r="N2261" s="72"/>
      <c r="O2261" s="73"/>
      <c r="P2261" s="72"/>
      <c r="Q2261" s="73"/>
      <c r="R2261" s="72"/>
      <c r="S2261" s="73"/>
      <c r="T2261" s="72"/>
      <c r="U2261" s="73"/>
      <c r="V2261" s="72"/>
      <c r="W2261" s="73"/>
      <c r="X2261" s="72"/>
      <c r="Y2261" s="73"/>
      <c r="Z2261" s="74" t="b">
        <v>0</v>
      </c>
      <c r="AA2261" s="130">
        <f t="shared" si="901"/>
        <v>0</v>
      </c>
      <c r="AB2261" s="131">
        <f t="shared" si="902"/>
        <v>0</v>
      </c>
      <c r="AC2261" s="132">
        <f t="shared" si="903"/>
        <v>0</v>
      </c>
      <c r="AD2261" s="133">
        <f t="shared" si="904"/>
        <v>0</v>
      </c>
      <c r="AE2261" s="131">
        <f t="shared" si="905"/>
        <v>0</v>
      </c>
      <c r="AF2261" s="133">
        <f t="shared" si="906"/>
        <v>0</v>
      </c>
      <c r="AG2261" s="1"/>
    </row>
    <row r="2262" ht="21.0" customHeight="1">
      <c r="A2262" s="1"/>
      <c r="B2262" s="48" t="s">
        <v>43</v>
      </c>
      <c r="C2262" s="49"/>
      <c r="D2262" s="86" t="b">
        <v>0</v>
      </c>
      <c r="E2262" s="66"/>
      <c r="F2262" s="52" t="s">
        <v>37</v>
      </c>
      <c r="G2262" s="67"/>
      <c r="H2262" s="80"/>
      <c r="I2262" s="69"/>
      <c r="J2262" s="72"/>
      <c r="K2262" s="73"/>
      <c r="L2262" s="72"/>
      <c r="M2262" s="73"/>
      <c r="N2262" s="72"/>
      <c r="O2262" s="73"/>
      <c r="P2262" s="72"/>
      <c r="Q2262" s="73"/>
      <c r="R2262" s="72"/>
      <c r="S2262" s="73"/>
      <c r="T2262" s="72"/>
      <c r="U2262" s="73"/>
      <c r="V2262" s="72"/>
      <c r="W2262" s="73"/>
      <c r="X2262" s="72"/>
      <c r="Y2262" s="73"/>
      <c r="Z2262" s="74" t="b">
        <v>0</v>
      </c>
      <c r="AA2262" s="130">
        <f t="shared" si="901"/>
        <v>0</v>
      </c>
      <c r="AB2262" s="131">
        <f t="shared" si="902"/>
        <v>0</v>
      </c>
      <c r="AC2262" s="132">
        <f t="shared" si="903"/>
        <v>0</v>
      </c>
      <c r="AD2262" s="133">
        <f t="shared" si="904"/>
        <v>0</v>
      </c>
      <c r="AE2262" s="131">
        <f t="shared" si="905"/>
        <v>0</v>
      </c>
      <c r="AF2262" s="133">
        <f t="shared" si="906"/>
        <v>0</v>
      </c>
      <c r="AG2262" s="1"/>
    </row>
    <row r="2263" ht="21.0" customHeight="1">
      <c r="A2263" s="1"/>
      <c r="B2263" s="87" t="str">
        <f t="array" ref="B2263">"📌최근 인바디 결과 : "&amp;text(xlookup(B2255,'현황'!O:O,'현황'!O:O,,-1,-1),"m/d(ddd)")</f>
        <v>#REF!</v>
      </c>
      <c r="C2263" s="88"/>
      <c r="D2263" s="49"/>
      <c r="E2263" s="41"/>
      <c r="F2263" s="52" t="s">
        <v>40</v>
      </c>
      <c r="G2263" s="79"/>
      <c r="H2263" s="80"/>
      <c r="I2263" s="69"/>
      <c r="J2263" s="72"/>
      <c r="K2263" s="73"/>
      <c r="L2263" s="72"/>
      <c r="M2263" s="73"/>
      <c r="N2263" s="72"/>
      <c r="O2263" s="73"/>
      <c r="P2263" s="72"/>
      <c r="Q2263" s="73"/>
      <c r="R2263" s="72"/>
      <c r="S2263" s="73"/>
      <c r="T2263" s="72"/>
      <c r="U2263" s="73"/>
      <c r="V2263" s="72"/>
      <c r="W2263" s="73"/>
      <c r="X2263" s="72"/>
      <c r="Y2263" s="73"/>
      <c r="Z2263" s="74" t="b">
        <v>0</v>
      </c>
      <c r="AA2263" s="130">
        <f t="shared" si="901"/>
        <v>0</v>
      </c>
      <c r="AB2263" s="131">
        <f t="shared" si="902"/>
        <v>0</v>
      </c>
      <c r="AC2263" s="132">
        <f t="shared" si="903"/>
        <v>0</v>
      </c>
      <c r="AD2263" s="133">
        <f t="shared" si="904"/>
        <v>0</v>
      </c>
      <c r="AE2263" s="131">
        <f t="shared" si="905"/>
        <v>0</v>
      </c>
      <c r="AF2263" s="133">
        <f t="shared" si="906"/>
        <v>0</v>
      </c>
      <c r="AG2263" s="1"/>
    </row>
    <row r="2264" ht="21.0" customHeight="1">
      <c r="A2264" s="1"/>
      <c r="B2264" s="89" t="s">
        <v>44</v>
      </c>
      <c r="C2264" s="49"/>
      <c r="D2264" s="90">
        <f t="array" ref="D2264">iferror(vlookup(xlookup(B2255,'현황'!O:O,'현황'!O:O,,-1,-1),'현황'!O:S,2,false),0)</f>
        <v>0</v>
      </c>
      <c r="E2264" s="51" t="s">
        <v>45</v>
      </c>
      <c r="F2264" s="52" t="s">
        <v>34</v>
      </c>
      <c r="G2264" s="83"/>
      <c r="H2264" s="84"/>
      <c r="I2264" s="85"/>
      <c r="J2264" s="72"/>
      <c r="K2264" s="73"/>
      <c r="L2264" s="72"/>
      <c r="M2264" s="73"/>
      <c r="N2264" s="72"/>
      <c r="O2264" s="73"/>
      <c r="P2264" s="72"/>
      <c r="Q2264" s="73"/>
      <c r="R2264" s="72"/>
      <c r="S2264" s="73"/>
      <c r="T2264" s="72"/>
      <c r="U2264" s="73"/>
      <c r="V2264" s="72"/>
      <c r="W2264" s="73"/>
      <c r="X2264" s="72"/>
      <c r="Y2264" s="73"/>
      <c r="Z2264" s="74" t="b">
        <v>0</v>
      </c>
      <c r="AA2264" s="130">
        <f t="shared" si="901"/>
        <v>0</v>
      </c>
      <c r="AB2264" s="131">
        <f t="shared" si="902"/>
        <v>0</v>
      </c>
      <c r="AC2264" s="132">
        <f t="shared" si="903"/>
        <v>0</v>
      </c>
      <c r="AD2264" s="133">
        <f t="shared" si="904"/>
        <v>0</v>
      </c>
      <c r="AE2264" s="131">
        <f t="shared" si="905"/>
        <v>0</v>
      </c>
      <c r="AF2264" s="133">
        <f t="shared" si="906"/>
        <v>0</v>
      </c>
      <c r="AG2264" s="1"/>
    </row>
    <row r="2265" ht="21.0" customHeight="1">
      <c r="A2265" s="1"/>
      <c r="B2265" s="48" t="s">
        <v>46</v>
      </c>
      <c r="C2265" s="49"/>
      <c r="D2265" s="91">
        <f t="array" ref="D2265">iferror(vlookup(xlookup(B2255,'현황'!O:O,'현황'!O:O,,-1,-1),'현황'!O:S,3,false),0)</f>
        <v>0</v>
      </c>
      <c r="E2265" s="66"/>
      <c r="F2265" s="52" t="s">
        <v>37</v>
      </c>
      <c r="G2265" s="67"/>
      <c r="H2265" s="80"/>
      <c r="I2265" s="69"/>
      <c r="J2265" s="72"/>
      <c r="K2265" s="73"/>
      <c r="L2265" s="72"/>
      <c r="M2265" s="73"/>
      <c r="N2265" s="72"/>
      <c r="O2265" s="73"/>
      <c r="P2265" s="72"/>
      <c r="Q2265" s="73"/>
      <c r="R2265" s="72"/>
      <c r="S2265" s="73"/>
      <c r="T2265" s="72"/>
      <c r="U2265" s="73"/>
      <c r="V2265" s="72"/>
      <c r="W2265" s="73"/>
      <c r="X2265" s="72"/>
      <c r="Y2265" s="73"/>
      <c r="Z2265" s="74" t="b">
        <v>0</v>
      </c>
      <c r="AA2265" s="130">
        <f t="shared" si="901"/>
        <v>0</v>
      </c>
      <c r="AB2265" s="131">
        <f t="shared" si="902"/>
        <v>0</v>
      </c>
      <c r="AC2265" s="132">
        <f t="shared" si="903"/>
        <v>0</v>
      </c>
      <c r="AD2265" s="133">
        <f t="shared" si="904"/>
        <v>0</v>
      </c>
      <c r="AE2265" s="131">
        <f t="shared" si="905"/>
        <v>0</v>
      </c>
      <c r="AF2265" s="133">
        <f t="shared" si="906"/>
        <v>0</v>
      </c>
      <c r="AG2265" s="1"/>
    </row>
    <row r="2266" ht="21.0" customHeight="1">
      <c r="A2266" s="1"/>
      <c r="B2266" s="48" t="s">
        <v>47</v>
      </c>
      <c r="C2266" s="49"/>
      <c r="D2266" s="91">
        <f t="array" ref="D2266">iferror(vlookup(xlookup(B2255,'현황'!O:O,'현황'!O:O,,-1,-1),'현황'!O:S,4,false),0)</f>
        <v>0</v>
      </c>
      <c r="E2266" s="41"/>
      <c r="F2266" s="92" t="s">
        <v>40</v>
      </c>
      <c r="G2266" s="79"/>
      <c r="H2266" s="93"/>
      <c r="I2266" s="94"/>
      <c r="J2266" s="95"/>
      <c r="K2266" s="96"/>
      <c r="L2266" s="95"/>
      <c r="M2266" s="96"/>
      <c r="N2266" s="95"/>
      <c r="O2266" s="96"/>
      <c r="P2266" s="95"/>
      <c r="Q2266" s="96"/>
      <c r="R2266" s="95"/>
      <c r="S2266" s="96"/>
      <c r="T2266" s="95"/>
      <c r="U2266" s="96"/>
      <c r="V2266" s="95"/>
      <c r="W2266" s="96"/>
      <c r="X2266" s="95"/>
      <c r="Y2266" s="96"/>
      <c r="Z2266" s="97" t="b">
        <v>0</v>
      </c>
      <c r="AA2266" s="135">
        <f t="shared" si="901"/>
        <v>0</v>
      </c>
      <c r="AB2266" s="136">
        <f t="shared" si="902"/>
        <v>0</v>
      </c>
      <c r="AC2266" s="137">
        <f t="shared" si="903"/>
        <v>0</v>
      </c>
      <c r="AD2266" s="138">
        <f t="shared" si="904"/>
        <v>0</v>
      </c>
      <c r="AE2266" s="136">
        <f t="shared" si="905"/>
        <v>0</v>
      </c>
      <c r="AF2266" s="138">
        <f t="shared" si="906"/>
        <v>0</v>
      </c>
      <c r="AG2266" s="1"/>
    </row>
    <row r="2267" ht="21.0" customHeight="1">
      <c r="A2267" s="1"/>
      <c r="B2267" s="102" t="s">
        <v>48</v>
      </c>
      <c r="C2267" s="103"/>
      <c r="D2267" s="104">
        <f>iferror(D2266/D2264,0)</f>
        <v>0</v>
      </c>
      <c r="E2267" s="102" t="s">
        <v>49</v>
      </c>
      <c r="F2267" s="103"/>
      <c r="G2267" s="105"/>
      <c r="H2267" s="106" t="s">
        <v>50</v>
      </c>
      <c r="I2267" s="107"/>
      <c r="J2267" s="11"/>
      <c r="K2267" s="11"/>
      <c r="L2267" s="11"/>
      <c r="M2267" s="11"/>
      <c r="N2267" s="11"/>
      <c r="O2267" s="11"/>
      <c r="P2267" s="108" t="s">
        <v>51</v>
      </c>
      <c r="Q2267" s="12"/>
      <c r="R2267" s="109"/>
      <c r="S2267" s="11"/>
      <c r="T2267" s="11"/>
      <c r="U2267" s="11"/>
      <c r="V2267" s="11"/>
      <c r="W2267" s="11"/>
      <c r="X2267" s="11"/>
      <c r="Y2267" s="11"/>
      <c r="Z2267" s="12"/>
      <c r="AA2267" s="139">
        <f>SUM(AA2258:AA2266)</f>
        <v>0</v>
      </c>
      <c r="AB2267" s="140" t="s">
        <v>399</v>
      </c>
      <c r="AG2267" s="1"/>
    </row>
    <row r="2268" ht="21.0" customHeight="1">
      <c r="A2268" s="1"/>
      <c r="B2268" s="1"/>
      <c r="C2268" s="1"/>
      <c r="D2268" s="1"/>
      <c r="E2268" s="1"/>
      <c r="F2268" s="1"/>
      <c r="G2268" s="1"/>
      <c r="H2268" s="1"/>
      <c r="I2268" s="1"/>
      <c r="AA2268" s="1"/>
      <c r="AB2268" s="1"/>
      <c r="AC2268" s="3"/>
      <c r="AD2268" s="1"/>
      <c r="AE2268" s="1"/>
      <c r="AF2268" s="1"/>
      <c r="AG2268" s="1"/>
    </row>
    <row r="2269" ht="21.0" customHeight="1">
      <c r="A2269" s="1"/>
      <c r="B2269" s="4" t="s">
        <v>1</v>
      </c>
      <c r="C2269" s="5"/>
      <c r="D2269" s="6" t="s">
        <v>2</v>
      </c>
      <c r="E2269" s="7"/>
      <c r="F2269" s="7"/>
      <c r="G2269" s="5"/>
      <c r="H2269" s="8" t="s">
        <v>3</v>
      </c>
      <c r="I2269" s="8" t="s">
        <v>4</v>
      </c>
      <c r="J2269" s="9" t="s">
        <v>5</v>
      </c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5"/>
      <c r="AA2269" s="117" t="s">
        <v>6</v>
      </c>
      <c r="AB2269" s="11"/>
      <c r="AC2269" s="11"/>
      <c r="AD2269" s="11"/>
      <c r="AE2269" s="11"/>
      <c r="AF2269" s="12"/>
      <c r="AG2269" s="1"/>
    </row>
    <row r="2270" ht="21.0" customHeight="1">
      <c r="A2270" s="1"/>
      <c r="B2270" s="149" t="s">
        <v>138</v>
      </c>
      <c r="C2270" s="14" t="str">
        <f>if(B2270="0/0","",choose(weekday(B2270),"(일)","(월)","(화)","(수)","(목)","(금)","(토)"))</f>
        <v/>
      </c>
      <c r="D2270" s="15" t="s">
        <v>7</v>
      </c>
      <c r="E2270" s="16" t="s">
        <v>8</v>
      </c>
      <c r="F2270" s="17"/>
      <c r="G2270" s="18" t="s">
        <v>9</v>
      </c>
      <c r="H2270" s="150" t="s">
        <v>139</v>
      </c>
      <c r="I2270" s="151"/>
      <c r="J2270" s="21" t="s">
        <v>12</v>
      </c>
      <c r="K2270" s="22"/>
      <c r="L2270" s="21" t="s">
        <v>13</v>
      </c>
      <c r="M2270" s="22"/>
      <c r="N2270" s="21" t="s">
        <v>14</v>
      </c>
      <c r="O2270" s="22"/>
      <c r="P2270" s="21" t="s">
        <v>15</v>
      </c>
      <c r="Q2270" s="22"/>
      <c r="R2270" s="23" t="s">
        <v>16</v>
      </c>
      <c r="S2270" s="22"/>
      <c r="T2270" s="23" t="s">
        <v>17</v>
      </c>
      <c r="U2270" s="22"/>
      <c r="V2270" s="23" t="s">
        <v>18</v>
      </c>
      <c r="W2270" s="22"/>
      <c r="X2270" s="23" t="s">
        <v>19</v>
      </c>
      <c r="Y2270" s="22"/>
      <c r="Z2270" s="24" t="s">
        <v>400</v>
      </c>
      <c r="AA2270" s="118" t="s">
        <v>21</v>
      </c>
      <c r="AB2270" s="119" t="s">
        <v>22</v>
      </c>
      <c r="AC2270" s="7"/>
      <c r="AD2270" s="22"/>
      <c r="AE2270" s="120" t="s">
        <v>23</v>
      </c>
      <c r="AF2270" s="22"/>
      <c r="AG2270" s="1"/>
    </row>
    <row r="2271" ht="21.0" customHeight="1">
      <c r="A2271" s="1"/>
      <c r="B2271" s="27">
        <f>iferror(B2270-'현황'!$C$4+1,0)</f>
        <v>0</v>
      </c>
      <c r="C2271" s="28"/>
      <c r="D2271" s="29">
        <v>0.0</v>
      </c>
      <c r="E2271" s="30">
        <v>0.0</v>
      </c>
      <c r="F2271" s="31"/>
      <c r="G2271" s="32">
        <v>0.0</v>
      </c>
      <c r="H2271" s="33">
        <v>0.0</v>
      </c>
      <c r="I2271" s="34"/>
      <c r="J2271" s="35"/>
      <c r="K2271" s="36"/>
      <c r="L2271" s="35"/>
      <c r="M2271" s="36"/>
      <c r="N2271" s="35"/>
      <c r="O2271" s="36"/>
      <c r="P2271" s="35"/>
      <c r="Q2271" s="36"/>
      <c r="R2271" s="35"/>
      <c r="S2271" s="36"/>
      <c r="T2271" s="35"/>
      <c r="U2271" s="36"/>
      <c r="V2271" s="35"/>
      <c r="W2271" s="36"/>
      <c r="X2271" s="35"/>
      <c r="Y2271" s="36"/>
      <c r="Z2271" s="37"/>
      <c r="AA2271" s="37"/>
      <c r="AB2271" s="35"/>
      <c r="AC2271" s="38"/>
      <c r="AD2271" s="36"/>
      <c r="AE2271" s="35"/>
      <c r="AF2271" s="36"/>
      <c r="AG2271" s="1"/>
    </row>
    <row r="2272" ht="21.0" customHeight="1">
      <c r="A2272" s="1"/>
      <c r="B2272" s="39" t="s">
        <v>24</v>
      </c>
      <c r="C2272" s="40"/>
      <c r="D2272" s="41"/>
      <c r="E2272" s="42" t="s">
        <v>25</v>
      </c>
      <c r="F2272" s="40"/>
      <c r="G2272" s="41"/>
      <c r="H2272" s="43" t="s">
        <v>26</v>
      </c>
      <c r="J2272" s="44" t="s">
        <v>27</v>
      </c>
      <c r="K2272" s="45" t="s">
        <v>28</v>
      </c>
      <c r="L2272" s="44" t="s">
        <v>27</v>
      </c>
      <c r="M2272" s="45" t="s">
        <v>28</v>
      </c>
      <c r="N2272" s="44" t="s">
        <v>27</v>
      </c>
      <c r="O2272" s="45" t="s">
        <v>28</v>
      </c>
      <c r="P2272" s="44" t="s">
        <v>27</v>
      </c>
      <c r="Q2272" s="45" t="s">
        <v>28</v>
      </c>
      <c r="R2272" s="44" t="s">
        <v>27</v>
      </c>
      <c r="S2272" s="45" t="s">
        <v>28</v>
      </c>
      <c r="T2272" s="44" t="s">
        <v>27</v>
      </c>
      <c r="U2272" s="45" t="s">
        <v>28</v>
      </c>
      <c r="V2272" s="44" t="s">
        <v>27</v>
      </c>
      <c r="W2272" s="45" t="s">
        <v>28</v>
      </c>
      <c r="X2272" s="44" t="s">
        <v>27</v>
      </c>
      <c r="Y2272" s="45" t="s">
        <v>28</v>
      </c>
      <c r="Z2272" s="46"/>
      <c r="AA2272" s="46"/>
      <c r="AB2272" s="121" t="s">
        <v>29</v>
      </c>
      <c r="AC2272" s="122" t="s">
        <v>30</v>
      </c>
      <c r="AD2272" s="123" t="s">
        <v>31</v>
      </c>
      <c r="AE2272" s="121" t="s">
        <v>27</v>
      </c>
      <c r="AF2272" s="123" t="s">
        <v>28</v>
      </c>
      <c r="AG2272" s="1"/>
    </row>
    <row r="2273" ht="21.0" customHeight="1">
      <c r="A2273" s="1"/>
      <c r="B2273" s="48" t="s">
        <v>32</v>
      </c>
      <c r="C2273" s="49"/>
      <c r="D2273" s="50"/>
      <c r="E2273" s="51" t="s">
        <v>33</v>
      </c>
      <c r="F2273" s="52" t="s">
        <v>34</v>
      </c>
      <c r="G2273" s="53"/>
      <c r="H2273" s="148"/>
      <c r="I2273" s="55"/>
      <c r="J2273" s="58"/>
      <c r="K2273" s="59"/>
      <c r="L2273" s="58"/>
      <c r="M2273" s="59"/>
      <c r="N2273" s="58"/>
      <c r="O2273" s="59"/>
      <c r="P2273" s="58"/>
      <c r="Q2273" s="59"/>
      <c r="R2273" s="58"/>
      <c r="S2273" s="59"/>
      <c r="T2273" s="58"/>
      <c r="U2273" s="59"/>
      <c r="V2273" s="58"/>
      <c r="W2273" s="59"/>
      <c r="X2273" s="58"/>
      <c r="Y2273" s="59"/>
      <c r="Z2273" s="60" t="b">
        <v>0</v>
      </c>
      <c r="AA2273" s="125">
        <f t="shared" ref="AA2273:AA2281" si="907">(J2273*K2273+L2273*M2273+N2273*O2273+P2273*Q2273+R2273*S2273+T2273*U2273+V2273*W2273+X2273*Y2273)*if(Z2273=true,0.453592,1)</f>
        <v>0</v>
      </c>
      <c r="AB2273" s="126">
        <f t="shared" ref="AB2273:AB2281" si="908">SUM(AE2273*AF2273*0.025,AE2273)</f>
        <v>0</v>
      </c>
      <c r="AC2273" s="127">
        <f t="shared" ref="AC2273:AC2281" si="909">AB2273*87%</f>
        <v>0</v>
      </c>
      <c r="AD2273" s="128">
        <f t="shared" ref="AD2273:AD2281" si="910">AB2273*67%</f>
        <v>0</v>
      </c>
      <c r="AE2273" s="126">
        <f t="shared" ref="AE2273:AE2281" si="911">MAX(J2273,L2273,N2273,P2273,R2273,T2273,V2273,X2273)*if(Z2273=true,0.453592,1)</f>
        <v>0</v>
      </c>
      <c r="AF2273" s="128">
        <f t="shared" ref="AF2273:AF2281" si="912">MAX(IF(J2273*if(Z2273=true,0.453592,1)=$AE2273,K2273,0),IF(L2273*if(Z2273=true,0.453592,1)=$AE2273,M2273,0),IF(N2273*if(Z2273=true,0.453592,1)=$AE2273,O2273,0),IF(P2273*if(Z2273=true,0.453592,1)=$AE2273,Q2273,0),IF(R2273*if(Z2273=true,0.453592,1)=$AE2273,S2273,0),IF(T2273*if(Z2273=true,0.453592,1)=$AE2273,U2273,0),IF(V2273*if(Z2273=true,0.453592,1)=$AE2273,W2273,0),IF(X2273*if(Z2273=true,0.453592,1)=$AE2273,Y2273,0))</f>
        <v>0</v>
      </c>
      <c r="AG2273" s="1"/>
    </row>
    <row r="2274" ht="21.0" customHeight="1">
      <c r="A2274" s="1"/>
      <c r="B2274" s="48" t="s">
        <v>36</v>
      </c>
      <c r="C2274" s="49"/>
      <c r="D2274" s="65"/>
      <c r="E2274" s="66"/>
      <c r="F2274" s="52" t="s">
        <v>37</v>
      </c>
      <c r="G2274" s="67"/>
      <c r="H2274" s="129"/>
      <c r="I2274" s="69"/>
      <c r="J2274" s="72"/>
      <c r="K2274" s="73"/>
      <c r="L2274" s="72"/>
      <c r="M2274" s="73"/>
      <c r="N2274" s="72"/>
      <c r="O2274" s="73"/>
      <c r="P2274" s="72"/>
      <c r="Q2274" s="73"/>
      <c r="R2274" s="72"/>
      <c r="S2274" s="73"/>
      <c r="T2274" s="72"/>
      <c r="U2274" s="73"/>
      <c r="V2274" s="72"/>
      <c r="W2274" s="73"/>
      <c r="X2274" s="72"/>
      <c r="Y2274" s="73"/>
      <c r="Z2274" s="74" t="b">
        <v>0</v>
      </c>
      <c r="AA2274" s="130">
        <f t="shared" si="907"/>
        <v>0</v>
      </c>
      <c r="AB2274" s="131">
        <f t="shared" si="908"/>
        <v>0</v>
      </c>
      <c r="AC2274" s="132">
        <f t="shared" si="909"/>
        <v>0</v>
      </c>
      <c r="AD2274" s="133">
        <f t="shared" si="910"/>
        <v>0</v>
      </c>
      <c r="AE2274" s="131">
        <f t="shared" si="911"/>
        <v>0</v>
      </c>
      <c r="AF2274" s="133">
        <f t="shared" si="912"/>
        <v>0</v>
      </c>
      <c r="AG2274" s="1"/>
    </row>
    <row r="2275" ht="21.0" customHeight="1">
      <c r="A2275" s="1"/>
      <c r="B2275" s="48" t="s">
        <v>39</v>
      </c>
      <c r="C2275" s="49"/>
      <c r="D2275" s="65"/>
      <c r="E2275" s="41"/>
      <c r="F2275" s="52" t="s">
        <v>40</v>
      </c>
      <c r="G2275" s="79"/>
      <c r="H2275" s="80"/>
      <c r="I2275" s="69"/>
      <c r="J2275" s="72"/>
      <c r="K2275" s="73"/>
      <c r="L2275" s="72"/>
      <c r="M2275" s="73"/>
      <c r="N2275" s="72"/>
      <c r="O2275" s="73"/>
      <c r="P2275" s="72"/>
      <c r="Q2275" s="73"/>
      <c r="R2275" s="72"/>
      <c r="S2275" s="73"/>
      <c r="T2275" s="72"/>
      <c r="U2275" s="73"/>
      <c r="V2275" s="72"/>
      <c r="W2275" s="73"/>
      <c r="X2275" s="72"/>
      <c r="Y2275" s="73"/>
      <c r="Z2275" s="74" t="b">
        <v>0</v>
      </c>
      <c r="AA2275" s="130">
        <f t="shared" si="907"/>
        <v>0</v>
      </c>
      <c r="AB2275" s="131">
        <f t="shared" si="908"/>
        <v>0</v>
      </c>
      <c r="AC2275" s="132">
        <f t="shared" si="909"/>
        <v>0</v>
      </c>
      <c r="AD2275" s="133">
        <f t="shared" si="910"/>
        <v>0</v>
      </c>
      <c r="AE2275" s="131">
        <f t="shared" si="911"/>
        <v>0</v>
      </c>
      <c r="AF2275" s="133">
        <f t="shared" si="912"/>
        <v>0</v>
      </c>
      <c r="AG2275" s="1"/>
    </row>
    <row r="2276" ht="21.0" customHeight="1">
      <c r="A2276" s="1"/>
      <c r="B2276" s="48" t="s">
        <v>41</v>
      </c>
      <c r="C2276" s="81"/>
      <c r="D2276" s="82" t="b">
        <v>0</v>
      </c>
      <c r="E2276" s="51" t="s">
        <v>42</v>
      </c>
      <c r="F2276" s="52" t="s">
        <v>34</v>
      </c>
      <c r="G2276" s="83"/>
      <c r="H2276" s="84"/>
      <c r="I2276" s="85"/>
      <c r="J2276" s="72"/>
      <c r="K2276" s="73"/>
      <c r="L2276" s="72"/>
      <c r="M2276" s="73"/>
      <c r="N2276" s="72"/>
      <c r="O2276" s="73"/>
      <c r="P2276" s="72"/>
      <c r="Q2276" s="73"/>
      <c r="R2276" s="72"/>
      <c r="S2276" s="73"/>
      <c r="T2276" s="72"/>
      <c r="U2276" s="73"/>
      <c r="V2276" s="72"/>
      <c r="W2276" s="73"/>
      <c r="X2276" s="72"/>
      <c r="Y2276" s="73"/>
      <c r="Z2276" s="74" t="b">
        <v>0</v>
      </c>
      <c r="AA2276" s="130">
        <f t="shared" si="907"/>
        <v>0</v>
      </c>
      <c r="AB2276" s="131">
        <f t="shared" si="908"/>
        <v>0</v>
      </c>
      <c r="AC2276" s="132">
        <f t="shared" si="909"/>
        <v>0</v>
      </c>
      <c r="AD2276" s="133">
        <f t="shared" si="910"/>
        <v>0</v>
      </c>
      <c r="AE2276" s="131">
        <f t="shared" si="911"/>
        <v>0</v>
      </c>
      <c r="AF2276" s="133">
        <f t="shared" si="912"/>
        <v>0</v>
      </c>
      <c r="AG2276" s="1"/>
    </row>
    <row r="2277" ht="21.0" customHeight="1">
      <c r="A2277" s="1"/>
      <c r="B2277" s="48" t="s">
        <v>43</v>
      </c>
      <c r="C2277" s="49"/>
      <c r="D2277" s="86" t="b">
        <v>0</v>
      </c>
      <c r="E2277" s="66"/>
      <c r="F2277" s="52" t="s">
        <v>37</v>
      </c>
      <c r="G2277" s="67"/>
      <c r="H2277" s="80"/>
      <c r="I2277" s="69"/>
      <c r="J2277" s="72"/>
      <c r="K2277" s="73"/>
      <c r="L2277" s="72"/>
      <c r="M2277" s="73"/>
      <c r="N2277" s="72"/>
      <c r="O2277" s="73"/>
      <c r="P2277" s="72"/>
      <c r="Q2277" s="73"/>
      <c r="R2277" s="72"/>
      <c r="S2277" s="73"/>
      <c r="T2277" s="72"/>
      <c r="U2277" s="73"/>
      <c r="V2277" s="72"/>
      <c r="W2277" s="73"/>
      <c r="X2277" s="72"/>
      <c r="Y2277" s="73"/>
      <c r="Z2277" s="74" t="b">
        <v>0</v>
      </c>
      <c r="AA2277" s="130">
        <f t="shared" si="907"/>
        <v>0</v>
      </c>
      <c r="AB2277" s="131">
        <f t="shared" si="908"/>
        <v>0</v>
      </c>
      <c r="AC2277" s="132">
        <f t="shared" si="909"/>
        <v>0</v>
      </c>
      <c r="AD2277" s="133">
        <f t="shared" si="910"/>
        <v>0</v>
      </c>
      <c r="AE2277" s="131">
        <f t="shared" si="911"/>
        <v>0</v>
      </c>
      <c r="AF2277" s="133">
        <f t="shared" si="912"/>
        <v>0</v>
      </c>
      <c r="AG2277" s="1"/>
    </row>
    <row r="2278" ht="21.0" customHeight="1">
      <c r="A2278" s="1"/>
      <c r="B2278" s="87" t="str">
        <f t="array" ref="B2278">"📌최근 인바디 결과 : "&amp;text(xlookup(B2270,'현황'!O:O,'현황'!O:O,,-1,-1),"m/d(ddd)")</f>
        <v>#REF!</v>
      </c>
      <c r="C2278" s="88"/>
      <c r="D2278" s="49"/>
      <c r="E2278" s="41"/>
      <c r="F2278" s="52" t="s">
        <v>40</v>
      </c>
      <c r="G2278" s="79"/>
      <c r="H2278" s="80"/>
      <c r="I2278" s="69"/>
      <c r="J2278" s="72"/>
      <c r="K2278" s="73"/>
      <c r="L2278" s="72"/>
      <c r="M2278" s="73"/>
      <c r="N2278" s="72"/>
      <c r="O2278" s="73"/>
      <c r="P2278" s="72"/>
      <c r="Q2278" s="73"/>
      <c r="R2278" s="72"/>
      <c r="S2278" s="73"/>
      <c r="T2278" s="72"/>
      <c r="U2278" s="73"/>
      <c r="V2278" s="72"/>
      <c r="W2278" s="73"/>
      <c r="X2278" s="72"/>
      <c r="Y2278" s="73"/>
      <c r="Z2278" s="74" t="b">
        <v>0</v>
      </c>
      <c r="AA2278" s="130">
        <f t="shared" si="907"/>
        <v>0</v>
      </c>
      <c r="AB2278" s="131">
        <f t="shared" si="908"/>
        <v>0</v>
      </c>
      <c r="AC2278" s="132">
        <f t="shared" si="909"/>
        <v>0</v>
      </c>
      <c r="AD2278" s="133">
        <f t="shared" si="910"/>
        <v>0</v>
      </c>
      <c r="AE2278" s="131">
        <f t="shared" si="911"/>
        <v>0</v>
      </c>
      <c r="AF2278" s="133">
        <f t="shared" si="912"/>
        <v>0</v>
      </c>
      <c r="AG2278" s="1"/>
    </row>
    <row r="2279" ht="21.0" customHeight="1">
      <c r="A2279" s="1"/>
      <c r="B2279" s="89" t="s">
        <v>44</v>
      </c>
      <c r="C2279" s="49"/>
      <c r="D2279" s="90">
        <f t="array" ref="D2279">iferror(vlookup(xlookup(B2270,'현황'!O:O,'현황'!O:O,,-1,-1),'현황'!O:S,2,false),0)</f>
        <v>0</v>
      </c>
      <c r="E2279" s="51" t="s">
        <v>45</v>
      </c>
      <c r="F2279" s="52" t="s">
        <v>34</v>
      </c>
      <c r="G2279" s="83"/>
      <c r="H2279" s="84"/>
      <c r="I2279" s="85"/>
      <c r="J2279" s="72"/>
      <c r="K2279" s="73"/>
      <c r="L2279" s="72"/>
      <c r="M2279" s="73"/>
      <c r="N2279" s="72"/>
      <c r="O2279" s="73"/>
      <c r="P2279" s="72"/>
      <c r="Q2279" s="73"/>
      <c r="R2279" s="72"/>
      <c r="S2279" s="73"/>
      <c r="T2279" s="72"/>
      <c r="U2279" s="73"/>
      <c r="V2279" s="72"/>
      <c r="W2279" s="73"/>
      <c r="X2279" s="72"/>
      <c r="Y2279" s="73"/>
      <c r="Z2279" s="74" t="b">
        <v>0</v>
      </c>
      <c r="AA2279" s="130">
        <f t="shared" si="907"/>
        <v>0</v>
      </c>
      <c r="AB2279" s="131">
        <f t="shared" si="908"/>
        <v>0</v>
      </c>
      <c r="AC2279" s="132">
        <f t="shared" si="909"/>
        <v>0</v>
      </c>
      <c r="AD2279" s="133">
        <f t="shared" si="910"/>
        <v>0</v>
      </c>
      <c r="AE2279" s="131">
        <f t="shared" si="911"/>
        <v>0</v>
      </c>
      <c r="AF2279" s="133">
        <f t="shared" si="912"/>
        <v>0</v>
      </c>
      <c r="AG2279" s="1"/>
    </row>
    <row r="2280" ht="21.0" customHeight="1">
      <c r="A2280" s="1"/>
      <c r="B2280" s="48" t="s">
        <v>46</v>
      </c>
      <c r="C2280" s="49"/>
      <c r="D2280" s="91">
        <f t="array" ref="D2280">iferror(vlookup(xlookup(B2270,'현황'!O:O,'현황'!O:O,,-1,-1),'현황'!O:S,3,false),0)</f>
        <v>0</v>
      </c>
      <c r="E2280" s="66"/>
      <c r="F2280" s="52" t="s">
        <v>37</v>
      </c>
      <c r="G2280" s="67"/>
      <c r="H2280" s="80"/>
      <c r="I2280" s="69"/>
      <c r="J2280" s="72"/>
      <c r="K2280" s="73"/>
      <c r="L2280" s="72"/>
      <c r="M2280" s="73"/>
      <c r="N2280" s="72"/>
      <c r="O2280" s="73"/>
      <c r="P2280" s="72"/>
      <c r="Q2280" s="73"/>
      <c r="R2280" s="72"/>
      <c r="S2280" s="73"/>
      <c r="T2280" s="72"/>
      <c r="U2280" s="73"/>
      <c r="V2280" s="72"/>
      <c r="W2280" s="73"/>
      <c r="X2280" s="72"/>
      <c r="Y2280" s="73"/>
      <c r="Z2280" s="74" t="b">
        <v>0</v>
      </c>
      <c r="AA2280" s="130">
        <f t="shared" si="907"/>
        <v>0</v>
      </c>
      <c r="AB2280" s="131">
        <f t="shared" si="908"/>
        <v>0</v>
      </c>
      <c r="AC2280" s="132">
        <f t="shared" si="909"/>
        <v>0</v>
      </c>
      <c r="AD2280" s="133">
        <f t="shared" si="910"/>
        <v>0</v>
      </c>
      <c r="AE2280" s="131">
        <f t="shared" si="911"/>
        <v>0</v>
      </c>
      <c r="AF2280" s="133">
        <f t="shared" si="912"/>
        <v>0</v>
      </c>
      <c r="AG2280" s="1"/>
    </row>
    <row r="2281" ht="21.0" customHeight="1">
      <c r="A2281" s="1"/>
      <c r="B2281" s="48" t="s">
        <v>47</v>
      </c>
      <c r="C2281" s="49"/>
      <c r="D2281" s="91">
        <f t="array" ref="D2281">iferror(vlookup(xlookup(B2270,'현황'!O:O,'현황'!O:O,,-1,-1),'현황'!O:S,4,false),0)</f>
        <v>0</v>
      </c>
      <c r="E2281" s="41"/>
      <c r="F2281" s="92" t="s">
        <v>40</v>
      </c>
      <c r="G2281" s="79"/>
      <c r="H2281" s="93"/>
      <c r="I2281" s="94"/>
      <c r="J2281" s="95"/>
      <c r="K2281" s="96"/>
      <c r="L2281" s="95"/>
      <c r="M2281" s="96"/>
      <c r="N2281" s="95"/>
      <c r="O2281" s="96"/>
      <c r="P2281" s="95"/>
      <c r="Q2281" s="96"/>
      <c r="R2281" s="95"/>
      <c r="S2281" s="96"/>
      <c r="T2281" s="95"/>
      <c r="U2281" s="96"/>
      <c r="V2281" s="95"/>
      <c r="W2281" s="96"/>
      <c r="X2281" s="95"/>
      <c r="Y2281" s="96"/>
      <c r="Z2281" s="97" t="b">
        <v>0</v>
      </c>
      <c r="AA2281" s="135">
        <f t="shared" si="907"/>
        <v>0</v>
      </c>
      <c r="AB2281" s="136">
        <f t="shared" si="908"/>
        <v>0</v>
      </c>
      <c r="AC2281" s="137">
        <f t="shared" si="909"/>
        <v>0</v>
      </c>
      <c r="AD2281" s="138">
        <f t="shared" si="910"/>
        <v>0</v>
      </c>
      <c r="AE2281" s="136">
        <f t="shared" si="911"/>
        <v>0</v>
      </c>
      <c r="AF2281" s="138">
        <f t="shared" si="912"/>
        <v>0</v>
      </c>
      <c r="AG2281" s="1"/>
    </row>
    <row r="2282" ht="21.0" customHeight="1">
      <c r="A2282" s="1"/>
      <c r="B2282" s="102" t="s">
        <v>48</v>
      </c>
      <c r="C2282" s="103"/>
      <c r="D2282" s="104">
        <f>iferror(D2281/D2279,0)</f>
        <v>0</v>
      </c>
      <c r="E2282" s="102" t="s">
        <v>49</v>
      </c>
      <c r="F2282" s="103"/>
      <c r="G2282" s="105"/>
      <c r="H2282" s="143" t="s">
        <v>50</v>
      </c>
      <c r="I2282" s="144"/>
      <c r="J2282" s="11"/>
      <c r="K2282" s="11"/>
      <c r="L2282" s="11"/>
      <c r="M2282" s="11"/>
      <c r="N2282" s="11"/>
      <c r="O2282" s="11"/>
      <c r="P2282" s="145" t="s">
        <v>51</v>
      </c>
      <c r="Q2282" s="12"/>
      <c r="R2282" s="146"/>
      <c r="S2282" s="11"/>
      <c r="T2282" s="11"/>
      <c r="U2282" s="11"/>
      <c r="V2282" s="11"/>
      <c r="W2282" s="11"/>
      <c r="X2282" s="11"/>
      <c r="Y2282" s="11"/>
      <c r="Z2282" s="12"/>
      <c r="AA2282" s="139">
        <f>SUM(AA2273:AA2281)</f>
        <v>0</v>
      </c>
      <c r="AB2282" s="140" t="s">
        <v>401</v>
      </c>
      <c r="AG2282" s="1"/>
    </row>
    <row r="2283" ht="21.0" customHeight="1">
      <c r="A2283" s="1"/>
      <c r="B2283" s="1"/>
      <c r="C2283" s="1"/>
      <c r="D2283" s="1"/>
      <c r="E2283" s="1"/>
      <c r="F2283" s="1"/>
      <c r="G2283" s="1"/>
      <c r="H2283" s="1"/>
      <c r="I2283" s="1"/>
      <c r="AA2283" s="1"/>
      <c r="AB2283" s="1"/>
      <c r="AC2283" s="3"/>
      <c r="AD2283" s="1"/>
      <c r="AE2283" s="1"/>
      <c r="AF2283" s="1"/>
      <c r="AG2283" s="1"/>
    </row>
    <row r="2284" ht="21.0" customHeight="1">
      <c r="A2284" s="1"/>
      <c r="B2284" s="4" t="s">
        <v>1</v>
      </c>
      <c r="C2284" s="5"/>
      <c r="D2284" s="6" t="s">
        <v>2</v>
      </c>
      <c r="E2284" s="7"/>
      <c r="F2284" s="7"/>
      <c r="G2284" s="5"/>
      <c r="H2284" s="8" t="s">
        <v>3</v>
      </c>
      <c r="I2284" s="8" t="s">
        <v>4</v>
      </c>
      <c r="J2284" s="9" t="s">
        <v>5</v>
      </c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5"/>
      <c r="AA2284" s="117" t="s">
        <v>6</v>
      </c>
      <c r="AB2284" s="11"/>
      <c r="AC2284" s="11"/>
      <c r="AD2284" s="11"/>
      <c r="AE2284" s="11"/>
      <c r="AF2284" s="12"/>
      <c r="AG2284" s="1"/>
    </row>
    <row r="2285" ht="21.0" customHeight="1">
      <c r="A2285" s="1"/>
      <c r="B2285" s="149" t="s">
        <v>138</v>
      </c>
      <c r="C2285" s="14" t="str">
        <f>if(B2285="0/0","",choose(weekday(B2285),"(일)","(월)","(화)","(수)","(목)","(금)","(토)"))</f>
        <v/>
      </c>
      <c r="D2285" s="15" t="s">
        <v>7</v>
      </c>
      <c r="E2285" s="16" t="s">
        <v>8</v>
      </c>
      <c r="F2285" s="17"/>
      <c r="G2285" s="18" t="s">
        <v>9</v>
      </c>
      <c r="H2285" s="150" t="s">
        <v>139</v>
      </c>
      <c r="I2285" s="151"/>
      <c r="J2285" s="21" t="s">
        <v>12</v>
      </c>
      <c r="K2285" s="22"/>
      <c r="L2285" s="21" t="s">
        <v>13</v>
      </c>
      <c r="M2285" s="22"/>
      <c r="N2285" s="21" t="s">
        <v>14</v>
      </c>
      <c r="O2285" s="22"/>
      <c r="P2285" s="21" t="s">
        <v>15</v>
      </c>
      <c r="Q2285" s="22"/>
      <c r="R2285" s="23" t="s">
        <v>16</v>
      </c>
      <c r="S2285" s="22"/>
      <c r="T2285" s="23" t="s">
        <v>17</v>
      </c>
      <c r="U2285" s="22"/>
      <c r="V2285" s="23" t="s">
        <v>18</v>
      </c>
      <c r="W2285" s="22"/>
      <c r="X2285" s="23" t="s">
        <v>19</v>
      </c>
      <c r="Y2285" s="22"/>
      <c r="Z2285" s="24" t="s">
        <v>402</v>
      </c>
      <c r="AA2285" s="118" t="s">
        <v>21</v>
      </c>
      <c r="AB2285" s="119" t="s">
        <v>22</v>
      </c>
      <c r="AC2285" s="7"/>
      <c r="AD2285" s="22"/>
      <c r="AE2285" s="120" t="s">
        <v>23</v>
      </c>
      <c r="AF2285" s="22"/>
      <c r="AG2285" s="1"/>
    </row>
    <row r="2286" ht="21.0" customHeight="1">
      <c r="A2286" s="1"/>
      <c r="B2286" s="27">
        <f>iferror(B2285-'현황'!$C$4+1,0)</f>
        <v>0</v>
      </c>
      <c r="C2286" s="28"/>
      <c r="D2286" s="29">
        <v>0.0</v>
      </c>
      <c r="E2286" s="30">
        <v>0.0</v>
      </c>
      <c r="F2286" s="31"/>
      <c r="G2286" s="32">
        <v>0.0</v>
      </c>
      <c r="H2286" s="33">
        <v>0.0</v>
      </c>
      <c r="I2286" s="34"/>
      <c r="J2286" s="35"/>
      <c r="K2286" s="36"/>
      <c r="L2286" s="35"/>
      <c r="M2286" s="36"/>
      <c r="N2286" s="35"/>
      <c r="O2286" s="36"/>
      <c r="P2286" s="35"/>
      <c r="Q2286" s="36"/>
      <c r="R2286" s="35"/>
      <c r="S2286" s="36"/>
      <c r="T2286" s="35"/>
      <c r="U2286" s="36"/>
      <c r="V2286" s="35"/>
      <c r="W2286" s="36"/>
      <c r="X2286" s="35"/>
      <c r="Y2286" s="36"/>
      <c r="Z2286" s="37"/>
      <c r="AA2286" s="37"/>
      <c r="AB2286" s="35"/>
      <c r="AC2286" s="38"/>
      <c r="AD2286" s="36"/>
      <c r="AE2286" s="35"/>
      <c r="AF2286" s="36"/>
      <c r="AG2286" s="1"/>
    </row>
    <row r="2287" ht="21.0" customHeight="1">
      <c r="A2287" s="1"/>
      <c r="B2287" s="39" t="s">
        <v>24</v>
      </c>
      <c r="C2287" s="40"/>
      <c r="D2287" s="41"/>
      <c r="E2287" s="42" t="s">
        <v>25</v>
      </c>
      <c r="F2287" s="40"/>
      <c r="G2287" s="41"/>
      <c r="H2287" s="43" t="s">
        <v>26</v>
      </c>
      <c r="J2287" s="44" t="s">
        <v>27</v>
      </c>
      <c r="K2287" s="45" t="s">
        <v>28</v>
      </c>
      <c r="L2287" s="44" t="s">
        <v>27</v>
      </c>
      <c r="M2287" s="45" t="s">
        <v>28</v>
      </c>
      <c r="N2287" s="44" t="s">
        <v>27</v>
      </c>
      <c r="O2287" s="45" t="s">
        <v>28</v>
      </c>
      <c r="P2287" s="44" t="s">
        <v>27</v>
      </c>
      <c r="Q2287" s="45" t="s">
        <v>28</v>
      </c>
      <c r="R2287" s="44" t="s">
        <v>27</v>
      </c>
      <c r="S2287" s="45" t="s">
        <v>28</v>
      </c>
      <c r="T2287" s="44" t="s">
        <v>27</v>
      </c>
      <c r="U2287" s="45" t="s">
        <v>28</v>
      </c>
      <c r="V2287" s="44" t="s">
        <v>27</v>
      </c>
      <c r="W2287" s="45" t="s">
        <v>28</v>
      </c>
      <c r="X2287" s="44" t="s">
        <v>27</v>
      </c>
      <c r="Y2287" s="45" t="s">
        <v>28</v>
      </c>
      <c r="Z2287" s="46"/>
      <c r="AA2287" s="46"/>
      <c r="AB2287" s="121" t="s">
        <v>29</v>
      </c>
      <c r="AC2287" s="122" t="s">
        <v>30</v>
      </c>
      <c r="AD2287" s="123" t="s">
        <v>31</v>
      </c>
      <c r="AE2287" s="121" t="s">
        <v>27</v>
      </c>
      <c r="AF2287" s="123" t="s">
        <v>28</v>
      </c>
      <c r="AG2287" s="1"/>
    </row>
    <row r="2288" ht="21.0" customHeight="1">
      <c r="A2288" s="1"/>
      <c r="B2288" s="48" t="s">
        <v>32</v>
      </c>
      <c r="C2288" s="49"/>
      <c r="D2288" s="50"/>
      <c r="E2288" s="51" t="s">
        <v>33</v>
      </c>
      <c r="F2288" s="52" t="s">
        <v>34</v>
      </c>
      <c r="G2288" s="53"/>
      <c r="H2288" s="148"/>
      <c r="I2288" s="55"/>
      <c r="J2288" s="58"/>
      <c r="K2288" s="59"/>
      <c r="L2288" s="58"/>
      <c r="M2288" s="59"/>
      <c r="N2288" s="58"/>
      <c r="O2288" s="59"/>
      <c r="P2288" s="58"/>
      <c r="Q2288" s="59"/>
      <c r="R2288" s="58"/>
      <c r="S2288" s="59"/>
      <c r="T2288" s="58"/>
      <c r="U2288" s="59"/>
      <c r="V2288" s="58"/>
      <c r="W2288" s="59"/>
      <c r="X2288" s="58"/>
      <c r="Y2288" s="59"/>
      <c r="Z2288" s="60" t="b">
        <v>0</v>
      </c>
      <c r="AA2288" s="125">
        <f t="shared" ref="AA2288:AA2296" si="913">(J2288*K2288+L2288*M2288+N2288*O2288+P2288*Q2288+R2288*S2288+T2288*U2288+V2288*W2288+X2288*Y2288)*if(Z2288=true,0.453592,1)</f>
        <v>0</v>
      </c>
      <c r="AB2288" s="126">
        <f t="shared" ref="AB2288:AB2296" si="914">SUM(AE2288*AF2288*0.025,AE2288)</f>
        <v>0</v>
      </c>
      <c r="AC2288" s="127">
        <f t="shared" ref="AC2288:AC2296" si="915">AB2288*87%</f>
        <v>0</v>
      </c>
      <c r="AD2288" s="128">
        <f t="shared" ref="AD2288:AD2296" si="916">AB2288*67%</f>
        <v>0</v>
      </c>
      <c r="AE2288" s="126">
        <f t="shared" ref="AE2288:AE2296" si="917">MAX(J2288,L2288,N2288,P2288,R2288,T2288,V2288,X2288)*if(Z2288=true,0.453592,1)</f>
        <v>0</v>
      </c>
      <c r="AF2288" s="128">
        <f t="shared" ref="AF2288:AF2296" si="918">MAX(IF(J2288*if(Z2288=true,0.453592,1)=$AE2288,K2288,0),IF(L2288*if(Z2288=true,0.453592,1)=$AE2288,M2288,0),IF(N2288*if(Z2288=true,0.453592,1)=$AE2288,O2288,0),IF(P2288*if(Z2288=true,0.453592,1)=$AE2288,Q2288,0),IF(R2288*if(Z2288=true,0.453592,1)=$AE2288,S2288,0),IF(T2288*if(Z2288=true,0.453592,1)=$AE2288,U2288,0),IF(V2288*if(Z2288=true,0.453592,1)=$AE2288,W2288,0),IF(X2288*if(Z2288=true,0.453592,1)=$AE2288,Y2288,0))</f>
        <v>0</v>
      </c>
      <c r="AG2288" s="1"/>
    </row>
    <row r="2289" ht="21.0" customHeight="1">
      <c r="A2289" s="1"/>
      <c r="B2289" s="48" t="s">
        <v>36</v>
      </c>
      <c r="C2289" s="49"/>
      <c r="D2289" s="65"/>
      <c r="E2289" s="66"/>
      <c r="F2289" s="52" t="s">
        <v>37</v>
      </c>
      <c r="G2289" s="67"/>
      <c r="H2289" s="129"/>
      <c r="I2289" s="69"/>
      <c r="J2289" s="72"/>
      <c r="K2289" s="73"/>
      <c r="L2289" s="72"/>
      <c r="M2289" s="73"/>
      <c r="N2289" s="72"/>
      <c r="O2289" s="73"/>
      <c r="P2289" s="72"/>
      <c r="Q2289" s="73"/>
      <c r="R2289" s="72"/>
      <c r="S2289" s="73"/>
      <c r="T2289" s="72"/>
      <c r="U2289" s="73"/>
      <c r="V2289" s="72"/>
      <c r="W2289" s="73"/>
      <c r="X2289" s="72"/>
      <c r="Y2289" s="73"/>
      <c r="Z2289" s="74" t="b">
        <v>0</v>
      </c>
      <c r="AA2289" s="130">
        <f t="shared" si="913"/>
        <v>0</v>
      </c>
      <c r="AB2289" s="131">
        <f t="shared" si="914"/>
        <v>0</v>
      </c>
      <c r="AC2289" s="132">
        <f t="shared" si="915"/>
        <v>0</v>
      </c>
      <c r="AD2289" s="133">
        <f t="shared" si="916"/>
        <v>0</v>
      </c>
      <c r="AE2289" s="131">
        <f t="shared" si="917"/>
        <v>0</v>
      </c>
      <c r="AF2289" s="133">
        <f t="shared" si="918"/>
        <v>0</v>
      </c>
      <c r="AG2289" s="1"/>
    </row>
    <row r="2290" ht="21.0" customHeight="1">
      <c r="A2290" s="1"/>
      <c r="B2290" s="48" t="s">
        <v>39</v>
      </c>
      <c r="C2290" s="49"/>
      <c r="D2290" s="65"/>
      <c r="E2290" s="41"/>
      <c r="F2290" s="52" t="s">
        <v>40</v>
      </c>
      <c r="G2290" s="79"/>
      <c r="H2290" s="80"/>
      <c r="I2290" s="69"/>
      <c r="J2290" s="72"/>
      <c r="K2290" s="73"/>
      <c r="L2290" s="72"/>
      <c r="M2290" s="73"/>
      <c r="N2290" s="72"/>
      <c r="O2290" s="73"/>
      <c r="P2290" s="72"/>
      <c r="Q2290" s="73"/>
      <c r="R2290" s="72"/>
      <c r="S2290" s="73"/>
      <c r="T2290" s="72"/>
      <c r="U2290" s="73"/>
      <c r="V2290" s="72"/>
      <c r="W2290" s="73"/>
      <c r="X2290" s="72"/>
      <c r="Y2290" s="73"/>
      <c r="Z2290" s="74" t="b">
        <v>0</v>
      </c>
      <c r="AA2290" s="130">
        <f t="shared" si="913"/>
        <v>0</v>
      </c>
      <c r="AB2290" s="131">
        <f t="shared" si="914"/>
        <v>0</v>
      </c>
      <c r="AC2290" s="132">
        <f t="shared" si="915"/>
        <v>0</v>
      </c>
      <c r="AD2290" s="133">
        <f t="shared" si="916"/>
        <v>0</v>
      </c>
      <c r="AE2290" s="131">
        <f t="shared" si="917"/>
        <v>0</v>
      </c>
      <c r="AF2290" s="133">
        <f t="shared" si="918"/>
        <v>0</v>
      </c>
      <c r="AG2290" s="1"/>
    </row>
    <row r="2291" ht="21.0" customHeight="1">
      <c r="A2291" s="1"/>
      <c r="B2291" s="48" t="s">
        <v>41</v>
      </c>
      <c r="C2291" s="81"/>
      <c r="D2291" s="82" t="b">
        <v>0</v>
      </c>
      <c r="E2291" s="51" t="s">
        <v>42</v>
      </c>
      <c r="F2291" s="52" t="s">
        <v>34</v>
      </c>
      <c r="G2291" s="83"/>
      <c r="H2291" s="84"/>
      <c r="I2291" s="85"/>
      <c r="J2291" s="72"/>
      <c r="K2291" s="73"/>
      <c r="L2291" s="72"/>
      <c r="M2291" s="73"/>
      <c r="N2291" s="72"/>
      <c r="O2291" s="73"/>
      <c r="P2291" s="72"/>
      <c r="Q2291" s="73"/>
      <c r="R2291" s="72"/>
      <c r="S2291" s="73"/>
      <c r="T2291" s="72"/>
      <c r="U2291" s="73"/>
      <c r="V2291" s="72"/>
      <c r="W2291" s="73"/>
      <c r="X2291" s="72"/>
      <c r="Y2291" s="73"/>
      <c r="Z2291" s="74" t="b">
        <v>0</v>
      </c>
      <c r="AA2291" s="130">
        <f t="shared" si="913"/>
        <v>0</v>
      </c>
      <c r="AB2291" s="131">
        <f t="shared" si="914"/>
        <v>0</v>
      </c>
      <c r="AC2291" s="132">
        <f t="shared" si="915"/>
        <v>0</v>
      </c>
      <c r="AD2291" s="133">
        <f t="shared" si="916"/>
        <v>0</v>
      </c>
      <c r="AE2291" s="131">
        <f t="shared" si="917"/>
        <v>0</v>
      </c>
      <c r="AF2291" s="133">
        <f t="shared" si="918"/>
        <v>0</v>
      </c>
      <c r="AG2291" s="1"/>
    </row>
    <row r="2292" ht="21.0" customHeight="1">
      <c r="A2292" s="1"/>
      <c r="B2292" s="48" t="s">
        <v>43</v>
      </c>
      <c r="C2292" s="49"/>
      <c r="D2292" s="86" t="b">
        <v>0</v>
      </c>
      <c r="E2292" s="66"/>
      <c r="F2292" s="52" t="s">
        <v>37</v>
      </c>
      <c r="G2292" s="67"/>
      <c r="H2292" s="80"/>
      <c r="I2292" s="69"/>
      <c r="J2292" s="72"/>
      <c r="K2292" s="73"/>
      <c r="L2292" s="72"/>
      <c r="M2292" s="73"/>
      <c r="N2292" s="72"/>
      <c r="O2292" s="73"/>
      <c r="P2292" s="72"/>
      <c r="Q2292" s="73"/>
      <c r="R2292" s="72"/>
      <c r="S2292" s="73"/>
      <c r="T2292" s="72"/>
      <c r="U2292" s="73"/>
      <c r="V2292" s="72"/>
      <c r="W2292" s="73"/>
      <c r="X2292" s="72"/>
      <c r="Y2292" s="73"/>
      <c r="Z2292" s="74" t="b">
        <v>0</v>
      </c>
      <c r="AA2292" s="130">
        <f t="shared" si="913"/>
        <v>0</v>
      </c>
      <c r="AB2292" s="131">
        <f t="shared" si="914"/>
        <v>0</v>
      </c>
      <c r="AC2292" s="132">
        <f t="shared" si="915"/>
        <v>0</v>
      </c>
      <c r="AD2292" s="133">
        <f t="shared" si="916"/>
        <v>0</v>
      </c>
      <c r="AE2292" s="131">
        <f t="shared" si="917"/>
        <v>0</v>
      </c>
      <c r="AF2292" s="133">
        <f t="shared" si="918"/>
        <v>0</v>
      </c>
      <c r="AG2292" s="1"/>
    </row>
    <row r="2293" ht="21.0" customHeight="1">
      <c r="A2293" s="1"/>
      <c r="B2293" s="87" t="str">
        <f t="array" ref="B2293">"📌최근 인바디 결과 : "&amp;text(xlookup(B2285,'현황'!O:O,'현황'!O:O,,-1,-1),"m/d(ddd)")</f>
        <v>#REF!</v>
      </c>
      <c r="C2293" s="88"/>
      <c r="D2293" s="49"/>
      <c r="E2293" s="41"/>
      <c r="F2293" s="52" t="s">
        <v>40</v>
      </c>
      <c r="G2293" s="79"/>
      <c r="H2293" s="80"/>
      <c r="I2293" s="69"/>
      <c r="J2293" s="72"/>
      <c r="K2293" s="73"/>
      <c r="L2293" s="72"/>
      <c r="M2293" s="73"/>
      <c r="N2293" s="72"/>
      <c r="O2293" s="73"/>
      <c r="P2293" s="72"/>
      <c r="Q2293" s="73"/>
      <c r="R2293" s="72"/>
      <c r="S2293" s="73"/>
      <c r="T2293" s="72"/>
      <c r="U2293" s="73"/>
      <c r="V2293" s="72"/>
      <c r="W2293" s="73"/>
      <c r="X2293" s="72"/>
      <c r="Y2293" s="73"/>
      <c r="Z2293" s="74" t="b">
        <v>0</v>
      </c>
      <c r="AA2293" s="130">
        <f t="shared" si="913"/>
        <v>0</v>
      </c>
      <c r="AB2293" s="131">
        <f t="shared" si="914"/>
        <v>0</v>
      </c>
      <c r="AC2293" s="132">
        <f t="shared" si="915"/>
        <v>0</v>
      </c>
      <c r="AD2293" s="133">
        <f t="shared" si="916"/>
        <v>0</v>
      </c>
      <c r="AE2293" s="131">
        <f t="shared" si="917"/>
        <v>0</v>
      </c>
      <c r="AF2293" s="133">
        <f t="shared" si="918"/>
        <v>0</v>
      </c>
      <c r="AG2293" s="1"/>
    </row>
    <row r="2294" ht="21.0" customHeight="1">
      <c r="A2294" s="1"/>
      <c r="B2294" s="89" t="s">
        <v>44</v>
      </c>
      <c r="C2294" s="49"/>
      <c r="D2294" s="90">
        <f t="array" ref="D2294">iferror(vlookup(xlookup(B2285,'현황'!O:O,'현황'!O:O,,-1,-1),'현황'!O:S,2,false),0)</f>
        <v>0</v>
      </c>
      <c r="E2294" s="51" t="s">
        <v>45</v>
      </c>
      <c r="F2294" s="52" t="s">
        <v>34</v>
      </c>
      <c r="G2294" s="83"/>
      <c r="H2294" s="84"/>
      <c r="I2294" s="85"/>
      <c r="J2294" s="72"/>
      <c r="K2294" s="73"/>
      <c r="L2294" s="72"/>
      <c r="M2294" s="73"/>
      <c r="N2294" s="72"/>
      <c r="O2294" s="73"/>
      <c r="P2294" s="72"/>
      <c r="Q2294" s="73"/>
      <c r="R2294" s="72"/>
      <c r="S2294" s="73"/>
      <c r="T2294" s="72"/>
      <c r="U2294" s="73"/>
      <c r="V2294" s="72"/>
      <c r="W2294" s="73"/>
      <c r="X2294" s="72"/>
      <c r="Y2294" s="73"/>
      <c r="Z2294" s="74" t="b">
        <v>0</v>
      </c>
      <c r="AA2294" s="130">
        <f t="shared" si="913"/>
        <v>0</v>
      </c>
      <c r="AB2294" s="131">
        <f t="shared" si="914"/>
        <v>0</v>
      </c>
      <c r="AC2294" s="132">
        <f t="shared" si="915"/>
        <v>0</v>
      </c>
      <c r="AD2294" s="133">
        <f t="shared" si="916"/>
        <v>0</v>
      </c>
      <c r="AE2294" s="131">
        <f t="shared" si="917"/>
        <v>0</v>
      </c>
      <c r="AF2294" s="133">
        <f t="shared" si="918"/>
        <v>0</v>
      </c>
      <c r="AG2294" s="1"/>
    </row>
    <row r="2295" ht="21.0" customHeight="1">
      <c r="A2295" s="1"/>
      <c r="B2295" s="48" t="s">
        <v>46</v>
      </c>
      <c r="C2295" s="49"/>
      <c r="D2295" s="91">
        <f t="array" ref="D2295">iferror(vlookup(xlookup(B2285,'현황'!O:O,'현황'!O:O,,-1,-1),'현황'!O:S,3,false),0)</f>
        <v>0</v>
      </c>
      <c r="E2295" s="66"/>
      <c r="F2295" s="52" t="s">
        <v>37</v>
      </c>
      <c r="G2295" s="67"/>
      <c r="H2295" s="80"/>
      <c r="I2295" s="69"/>
      <c r="J2295" s="72"/>
      <c r="K2295" s="73"/>
      <c r="L2295" s="72"/>
      <c r="M2295" s="73"/>
      <c r="N2295" s="72"/>
      <c r="O2295" s="73"/>
      <c r="P2295" s="72"/>
      <c r="Q2295" s="73"/>
      <c r="R2295" s="72"/>
      <c r="S2295" s="73"/>
      <c r="T2295" s="72"/>
      <c r="U2295" s="73"/>
      <c r="V2295" s="72"/>
      <c r="W2295" s="73"/>
      <c r="X2295" s="72"/>
      <c r="Y2295" s="73"/>
      <c r="Z2295" s="74" t="b">
        <v>0</v>
      </c>
      <c r="AA2295" s="130">
        <f t="shared" si="913"/>
        <v>0</v>
      </c>
      <c r="AB2295" s="131">
        <f t="shared" si="914"/>
        <v>0</v>
      </c>
      <c r="AC2295" s="132">
        <f t="shared" si="915"/>
        <v>0</v>
      </c>
      <c r="AD2295" s="133">
        <f t="shared" si="916"/>
        <v>0</v>
      </c>
      <c r="AE2295" s="131">
        <f t="shared" si="917"/>
        <v>0</v>
      </c>
      <c r="AF2295" s="133">
        <f t="shared" si="918"/>
        <v>0</v>
      </c>
      <c r="AG2295" s="1"/>
    </row>
    <row r="2296" ht="21.0" customHeight="1">
      <c r="A2296" s="1"/>
      <c r="B2296" s="48" t="s">
        <v>47</v>
      </c>
      <c r="C2296" s="49"/>
      <c r="D2296" s="91">
        <f t="array" ref="D2296">iferror(vlookup(xlookup(B2285,'현황'!O:O,'현황'!O:O,,-1,-1),'현황'!O:S,4,false),0)</f>
        <v>0</v>
      </c>
      <c r="E2296" s="41"/>
      <c r="F2296" s="92" t="s">
        <v>40</v>
      </c>
      <c r="G2296" s="79"/>
      <c r="H2296" s="93"/>
      <c r="I2296" s="94"/>
      <c r="J2296" s="95"/>
      <c r="K2296" s="96"/>
      <c r="L2296" s="95"/>
      <c r="M2296" s="96"/>
      <c r="N2296" s="95"/>
      <c r="O2296" s="96"/>
      <c r="P2296" s="95"/>
      <c r="Q2296" s="96"/>
      <c r="R2296" s="95"/>
      <c r="S2296" s="96"/>
      <c r="T2296" s="95"/>
      <c r="U2296" s="96"/>
      <c r="V2296" s="95"/>
      <c r="W2296" s="96"/>
      <c r="X2296" s="95"/>
      <c r="Y2296" s="96"/>
      <c r="Z2296" s="97" t="b">
        <v>0</v>
      </c>
      <c r="AA2296" s="135">
        <f t="shared" si="913"/>
        <v>0</v>
      </c>
      <c r="AB2296" s="136">
        <f t="shared" si="914"/>
        <v>0</v>
      </c>
      <c r="AC2296" s="137">
        <f t="shared" si="915"/>
        <v>0</v>
      </c>
      <c r="AD2296" s="138">
        <f t="shared" si="916"/>
        <v>0</v>
      </c>
      <c r="AE2296" s="136">
        <f t="shared" si="917"/>
        <v>0</v>
      </c>
      <c r="AF2296" s="138">
        <f t="shared" si="918"/>
        <v>0</v>
      </c>
      <c r="AG2296" s="1"/>
    </row>
    <row r="2297" ht="21.0" customHeight="1">
      <c r="A2297" s="1"/>
      <c r="B2297" s="102" t="s">
        <v>48</v>
      </c>
      <c r="C2297" s="103"/>
      <c r="D2297" s="104">
        <f>iferror(D2296/D2294,0)</f>
        <v>0</v>
      </c>
      <c r="E2297" s="102" t="s">
        <v>49</v>
      </c>
      <c r="F2297" s="103"/>
      <c r="G2297" s="105"/>
      <c r="H2297" s="106" t="s">
        <v>50</v>
      </c>
      <c r="I2297" s="107"/>
      <c r="J2297" s="11"/>
      <c r="K2297" s="11"/>
      <c r="L2297" s="11"/>
      <c r="M2297" s="11"/>
      <c r="N2297" s="11"/>
      <c r="O2297" s="11"/>
      <c r="P2297" s="108" t="s">
        <v>51</v>
      </c>
      <c r="Q2297" s="12"/>
      <c r="R2297" s="109"/>
      <c r="S2297" s="11"/>
      <c r="T2297" s="11"/>
      <c r="U2297" s="11"/>
      <c r="V2297" s="11"/>
      <c r="W2297" s="11"/>
      <c r="X2297" s="11"/>
      <c r="Y2297" s="11"/>
      <c r="Z2297" s="12"/>
      <c r="AA2297" s="139">
        <f>SUM(AA2288:AA2296)</f>
        <v>0</v>
      </c>
      <c r="AB2297" s="140" t="s">
        <v>403</v>
      </c>
      <c r="AG2297" s="1"/>
    </row>
    <row r="2298" ht="21.0" customHeight="1">
      <c r="A2298" s="1"/>
      <c r="B2298" s="1"/>
      <c r="C2298" s="1"/>
      <c r="D2298" s="1"/>
      <c r="E2298" s="1"/>
      <c r="F2298" s="1"/>
      <c r="G2298" s="1"/>
      <c r="H2298" s="1"/>
      <c r="I2298" s="1"/>
      <c r="AA2298" s="1"/>
      <c r="AB2298" s="1"/>
      <c r="AC2298" s="3"/>
      <c r="AD2298" s="1"/>
      <c r="AE2298" s="1"/>
      <c r="AF2298" s="1"/>
      <c r="AG2298" s="1"/>
    </row>
    <row r="2299" ht="21.0" customHeight="1">
      <c r="A2299" s="1"/>
      <c r="B2299" s="4" t="s">
        <v>1</v>
      </c>
      <c r="C2299" s="5"/>
      <c r="D2299" s="6" t="s">
        <v>2</v>
      </c>
      <c r="E2299" s="7"/>
      <c r="F2299" s="7"/>
      <c r="G2299" s="5"/>
      <c r="H2299" s="8" t="s">
        <v>3</v>
      </c>
      <c r="I2299" s="8" t="s">
        <v>4</v>
      </c>
      <c r="J2299" s="9" t="s">
        <v>5</v>
      </c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5"/>
      <c r="AA2299" s="117" t="s">
        <v>6</v>
      </c>
      <c r="AB2299" s="11"/>
      <c r="AC2299" s="11"/>
      <c r="AD2299" s="11"/>
      <c r="AE2299" s="11"/>
      <c r="AF2299" s="12"/>
      <c r="AG2299" s="1"/>
    </row>
    <row r="2300" ht="21.0" customHeight="1">
      <c r="A2300" s="1"/>
      <c r="B2300" s="149" t="s">
        <v>138</v>
      </c>
      <c r="C2300" s="14" t="str">
        <f>if(B2300="0/0","",choose(weekday(B2300),"(일)","(월)","(화)","(수)","(목)","(금)","(토)"))</f>
        <v/>
      </c>
      <c r="D2300" s="15" t="s">
        <v>7</v>
      </c>
      <c r="E2300" s="16" t="s">
        <v>8</v>
      </c>
      <c r="F2300" s="17"/>
      <c r="G2300" s="18" t="s">
        <v>9</v>
      </c>
      <c r="H2300" s="150" t="s">
        <v>139</v>
      </c>
      <c r="I2300" s="151"/>
      <c r="J2300" s="21" t="s">
        <v>12</v>
      </c>
      <c r="K2300" s="22"/>
      <c r="L2300" s="21" t="s">
        <v>13</v>
      </c>
      <c r="M2300" s="22"/>
      <c r="N2300" s="21" t="s">
        <v>14</v>
      </c>
      <c r="O2300" s="22"/>
      <c r="P2300" s="21" t="s">
        <v>15</v>
      </c>
      <c r="Q2300" s="22"/>
      <c r="R2300" s="23" t="s">
        <v>16</v>
      </c>
      <c r="S2300" s="22"/>
      <c r="T2300" s="23" t="s">
        <v>17</v>
      </c>
      <c r="U2300" s="22"/>
      <c r="V2300" s="23" t="s">
        <v>18</v>
      </c>
      <c r="W2300" s="22"/>
      <c r="X2300" s="23" t="s">
        <v>19</v>
      </c>
      <c r="Y2300" s="22"/>
      <c r="Z2300" s="24" t="s">
        <v>404</v>
      </c>
      <c r="AA2300" s="118" t="s">
        <v>21</v>
      </c>
      <c r="AB2300" s="119" t="s">
        <v>22</v>
      </c>
      <c r="AC2300" s="7"/>
      <c r="AD2300" s="22"/>
      <c r="AE2300" s="120" t="s">
        <v>23</v>
      </c>
      <c r="AF2300" s="22"/>
      <c r="AG2300" s="1"/>
    </row>
    <row r="2301" ht="21.0" customHeight="1">
      <c r="A2301" s="1"/>
      <c r="B2301" s="27">
        <f>iferror(B2300-'현황'!$C$4+1,0)</f>
        <v>0</v>
      </c>
      <c r="C2301" s="28"/>
      <c r="D2301" s="29">
        <v>0.0</v>
      </c>
      <c r="E2301" s="30">
        <v>0.0</v>
      </c>
      <c r="F2301" s="31"/>
      <c r="G2301" s="32">
        <v>0.0</v>
      </c>
      <c r="H2301" s="33">
        <v>0.0</v>
      </c>
      <c r="I2301" s="34"/>
      <c r="J2301" s="35"/>
      <c r="K2301" s="36"/>
      <c r="L2301" s="35"/>
      <c r="M2301" s="36"/>
      <c r="N2301" s="35"/>
      <c r="O2301" s="36"/>
      <c r="P2301" s="35"/>
      <c r="Q2301" s="36"/>
      <c r="R2301" s="35"/>
      <c r="S2301" s="36"/>
      <c r="T2301" s="35"/>
      <c r="U2301" s="36"/>
      <c r="V2301" s="35"/>
      <c r="W2301" s="36"/>
      <c r="X2301" s="35"/>
      <c r="Y2301" s="36"/>
      <c r="Z2301" s="37"/>
      <c r="AA2301" s="37"/>
      <c r="AB2301" s="35"/>
      <c r="AC2301" s="38"/>
      <c r="AD2301" s="36"/>
      <c r="AE2301" s="35"/>
      <c r="AF2301" s="36"/>
      <c r="AG2301" s="1"/>
    </row>
    <row r="2302" ht="21.0" customHeight="1">
      <c r="A2302" s="1"/>
      <c r="B2302" s="39" t="s">
        <v>24</v>
      </c>
      <c r="C2302" s="40"/>
      <c r="D2302" s="41"/>
      <c r="E2302" s="42" t="s">
        <v>25</v>
      </c>
      <c r="F2302" s="40"/>
      <c r="G2302" s="41"/>
      <c r="H2302" s="43" t="s">
        <v>26</v>
      </c>
      <c r="J2302" s="44" t="s">
        <v>27</v>
      </c>
      <c r="K2302" s="45" t="s">
        <v>28</v>
      </c>
      <c r="L2302" s="44" t="s">
        <v>27</v>
      </c>
      <c r="M2302" s="45" t="s">
        <v>28</v>
      </c>
      <c r="N2302" s="44" t="s">
        <v>27</v>
      </c>
      <c r="O2302" s="45" t="s">
        <v>28</v>
      </c>
      <c r="P2302" s="44" t="s">
        <v>27</v>
      </c>
      <c r="Q2302" s="45" t="s">
        <v>28</v>
      </c>
      <c r="R2302" s="44" t="s">
        <v>27</v>
      </c>
      <c r="S2302" s="45" t="s">
        <v>28</v>
      </c>
      <c r="T2302" s="44" t="s">
        <v>27</v>
      </c>
      <c r="U2302" s="45" t="s">
        <v>28</v>
      </c>
      <c r="V2302" s="44" t="s">
        <v>27</v>
      </c>
      <c r="W2302" s="45" t="s">
        <v>28</v>
      </c>
      <c r="X2302" s="44" t="s">
        <v>27</v>
      </c>
      <c r="Y2302" s="45" t="s">
        <v>28</v>
      </c>
      <c r="Z2302" s="46"/>
      <c r="AA2302" s="46"/>
      <c r="AB2302" s="121" t="s">
        <v>29</v>
      </c>
      <c r="AC2302" s="122" t="s">
        <v>30</v>
      </c>
      <c r="AD2302" s="123" t="s">
        <v>31</v>
      </c>
      <c r="AE2302" s="121" t="s">
        <v>27</v>
      </c>
      <c r="AF2302" s="123" t="s">
        <v>28</v>
      </c>
      <c r="AG2302" s="1"/>
    </row>
    <row r="2303" ht="21.0" customHeight="1">
      <c r="A2303" s="1"/>
      <c r="B2303" s="48" t="s">
        <v>32</v>
      </c>
      <c r="C2303" s="49"/>
      <c r="D2303" s="50"/>
      <c r="E2303" s="51" t="s">
        <v>33</v>
      </c>
      <c r="F2303" s="52" t="s">
        <v>34</v>
      </c>
      <c r="G2303" s="53"/>
      <c r="H2303" s="148"/>
      <c r="I2303" s="55"/>
      <c r="J2303" s="58"/>
      <c r="K2303" s="59"/>
      <c r="L2303" s="58"/>
      <c r="M2303" s="59"/>
      <c r="N2303" s="58"/>
      <c r="O2303" s="59"/>
      <c r="P2303" s="58"/>
      <c r="Q2303" s="59"/>
      <c r="R2303" s="58"/>
      <c r="S2303" s="59"/>
      <c r="T2303" s="58"/>
      <c r="U2303" s="59"/>
      <c r="V2303" s="58"/>
      <c r="W2303" s="59"/>
      <c r="X2303" s="58"/>
      <c r="Y2303" s="59"/>
      <c r="Z2303" s="60" t="b">
        <v>0</v>
      </c>
      <c r="AA2303" s="125">
        <f t="shared" ref="AA2303:AA2311" si="919">(J2303*K2303+L2303*M2303+N2303*O2303+P2303*Q2303+R2303*S2303+T2303*U2303+V2303*W2303+X2303*Y2303)*if(Z2303=true,0.453592,1)</f>
        <v>0</v>
      </c>
      <c r="AB2303" s="126">
        <f t="shared" ref="AB2303:AB2311" si="920">SUM(AE2303*AF2303*0.025,AE2303)</f>
        <v>0</v>
      </c>
      <c r="AC2303" s="127">
        <f t="shared" ref="AC2303:AC2311" si="921">AB2303*87%</f>
        <v>0</v>
      </c>
      <c r="AD2303" s="128">
        <f t="shared" ref="AD2303:AD2311" si="922">AB2303*67%</f>
        <v>0</v>
      </c>
      <c r="AE2303" s="126">
        <f t="shared" ref="AE2303:AE2311" si="923">MAX(J2303,L2303,N2303,P2303,R2303,T2303,V2303,X2303)*if(Z2303=true,0.453592,1)</f>
        <v>0</v>
      </c>
      <c r="AF2303" s="128">
        <f t="shared" ref="AF2303:AF2311" si="924">MAX(IF(J2303*if(Z2303=true,0.453592,1)=$AE2303,K2303,0),IF(L2303*if(Z2303=true,0.453592,1)=$AE2303,M2303,0),IF(N2303*if(Z2303=true,0.453592,1)=$AE2303,O2303,0),IF(P2303*if(Z2303=true,0.453592,1)=$AE2303,Q2303,0),IF(R2303*if(Z2303=true,0.453592,1)=$AE2303,S2303,0),IF(T2303*if(Z2303=true,0.453592,1)=$AE2303,U2303,0),IF(V2303*if(Z2303=true,0.453592,1)=$AE2303,W2303,0),IF(X2303*if(Z2303=true,0.453592,1)=$AE2303,Y2303,0))</f>
        <v>0</v>
      </c>
      <c r="AG2303" s="1"/>
    </row>
    <row r="2304" ht="21.0" customHeight="1">
      <c r="A2304" s="1"/>
      <c r="B2304" s="48" t="s">
        <v>36</v>
      </c>
      <c r="C2304" s="49"/>
      <c r="D2304" s="65"/>
      <c r="E2304" s="66"/>
      <c r="F2304" s="52" t="s">
        <v>37</v>
      </c>
      <c r="G2304" s="67"/>
      <c r="H2304" s="129"/>
      <c r="I2304" s="69"/>
      <c r="J2304" s="72"/>
      <c r="K2304" s="73"/>
      <c r="L2304" s="72"/>
      <c r="M2304" s="73"/>
      <c r="N2304" s="72"/>
      <c r="O2304" s="73"/>
      <c r="P2304" s="72"/>
      <c r="Q2304" s="73"/>
      <c r="R2304" s="72"/>
      <c r="S2304" s="73"/>
      <c r="T2304" s="72"/>
      <c r="U2304" s="73"/>
      <c r="V2304" s="72"/>
      <c r="W2304" s="73"/>
      <c r="X2304" s="72"/>
      <c r="Y2304" s="73"/>
      <c r="Z2304" s="74" t="b">
        <v>0</v>
      </c>
      <c r="AA2304" s="130">
        <f t="shared" si="919"/>
        <v>0</v>
      </c>
      <c r="AB2304" s="131">
        <f t="shared" si="920"/>
        <v>0</v>
      </c>
      <c r="AC2304" s="132">
        <f t="shared" si="921"/>
        <v>0</v>
      </c>
      <c r="AD2304" s="133">
        <f t="shared" si="922"/>
        <v>0</v>
      </c>
      <c r="AE2304" s="131">
        <f t="shared" si="923"/>
        <v>0</v>
      </c>
      <c r="AF2304" s="133">
        <f t="shared" si="924"/>
        <v>0</v>
      </c>
      <c r="AG2304" s="1"/>
    </row>
    <row r="2305" ht="21.0" customHeight="1">
      <c r="A2305" s="1"/>
      <c r="B2305" s="48" t="s">
        <v>39</v>
      </c>
      <c r="C2305" s="49"/>
      <c r="D2305" s="65"/>
      <c r="E2305" s="41"/>
      <c r="F2305" s="52" t="s">
        <v>40</v>
      </c>
      <c r="G2305" s="79"/>
      <c r="H2305" s="80"/>
      <c r="I2305" s="69"/>
      <c r="J2305" s="72"/>
      <c r="K2305" s="73"/>
      <c r="L2305" s="72"/>
      <c r="M2305" s="73"/>
      <c r="N2305" s="72"/>
      <c r="O2305" s="73"/>
      <c r="P2305" s="72"/>
      <c r="Q2305" s="73"/>
      <c r="R2305" s="72"/>
      <c r="S2305" s="73"/>
      <c r="T2305" s="72"/>
      <c r="U2305" s="73"/>
      <c r="V2305" s="72"/>
      <c r="W2305" s="73"/>
      <c r="X2305" s="72"/>
      <c r="Y2305" s="73"/>
      <c r="Z2305" s="74" t="b">
        <v>0</v>
      </c>
      <c r="AA2305" s="130">
        <f t="shared" si="919"/>
        <v>0</v>
      </c>
      <c r="AB2305" s="131">
        <f t="shared" si="920"/>
        <v>0</v>
      </c>
      <c r="AC2305" s="132">
        <f t="shared" si="921"/>
        <v>0</v>
      </c>
      <c r="AD2305" s="133">
        <f t="shared" si="922"/>
        <v>0</v>
      </c>
      <c r="AE2305" s="131">
        <f t="shared" si="923"/>
        <v>0</v>
      </c>
      <c r="AF2305" s="133">
        <f t="shared" si="924"/>
        <v>0</v>
      </c>
      <c r="AG2305" s="1"/>
    </row>
    <row r="2306" ht="21.0" customHeight="1">
      <c r="A2306" s="1"/>
      <c r="B2306" s="48" t="s">
        <v>41</v>
      </c>
      <c r="C2306" s="81"/>
      <c r="D2306" s="82" t="b">
        <v>0</v>
      </c>
      <c r="E2306" s="51" t="s">
        <v>42</v>
      </c>
      <c r="F2306" s="52" t="s">
        <v>34</v>
      </c>
      <c r="G2306" s="83"/>
      <c r="H2306" s="84"/>
      <c r="I2306" s="85"/>
      <c r="J2306" s="72"/>
      <c r="K2306" s="73"/>
      <c r="L2306" s="72"/>
      <c r="M2306" s="73"/>
      <c r="N2306" s="72"/>
      <c r="O2306" s="73"/>
      <c r="P2306" s="72"/>
      <c r="Q2306" s="73"/>
      <c r="R2306" s="72"/>
      <c r="S2306" s="73"/>
      <c r="T2306" s="72"/>
      <c r="U2306" s="73"/>
      <c r="V2306" s="72"/>
      <c r="W2306" s="73"/>
      <c r="X2306" s="72"/>
      <c r="Y2306" s="73"/>
      <c r="Z2306" s="74" t="b">
        <v>0</v>
      </c>
      <c r="AA2306" s="130">
        <f t="shared" si="919"/>
        <v>0</v>
      </c>
      <c r="AB2306" s="131">
        <f t="shared" si="920"/>
        <v>0</v>
      </c>
      <c r="AC2306" s="132">
        <f t="shared" si="921"/>
        <v>0</v>
      </c>
      <c r="AD2306" s="133">
        <f t="shared" si="922"/>
        <v>0</v>
      </c>
      <c r="AE2306" s="131">
        <f t="shared" si="923"/>
        <v>0</v>
      </c>
      <c r="AF2306" s="133">
        <f t="shared" si="924"/>
        <v>0</v>
      </c>
      <c r="AG2306" s="1"/>
    </row>
    <row r="2307" ht="21.0" customHeight="1">
      <c r="A2307" s="1"/>
      <c r="B2307" s="48" t="s">
        <v>43</v>
      </c>
      <c r="C2307" s="49"/>
      <c r="D2307" s="86" t="b">
        <v>0</v>
      </c>
      <c r="E2307" s="66"/>
      <c r="F2307" s="52" t="s">
        <v>37</v>
      </c>
      <c r="G2307" s="67"/>
      <c r="H2307" s="80"/>
      <c r="I2307" s="69"/>
      <c r="J2307" s="72"/>
      <c r="K2307" s="73"/>
      <c r="L2307" s="72"/>
      <c r="M2307" s="73"/>
      <c r="N2307" s="72"/>
      <c r="O2307" s="73"/>
      <c r="P2307" s="72"/>
      <c r="Q2307" s="73"/>
      <c r="R2307" s="72"/>
      <c r="S2307" s="73"/>
      <c r="T2307" s="72"/>
      <c r="U2307" s="73"/>
      <c r="V2307" s="72"/>
      <c r="W2307" s="73"/>
      <c r="X2307" s="72"/>
      <c r="Y2307" s="73"/>
      <c r="Z2307" s="74" t="b">
        <v>0</v>
      </c>
      <c r="AA2307" s="130">
        <f t="shared" si="919"/>
        <v>0</v>
      </c>
      <c r="AB2307" s="131">
        <f t="shared" si="920"/>
        <v>0</v>
      </c>
      <c r="AC2307" s="132">
        <f t="shared" si="921"/>
        <v>0</v>
      </c>
      <c r="AD2307" s="133">
        <f t="shared" si="922"/>
        <v>0</v>
      </c>
      <c r="AE2307" s="131">
        <f t="shared" si="923"/>
        <v>0</v>
      </c>
      <c r="AF2307" s="133">
        <f t="shared" si="924"/>
        <v>0</v>
      </c>
      <c r="AG2307" s="1"/>
    </row>
    <row r="2308" ht="21.0" customHeight="1">
      <c r="A2308" s="1"/>
      <c r="B2308" s="87" t="str">
        <f t="array" ref="B2308">"📌최근 인바디 결과 : "&amp;text(xlookup(B2300,'현황'!O:O,'현황'!O:O,,-1,-1),"m/d(ddd)")</f>
        <v>#REF!</v>
      </c>
      <c r="C2308" s="88"/>
      <c r="D2308" s="49"/>
      <c r="E2308" s="41"/>
      <c r="F2308" s="52" t="s">
        <v>40</v>
      </c>
      <c r="G2308" s="79"/>
      <c r="H2308" s="80"/>
      <c r="I2308" s="69"/>
      <c r="J2308" s="72"/>
      <c r="K2308" s="73"/>
      <c r="L2308" s="72"/>
      <c r="M2308" s="73"/>
      <c r="N2308" s="72"/>
      <c r="O2308" s="73"/>
      <c r="P2308" s="72"/>
      <c r="Q2308" s="73"/>
      <c r="R2308" s="72"/>
      <c r="S2308" s="73"/>
      <c r="T2308" s="72"/>
      <c r="U2308" s="73"/>
      <c r="V2308" s="72"/>
      <c r="W2308" s="73"/>
      <c r="X2308" s="72"/>
      <c r="Y2308" s="73"/>
      <c r="Z2308" s="74" t="b">
        <v>0</v>
      </c>
      <c r="AA2308" s="130">
        <f t="shared" si="919"/>
        <v>0</v>
      </c>
      <c r="AB2308" s="131">
        <f t="shared" si="920"/>
        <v>0</v>
      </c>
      <c r="AC2308" s="132">
        <f t="shared" si="921"/>
        <v>0</v>
      </c>
      <c r="AD2308" s="133">
        <f t="shared" si="922"/>
        <v>0</v>
      </c>
      <c r="AE2308" s="131">
        <f t="shared" si="923"/>
        <v>0</v>
      </c>
      <c r="AF2308" s="133">
        <f t="shared" si="924"/>
        <v>0</v>
      </c>
      <c r="AG2308" s="1"/>
    </row>
    <row r="2309" ht="21.0" customHeight="1">
      <c r="A2309" s="1"/>
      <c r="B2309" s="89" t="s">
        <v>44</v>
      </c>
      <c r="C2309" s="49"/>
      <c r="D2309" s="90">
        <f t="array" ref="D2309">iferror(vlookup(xlookup(B2300,'현황'!O:O,'현황'!O:O,,-1,-1),'현황'!O:S,2,false),0)</f>
        <v>0</v>
      </c>
      <c r="E2309" s="51" t="s">
        <v>45</v>
      </c>
      <c r="F2309" s="52" t="s">
        <v>34</v>
      </c>
      <c r="G2309" s="83"/>
      <c r="H2309" s="84"/>
      <c r="I2309" s="85"/>
      <c r="J2309" s="72"/>
      <c r="K2309" s="73"/>
      <c r="L2309" s="72"/>
      <c r="M2309" s="73"/>
      <c r="N2309" s="72"/>
      <c r="O2309" s="73"/>
      <c r="P2309" s="72"/>
      <c r="Q2309" s="73"/>
      <c r="R2309" s="72"/>
      <c r="S2309" s="73"/>
      <c r="T2309" s="72"/>
      <c r="U2309" s="73"/>
      <c r="V2309" s="72"/>
      <c r="W2309" s="73"/>
      <c r="X2309" s="72"/>
      <c r="Y2309" s="73"/>
      <c r="Z2309" s="74" t="b">
        <v>0</v>
      </c>
      <c r="AA2309" s="130">
        <f t="shared" si="919"/>
        <v>0</v>
      </c>
      <c r="AB2309" s="131">
        <f t="shared" si="920"/>
        <v>0</v>
      </c>
      <c r="AC2309" s="132">
        <f t="shared" si="921"/>
        <v>0</v>
      </c>
      <c r="AD2309" s="133">
        <f t="shared" si="922"/>
        <v>0</v>
      </c>
      <c r="AE2309" s="131">
        <f t="shared" si="923"/>
        <v>0</v>
      </c>
      <c r="AF2309" s="133">
        <f t="shared" si="924"/>
        <v>0</v>
      </c>
      <c r="AG2309" s="1"/>
    </row>
    <row r="2310" ht="21.0" customHeight="1">
      <c r="A2310" s="1"/>
      <c r="B2310" s="48" t="s">
        <v>46</v>
      </c>
      <c r="C2310" s="49"/>
      <c r="D2310" s="91">
        <f t="array" ref="D2310">iferror(vlookup(xlookup(B2300,'현황'!O:O,'현황'!O:O,,-1,-1),'현황'!O:S,3,false),0)</f>
        <v>0</v>
      </c>
      <c r="E2310" s="66"/>
      <c r="F2310" s="52" t="s">
        <v>37</v>
      </c>
      <c r="G2310" s="67"/>
      <c r="H2310" s="80"/>
      <c r="I2310" s="69"/>
      <c r="J2310" s="72"/>
      <c r="K2310" s="73"/>
      <c r="L2310" s="72"/>
      <c r="M2310" s="73"/>
      <c r="N2310" s="72"/>
      <c r="O2310" s="73"/>
      <c r="P2310" s="72"/>
      <c r="Q2310" s="73"/>
      <c r="R2310" s="72"/>
      <c r="S2310" s="73"/>
      <c r="T2310" s="72"/>
      <c r="U2310" s="73"/>
      <c r="V2310" s="72"/>
      <c r="W2310" s="73"/>
      <c r="X2310" s="72"/>
      <c r="Y2310" s="73"/>
      <c r="Z2310" s="74" t="b">
        <v>0</v>
      </c>
      <c r="AA2310" s="130">
        <f t="shared" si="919"/>
        <v>0</v>
      </c>
      <c r="AB2310" s="131">
        <f t="shared" si="920"/>
        <v>0</v>
      </c>
      <c r="AC2310" s="132">
        <f t="shared" si="921"/>
        <v>0</v>
      </c>
      <c r="AD2310" s="133">
        <f t="shared" si="922"/>
        <v>0</v>
      </c>
      <c r="AE2310" s="131">
        <f t="shared" si="923"/>
        <v>0</v>
      </c>
      <c r="AF2310" s="133">
        <f t="shared" si="924"/>
        <v>0</v>
      </c>
      <c r="AG2310" s="1"/>
    </row>
    <row r="2311" ht="21.0" customHeight="1">
      <c r="A2311" s="1"/>
      <c r="B2311" s="48" t="s">
        <v>47</v>
      </c>
      <c r="C2311" s="49"/>
      <c r="D2311" s="91">
        <f t="array" ref="D2311">iferror(vlookup(xlookup(B2300,'현황'!O:O,'현황'!O:O,,-1,-1),'현황'!O:S,4,false),0)</f>
        <v>0</v>
      </c>
      <c r="E2311" s="41"/>
      <c r="F2311" s="92" t="s">
        <v>40</v>
      </c>
      <c r="G2311" s="79"/>
      <c r="H2311" s="93"/>
      <c r="I2311" s="94"/>
      <c r="J2311" s="95"/>
      <c r="K2311" s="96"/>
      <c r="L2311" s="95"/>
      <c r="M2311" s="96"/>
      <c r="N2311" s="95"/>
      <c r="O2311" s="96"/>
      <c r="P2311" s="95"/>
      <c r="Q2311" s="96"/>
      <c r="R2311" s="95"/>
      <c r="S2311" s="96"/>
      <c r="T2311" s="95"/>
      <c r="U2311" s="96"/>
      <c r="V2311" s="95"/>
      <c r="W2311" s="96"/>
      <c r="X2311" s="95"/>
      <c r="Y2311" s="96"/>
      <c r="Z2311" s="97" t="b">
        <v>0</v>
      </c>
      <c r="AA2311" s="135">
        <f t="shared" si="919"/>
        <v>0</v>
      </c>
      <c r="AB2311" s="136">
        <f t="shared" si="920"/>
        <v>0</v>
      </c>
      <c r="AC2311" s="137">
        <f t="shared" si="921"/>
        <v>0</v>
      </c>
      <c r="AD2311" s="138">
        <f t="shared" si="922"/>
        <v>0</v>
      </c>
      <c r="AE2311" s="136">
        <f t="shared" si="923"/>
        <v>0</v>
      </c>
      <c r="AF2311" s="138">
        <f t="shared" si="924"/>
        <v>0</v>
      </c>
      <c r="AG2311" s="1"/>
    </row>
    <row r="2312" ht="21.0" customHeight="1">
      <c r="A2312" s="1"/>
      <c r="B2312" s="102" t="s">
        <v>48</v>
      </c>
      <c r="C2312" s="103"/>
      <c r="D2312" s="104">
        <f>iferror(D2311/D2309,0)</f>
        <v>0</v>
      </c>
      <c r="E2312" s="102" t="s">
        <v>49</v>
      </c>
      <c r="F2312" s="103"/>
      <c r="G2312" s="105"/>
      <c r="H2312" s="106" t="s">
        <v>50</v>
      </c>
      <c r="I2312" s="107"/>
      <c r="J2312" s="11"/>
      <c r="K2312" s="11"/>
      <c r="L2312" s="11"/>
      <c r="M2312" s="11"/>
      <c r="N2312" s="11"/>
      <c r="O2312" s="11"/>
      <c r="P2312" s="108" t="s">
        <v>51</v>
      </c>
      <c r="Q2312" s="12"/>
      <c r="R2312" s="109"/>
      <c r="S2312" s="11"/>
      <c r="T2312" s="11"/>
      <c r="U2312" s="11"/>
      <c r="V2312" s="11"/>
      <c r="W2312" s="11"/>
      <c r="X2312" s="11"/>
      <c r="Y2312" s="11"/>
      <c r="Z2312" s="12"/>
      <c r="AA2312" s="139">
        <f>SUM(AA2303:AA2311)</f>
        <v>0</v>
      </c>
      <c r="AB2312" s="140" t="s">
        <v>405</v>
      </c>
      <c r="AG2312" s="1"/>
    </row>
    <row r="2313" ht="21.0" customHeight="1">
      <c r="A2313" s="1"/>
      <c r="B2313" s="1"/>
      <c r="C2313" s="1"/>
      <c r="D2313" s="1"/>
      <c r="E2313" s="1"/>
      <c r="F2313" s="1"/>
      <c r="G2313" s="1"/>
      <c r="H2313" s="1"/>
      <c r="I2313" s="1"/>
      <c r="AA2313" s="1"/>
      <c r="AB2313" s="1"/>
      <c r="AC2313" s="3"/>
      <c r="AD2313" s="1"/>
      <c r="AE2313" s="1"/>
      <c r="AF2313" s="1"/>
      <c r="AG2313" s="1"/>
    </row>
    <row r="2314" ht="21.0" customHeight="1">
      <c r="A2314" s="1"/>
      <c r="B2314" s="4" t="s">
        <v>1</v>
      </c>
      <c r="C2314" s="5"/>
      <c r="D2314" s="6" t="s">
        <v>2</v>
      </c>
      <c r="E2314" s="7"/>
      <c r="F2314" s="7"/>
      <c r="G2314" s="5"/>
      <c r="H2314" s="8" t="s">
        <v>3</v>
      </c>
      <c r="I2314" s="8" t="s">
        <v>4</v>
      </c>
      <c r="J2314" s="9" t="s">
        <v>5</v>
      </c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5"/>
      <c r="AA2314" s="117" t="s">
        <v>6</v>
      </c>
      <c r="AB2314" s="11"/>
      <c r="AC2314" s="11"/>
      <c r="AD2314" s="11"/>
      <c r="AE2314" s="11"/>
      <c r="AF2314" s="12"/>
      <c r="AG2314" s="1"/>
    </row>
    <row r="2315" ht="21.0" customHeight="1">
      <c r="A2315" s="1"/>
      <c r="B2315" s="149" t="s">
        <v>138</v>
      </c>
      <c r="C2315" s="14" t="str">
        <f>if(B2315="0/0","",choose(weekday(B2315),"(일)","(월)","(화)","(수)","(목)","(금)","(토)"))</f>
        <v/>
      </c>
      <c r="D2315" s="15" t="s">
        <v>7</v>
      </c>
      <c r="E2315" s="16" t="s">
        <v>8</v>
      </c>
      <c r="F2315" s="17"/>
      <c r="G2315" s="18" t="s">
        <v>9</v>
      </c>
      <c r="H2315" s="150" t="s">
        <v>139</v>
      </c>
      <c r="I2315" s="151"/>
      <c r="J2315" s="21" t="s">
        <v>12</v>
      </c>
      <c r="K2315" s="22"/>
      <c r="L2315" s="21" t="s">
        <v>13</v>
      </c>
      <c r="M2315" s="22"/>
      <c r="N2315" s="21" t="s">
        <v>14</v>
      </c>
      <c r="O2315" s="22"/>
      <c r="P2315" s="21" t="s">
        <v>15</v>
      </c>
      <c r="Q2315" s="22"/>
      <c r="R2315" s="23" t="s">
        <v>16</v>
      </c>
      <c r="S2315" s="22"/>
      <c r="T2315" s="23" t="s">
        <v>17</v>
      </c>
      <c r="U2315" s="22"/>
      <c r="V2315" s="23" t="s">
        <v>18</v>
      </c>
      <c r="W2315" s="22"/>
      <c r="X2315" s="23" t="s">
        <v>19</v>
      </c>
      <c r="Y2315" s="22"/>
      <c r="Z2315" s="24" t="s">
        <v>406</v>
      </c>
      <c r="AA2315" s="118" t="s">
        <v>21</v>
      </c>
      <c r="AB2315" s="119" t="s">
        <v>22</v>
      </c>
      <c r="AC2315" s="7"/>
      <c r="AD2315" s="22"/>
      <c r="AE2315" s="120" t="s">
        <v>23</v>
      </c>
      <c r="AF2315" s="22"/>
      <c r="AG2315" s="1"/>
    </row>
    <row r="2316" ht="21.0" customHeight="1">
      <c r="A2316" s="1"/>
      <c r="B2316" s="27">
        <f>iferror(B2315-'현황'!$C$4+1,0)</f>
        <v>0</v>
      </c>
      <c r="C2316" s="28"/>
      <c r="D2316" s="29">
        <v>0.0</v>
      </c>
      <c r="E2316" s="30">
        <v>0.0</v>
      </c>
      <c r="F2316" s="31"/>
      <c r="G2316" s="32">
        <v>0.0</v>
      </c>
      <c r="H2316" s="33">
        <v>0.0</v>
      </c>
      <c r="I2316" s="34"/>
      <c r="J2316" s="35"/>
      <c r="K2316" s="36"/>
      <c r="L2316" s="35"/>
      <c r="M2316" s="36"/>
      <c r="N2316" s="35"/>
      <c r="O2316" s="36"/>
      <c r="P2316" s="35"/>
      <c r="Q2316" s="36"/>
      <c r="R2316" s="35"/>
      <c r="S2316" s="36"/>
      <c r="T2316" s="35"/>
      <c r="U2316" s="36"/>
      <c r="V2316" s="35"/>
      <c r="W2316" s="36"/>
      <c r="X2316" s="35"/>
      <c r="Y2316" s="36"/>
      <c r="Z2316" s="37"/>
      <c r="AA2316" s="37"/>
      <c r="AB2316" s="35"/>
      <c r="AC2316" s="38"/>
      <c r="AD2316" s="36"/>
      <c r="AE2316" s="35"/>
      <c r="AF2316" s="36"/>
      <c r="AG2316" s="1"/>
    </row>
    <row r="2317" ht="21.0" customHeight="1">
      <c r="A2317" s="1"/>
      <c r="B2317" s="39" t="s">
        <v>24</v>
      </c>
      <c r="C2317" s="40"/>
      <c r="D2317" s="41"/>
      <c r="E2317" s="42" t="s">
        <v>25</v>
      </c>
      <c r="F2317" s="40"/>
      <c r="G2317" s="41"/>
      <c r="H2317" s="43" t="s">
        <v>26</v>
      </c>
      <c r="J2317" s="44" t="s">
        <v>27</v>
      </c>
      <c r="K2317" s="45" t="s">
        <v>28</v>
      </c>
      <c r="L2317" s="44" t="s">
        <v>27</v>
      </c>
      <c r="M2317" s="45" t="s">
        <v>28</v>
      </c>
      <c r="N2317" s="44" t="s">
        <v>27</v>
      </c>
      <c r="O2317" s="45" t="s">
        <v>28</v>
      </c>
      <c r="P2317" s="44" t="s">
        <v>27</v>
      </c>
      <c r="Q2317" s="45" t="s">
        <v>28</v>
      </c>
      <c r="R2317" s="44" t="s">
        <v>27</v>
      </c>
      <c r="S2317" s="45" t="s">
        <v>28</v>
      </c>
      <c r="T2317" s="44" t="s">
        <v>27</v>
      </c>
      <c r="U2317" s="45" t="s">
        <v>28</v>
      </c>
      <c r="V2317" s="44" t="s">
        <v>27</v>
      </c>
      <c r="W2317" s="45" t="s">
        <v>28</v>
      </c>
      <c r="X2317" s="44" t="s">
        <v>27</v>
      </c>
      <c r="Y2317" s="45" t="s">
        <v>28</v>
      </c>
      <c r="Z2317" s="46"/>
      <c r="AA2317" s="46"/>
      <c r="AB2317" s="121" t="s">
        <v>29</v>
      </c>
      <c r="AC2317" s="122" t="s">
        <v>30</v>
      </c>
      <c r="AD2317" s="123" t="s">
        <v>31</v>
      </c>
      <c r="AE2317" s="121" t="s">
        <v>27</v>
      </c>
      <c r="AF2317" s="123" t="s">
        <v>28</v>
      </c>
      <c r="AG2317" s="1"/>
    </row>
    <row r="2318" ht="21.0" customHeight="1">
      <c r="A2318" s="1"/>
      <c r="B2318" s="48" t="s">
        <v>32</v>
      </c>
      <c r="C2318" s="49"/>
      <c r="D2318" s="50"/>
      <c r="E2318" s="51" t="s">
        <v>33</v>
      </c>
      <c r="F2318" s="52" t="s">
        <v>34</v>
      </c>
      <c r="G2318" s="53"/>
      <c r="H2318" s="148"/>
      <c r="I2318" s="55"/>
      <c r="J2318" s="58"/>
      <c r="K2318" s="59"/>
      <c r="L2318" s="58"/>
      <c r="M2318" s="59"/>
      <c r="N2318" s="58"/>
      <c r="O2318" s="59"/>
      <c r="P2318" s="58"/>
      <c r="Q2318" s="59"/>
      <c r="R2318" s="58"/>
      <c r="S2318" s="59"/>
      <c r="T2318" s="58"/>
      <c r="U2318" s="59"/>
      <c r="V2318" s="58"/>
      <c r="W2318" s="59"/>
      <c r="X2318" s="58"/>
      <c r="Y2318" s="59"/>
      <c r="Z2318" s="60" t="b">
        <v>0</v>
      </c>
      <c r="AA2318" s="125">
        <f t="shared" ref="AA2318:AA2326" si="925">(J2318*K2318+L2318*M2318+N2318*O2318+P2318*Q2318+R2318*S2318+T2318*U2318+V2318*W2318+X2318*Y2318)*if(Z2318=true,0.453592,1)</f>
        <v>0</v>
      </c>
      <c r="AB2318" s="126">
        <f t="shared" ref="AB2318:AB2326" si="926">SUM(AE2318*AF2318*0.025,AE2318)</f>
        <v>0</v>
      </c>
      <c r="AC2318" s="127">
        <f t="shared" ref="AC2318:AC2326" si="927">AB2318*87%</f>
        <v>0</v>
      </c>
      <c r="AD2318" s="128">
        <f t="shared" ref="AD2318:AD2326" si="928">AB2318*67%</f>
        <v>0</v>
      </c>
      <c r="AE2318" s="126">
        <f t="shared" ref="AE2318:AE2326" si="929">MAX(J2318,L2318,N2318,P2318,R2318,T2318,V2318,X2318)*if(Z2318=true,0.453592,1)</f>
        <v>0</v>
      </c>
      <c r="AF2318" s="128">
        <f t="shared" ref="AF2318:AF2326" si="930">MAX(IF(J2318*if(Z2318=true,0.453592,1)=$AE2318,K2318,0),IF(L2318*if(Z2318=true,0.453592,1)=$AE2318,M2318,0),IF(N2318*if(Z2318=true,0.453592,1)=$AE2318,O2318,0),IF(P2318*if(Z2318=true,0.453592,1)=$AE2318,Q2318,0),IF(R2318*if(Z2318=true,0.453592,1)=$AE2318,S2318,0),IF(T2318*if(Z2318=true,0.453592,1)=$AE2318,U2318,0),IF(V2318*if(Z2318=true,0.453592,1)=$AE2318,W2318,0),IF(X2318*if(Z2318=true,0.453592,1)=$AE2318,Y2318,0))</f>
        <v>0</v>
      </c>
      <c r="AG2318" s="1"/>
    </row>
    <row r="2319" ht="21.0" customHeight="1">
      <c r="A2319" s="1"/>
      <c r="B2319" s="48" t="s">
        <v>36</v>
      </c>
      <c r="C2319" s="49"/>
      <c r="D2319" s="65"/>
      <c r="E2319" s="66"/>
      <c r="F2319" s="52" t="s">
        <v>37</v>
      </c>
      <c r="G2319" s="67"/>
      <c r="H2319" s="129"/>
      <c r="I2319" s="69"/>
      <c r="J2319" s="72"/>
      <c r="K2319" s="73"/>
      <c r="L2319" s="72"/>
      <c r="M2319" s="73"/>
      <c r="N2319" s="72"/>
      <c r="O2319" s="73"/>
      <c r="P2319" s="72"/>
      <c r="Q2319" s="73"/>
      <c r="R2319" s="72"/>
      <c r="S2319" s="73"/>
      <c r="T2319" s="72"/>
      <c r="U2319" s="73"/>
      <c r="V2319" s="72"/>
      <c r="W2319" s="73"/>
      <c r="X2319" s="72"/>
      <c r="Y2319" s="73"/>
      <c r="Z2319" s="74" t="b">
        <v>0</v>
      </c>
      <c r="AA2319" s="130">
        <f t="shared" si="925"/>
        <v>0</v>
      </c>
      <c r="AB2319" s="131">
        <f t="shared" si="926"/>
        <v>0</v>
      </c>
      <c r="AC2319" s="132">
        <f t="shared" si="927"/>
        <v>0</v>
      </c>
      <c r="AD2319" s="133">
        <f t="shared" si="928"/>
        <v>0</v>
      </c>
      <c r="AE2319" s="131">
        <f t="shared" si="929"/>
        <v>0</v>
      </c>
      <c r="AF2319" s="133">
        <f t="shared" si="930"/>
        <v>0</v>
      </c>
      <c r="AG2319" s="1"/>
    </row>
    <row r="2320" ht="21.0" customHeight="1">
      <c r="A2320" s="1"/>
      <c r="B2320" s="48" t="s">
        <v>39</v>
      </c>
      <c r="C2320" s="49"/>
      <c r="D2320" s="65"/>
      <c r="E2320" s="41"/>
      <c r="F2320" s="52" t="s">
        <v>40</v>
      </c>
      <c r="G2320" s="79"/>
      <c r="H2320" s="80"/>
      <c r="I2320" s="69"/>
      <c r="J2320" s="72"/>
      <c r="K2320" s="73"/>
      <c r="L2320" s="72"/>
      <c r="M2320" s="73"/>
      <c r="N2320" s="72"/>
      <c r="O2320" s="73"/>
      <c r="P2320" s="72"/>
      <c r="Q2320" s="73"/>
      <c r="R2320" s="72"/>
      <c r="S2320" s="73"/>
      <c r="T2320" s="72"/>
      <c r="U2320" s="73"/>
      <c r="V2320" s="72"/>
      <c r="W2320" s="73"/>
      <c r="X2320" s="72"/>
      <c r="Y2320" s="73"/>
      <c r="Z2320" s="74" t="b">
        <v>0</v>
      </c>
      <c r="AA2320" s="130">
        <f t="shared" si="925"/>
        <v>0</v>
      </c>
      <c r="AB2320" s="131">
        <f t="shared" si="926"/>
        <v>0</v>
      </c>
      <c r="AC2320" s="132">
        <f t="shared" si="927"/>
        <v>0</v>
      </c>
      <c r="AD2320" s="133">
        <f t="shared" si="928"/>
        <v>0</v>
      </c>
      <c r="AE2320" s="131">
        <f t="shared" si="929"/>
        <v>0</v>
      </c>
      <c r="AF2320" s="133">
        <f t="shared" si="930"/>
        <v>0</v>
      </c>
      <c r="AG2320" s="1"/>
    </row>
    <row r="2321" ht="21.0" customHeight="1">
      <c r="A2321" s="1"/>
      <c r="B2321" s="48" t="s">
        <v>41</v>
      </c>
      <c r="C2321" s="81"/>
      <c r="D2321" s="82" t="b">
        <v>0</v>
      </c>
      <c r="E2321" s="51" t="s">
        <v>42</v>
      </c>
      <c r="F2321" s="52" t="s">
        <v>34</v>
      </c>
      <c r="G2321" s="83"/>
      <c r="H2321" s="84"/>
      <c r="I2321" s="85"/>
      <c r="J2321" s="72"/>
      <c r="K2321" s="73"/>
      <c r="L2321" s="72"/>
      <c r="M2321" s="73"/>
      <c r="N2321" s="72"/>
      <c r="O2321" s="73"/>
      <c r="P2321" s="72"/>
      <c r="Q2321" s="73"/>
      <c r="R2321" s="72"/>
      <c r="S2321" s="73"/>
      <c r="T2321" s="72"/>
      <c r="U2321" s="73"/>
      <c r="V2321" s="72"/>
      <c r="W2321" s="73"/>
      <c r="X2321" s="72"/>
      <c r="Y2321" s="73"/>
      <c r="Z2321" s="74" t="b">
        <v>0</v>
      </c>
      <c r="AA2321" s="130">
        <f t="shared" si="925"/>
        <v>0</v>
      </c>
      <c r="AB2321" s="131">
        <f t="shared" si="926"/>
        <v>0</v>
      </c>
      <c r="AC2321" s="132">
        <f t="shared" si="927"/>
        <v>0</v>
      </c>
      <c r="AD2321" s="133">
        <f t="shared" si="928"/>
        <v>0</v>
      </c>
      <c r="AE2321" s="131">
        <f t="shared" si="929"/>
        <v>0</v>
      </c>
      <c r="AF2321" s="133">
        <f t="shared" si="930"/>
        <v>0</v>
      </c>
      <c r="AG2321" s="1"/>
    </row>
    <row r="2322" ht="21.0" customHeight="1">
      <c r="A2322" s="1"/>
      <c r="B2322" s="48" t="s">
        <v>43</v>
      </c>
      <c r="C2322" s="49"/>
      <c r="D2322" s="86" t="b">
        <v>0</v>
      </c>
      <c r="E2322" s="66"/>
      <c r="F2322" s="52" t="s">
        <v>37</v>
      </c>
      <c r="G2322" s="67"/>
      <c r="H2322" s="80"/>
      <c r="I2322" s="69"/>
      <c r="J2322" s="72"/>
      <c r="K2322" s="73"/>
      <c r="L2322" s="72"/>
      <c r="M2322" s="73"/>
      <c r="N2322" s="72"/>
      <c r="O2322" s="73"/>
      <c r="P2322" s="72"/>
      <c r="Q2322" s="73"/>
      <c r="R2322" s="72"/>
      <c r="S2322" s="73"/>
      <c r="T2322" s="72"/>
      <c r="U2322" s="73"/>
      <c r="V2322" s="72"/>
      <c r="W2322" s="73"/>
      <c r="X2322" s="72"/>
      <c r="Y2322" s="73"/>
      <c r="Z2322" s="74" t="b">
        <v>0</v>
      </c>
      <c r="AA2322" s="130">
        <f t="shared" si="925"/>
        <v>0</v>
      </c>
      <c r="AB2322" s="131">
        <f t="shared" si="926"/>
        <v>0</v>
      </c>
      <c r="AC2322" s="132">
        <f t="shared" si="927"/>
        <v>0</v>
      </c>
      <c r="AD2322" s="133">
        <f t="shared" si="928"/>
        <v>0</v>
      </c>
      <c r="AE2322" s="131">
        <f t="shared" si="929"/>
        <v>0</v>
      </c>
      <c r="AF2322" s="133">
        <f t="shared" si="930"/>
        <v>0</v>
      </c>
      <c r="AG2322" s="1"/>
    </row>
    <row r="2323" ht="21.0" customHeight="1">
      <c r="A2323" s="1"/>
      <c r="B2323" s="87" t="str">
        <f t="array" ref="B2323">"📌최근 인바디 결과 : "&amp;text(xlookup(B2315,'현황'!O:O,'현황'!O:O,,-1,-1),"m/d(ddd)")</f>
        <v>#REF!</v>
      </c>
      <c r="C2323" s="88"/>
      <c r="D2323" s="49"/>
      <c r="E2323" s="41"/>
      <c r="F2323" s="52" t="s">
        <v>40</v>
      </c>
      <c r="G2323" s="79"/>
      <c r="H2323" s="80"/>
      <c r="I2323" s="69"/>
      <c r="J2323" s="72"/>
      <c r="K2323" s="73"/>
      <c r="L2323" s="72"/>
      <c r="M2323" s="73"/>
      <c r="N2323" s="72"/>
      <c r="O2323" s="73"/>
      <c r="P2323" s="72"/>
      <c r="Q2323" s="73"/>
      <c r="R2323" s="72"/>
      <c r="S2323" s="73"/>
      <c r="T2323" s="72"/>
      <c r="U2323" s="73"/>
      <c r="V2323" s="72"/>
      <c r="W2323" s="73"/>
      <c r="X2323" s="72"/>
      <c r="Y2323" s="73"/>
      <c r="Z2323" s="74" t="b">
        <v>0</v>
      </c>
      <c r="AA2323" s="130">
        <f t="shared" si="925"/>
        <v>0</v>
      </c>
      <c r="AB2323" s="131">
        <f t="shared" si="926"/>
        <v>0</v>
      </c>
      <c r="AC2323" s="132">
        <f t="shared" si="927"/>
        <v>0</v>
      </c>
      <c r="AD2323" s="133">
        <f t="shared" si="928"/>
        <v>0</v>
      </c>
      <c r="AE2323" s="131">
        <f t="shared" si="929"/>
        <v>0</v>
      </c>
      <c r="AF2323" s="133">
        <f t="shared" si="930"/>
        <v>0</v>
      </c>
      <c r="AG2323" s="1"/>
    </row>
    <row r="2324" ht="21.0" customHeight="1">
      <c r="A2324" s="1"/>
      <c r="B2324" s="89" t="s">
        <v>44</v>
      </c>
      <c r="C2324" s="49"/>
      <c r="D2324" s="90">
        <f t="array" ref="D2324">iferror(vlookup(xlookup(B2315,'현황'!O:O,'현황'!O:O,,-1,-1),'현황'!O:S,2,false),0)</f>
        <v>0</v>
      </c>
      <c r="E2324" s="51" t="s">
        <v>45</v>
      </c>
      <c r="F2324" s="52" t="s">
        <v>34</v>
      </c>
      <c r="G2324" s="83"/>
      <c r="H2324" s="84"/>
      <c r="I2324" s="85"/>
      <c r="J2324" s="72"/>
      <c r="K2324" s="73"/>
      <c r="L2324" s="72"/>
      <c r="M2324" s="73"/>
      <c r="N2324" s="72"/>
      <c r="O2324" s="73"/>
      <c r="P2324" s="72"/>
      <c r="Q2324" s="73"/>
      <c r="R2324" s="72"/>
      <c r="S2324" s="73"/>
      <c r="T2324" s="72"/>
      <c r="U2324" s="73"/>
      <c r="V2324" s="72"/>
      <c r="W2324" s="73"/>
      <c r="X2324" s="72"/>
      <c r="Y2324" s="73"/>
      <c r="Z2324" s="74" t="b">
        <v>0</v>
      </c>
      <c r="AA2324" s="130">
        <f t="shared" si="925"/>
        <v>0</v>
      </c>
      <c r="AB2324" s="131">
        <f t="shared" si="926"/>
        <v>0</v>
      </c>
      <c r="AC2324" s="132">
        <f t="shared" si="927"/>
        <v>0</v>
      </c>
      <c r="AD2324" s="133">
        <f t="shared" si="928"/>
        <v>0</v>
      </c>
      <c r="AE2324" s="131">
        <f t="shared" si="929"/>
        <v>0</v>
      </c>
      <c r="AF2324" s="133">
        <f t="shared" si="930"/>
        <v>0</v>
      </c>
      <c r="AG2324" s="1"/>
    </row>
    <row r="2325" ht="21.0" customHeight="1">
      <c r="A2325" s="1"/>
      <c r="B2325" s="48" t="s">
        <v>46</v>
      </c>
      <c r="C2325" s="49"/>
      <c r="D2325" s="91">
        <f t="array" ref="D2325">iferror(vlookup(xlookup(B2315,'현황'!O:O,'현황'!O:O,,-1,-1),'현황'!O:S,3,false),0)</f>
        <v>0</v>
      </c>
      <c r="E2325" s="66"/>
      <c r="F2325" s="52" t="s">
        <v>37</v>
      </c>
      <c r="G2325" s="67"/>
      <c r="H2325" s="80"/>
      <c r="I2325" s="69"/>
      <c r="J2325" s="72"/>
      <c r="K2325" s="73"/>
      <c r="L2325" s="72"/>
      <c r="M2325" s="73"/>
      <c r="N2325" s="72"/>
      <c r="O2325" s="73"/>
      <c r="P2325" s="72"/>
      <c r="Q2325" s="73"/>
      <c r="R2325" s="72"/>
      <c r="S2325" s="73"/>
      <c r="T2325" s="72"/>
      <c r="U2325" s="73"/>
      <c r="V2325" s="72"/>
      <c r="W2325" s="73"/>
      <c r="X2325" s="72"/>
      <c r="Y2325" s="73"/>
      <c r="Z2325" s="74" t="b">
        <v>0</v>
      </c>
      <c r="AA2325" s="130">
        <f t="shared" si="925"/>
        <v>0</v>
      </c>
      <c r="AB2325" s="131">
        <f t="shared" si="926"/>
        <v>0</v>
      </c>
      <c r="AC2325" s="132">
        <f t="shared" si="927"/>
        <v>0</v>
      </c>
      <c r="AD2325" s="133">
        <f t="shared" si="928"/>
        <v>0</v>
      </c>
      <c r="AE2325" s="131">
        <f t="shared" si="929"/>
        <v>0</v>
      </c>
      <c r="AF2325" s="133">
        <f t="shared" si="930"/>
        <v>0</v>
      </c>
      <c r="AG2325" s="1"/>
    </row>
    <row r="2326" ht="21.0" customHeight="1">
      <c r="A2326" s="1"/>
      <c r="B2326" s="48" t="s">
        <v>47</v>
      </c>
      <c r="C2326" s="49"/>
      <c r="D2326" s="91">
        <f t="array" ref="D2326">iferror(vlookup(xlookup(B2315,'현황'!O:O,'현황'!O:O,,-1,-1),'현황'!O:S,4,false),0)</f>
        <v>0</v>
      </c>
      <c r="E2326" s="41"/>
      <c r="F2326" s="92" t="s">
        <v>40</v>
      </c>
      <c r="G2326" s="79"/>
      <c r="H2326" s="93"/>
      <c r="I2326" s="94"/>
      <c r="J2326" s="95"/>
      <c r="K2326" s="96"/>
      <c r="L2326" s="95"/>
      <c r="M2326" s="96"/>
      <c r="N2326" s="95"/>
      <c r="O2326" s="96"/>
      <c r="P2326" s="95"/>
      <c r="Q2326" s="96"/>
      <c r="R2326" s="95"/>
      <c r="S2326" s="96"/>
      <c r="T2326" s="95"/>
      <c r="U2326" s="96"/>
      <c r="V2326" s="95"/>
      <c r="W2326" s="96"/>
      <c r="X2326" s="95"/>
      <c r="Y2326" s="96"/>
      <c r="Z2326" s="97" t="b">
        <v>0</v>
      </c>
      <c r="AA2326" s="135">
        <f t="shared" si="925"/>
        <v>0</v>
      </c>
      <c r="AB2326" s="136">
        <f t="shared" si="926"/>
        <v>0</v>
      </c>
      <c r="AC2326" s="137">
        <f t="shared" si="927"/>
        <v>0</v>
      </c>
      <c r="AD2326" s="138">
        <f t="shared" si="928"/>
        <v>0</v>
      </c>
      <c r="AE2326" s="136">
        <f t="shared" si="929"/>
        <v>0</v>
      </c>
      <c r="AF2326" s="138">
        <f t="shared" si="930"/>
        <v>0</v>
      </c>
      <c r="AG2326" s="1"/>
    </row>
    <row r="2327" ht="21.0" customHeight="1">
      <c r="A2327" s="1"/>
      <c r="B2327" s="102" t="s">
        <v>48</v>
      </c>
      <c r="C2327" s="103"/>
      <c r="D2327" s="104">
        <f>iferror(D2326/D2324,0)</f>
        <v>0</v>
      </c>
      <c r="E2327" s="102" t="s">
        <v>49</v>
      </c>
      <c r="F2327" s="103"/>
      <c r="G2327" s="105"/>
      <c r="H2327" s="106" t="s">
        <v>50</v>
      </c>
      <c r="I2327" s="107"/>
      <c r="J2327" s="11"/>
      <c r="K2327" s="11"/>
      <c r="L2327" s="11"/>
      <c r="M2327" s="11"/>
      <c r="N2327" s="11"/>
      <c r="O2327" s="11"/>
      <c r="P2327" s="108" t="s">
        <v>51</v>
      </c>
      <c r="Q2327" s="12"/>
      <c r="R2327" s="109"/>
      <c r="S2327" s="11"/>
      <c r="T2327" s="11"/>
      <c r="U2327" s="11"/>
      <c r="V2327" s="11"/>
      <c r="W2327" s="11"/>
      <c r="X2327" s="11"/>
      <c r="Y2327" s="11"/>
      <c r="Z2327" s="12"/>
      <c r="AA2327" s="139">
        <f>SUM(AA2318:AA2326)</f>
        <v>0</v>
      </c>
      <c r="AB2327" s="140" t="s">
        <v>407</v>
      </c>
      <c r="AG2327" s="1"/>
    </row>
    <row r="2328" ht="21.0" customHeight="1">
      <c r="A2328" s="1"/>
      <c r="B2328" s="1"/>
      <c r="C2328" s="1"/>
      <c r="D2328" s="1"/>
      <c r="E2328" s="1"/>
      <c r="F2328" s="1"/>
      <c r="G2328" s="1"/>
      <c r="H2328" s="1"/>
      <c r="I2328" s="1"/>
      <c r="AA2328" s="1"/>
      <c r="AB2328" s="1"/>
      <c r="AC2328" s="3"/>
      <c r="AD2328" s="1"/>
      <c r="AE2328" s="1"/>
      <c r="AF2328" s="1"/>
      <c r="AG2328" s="1"/>
    </row>
    <row r="2329" ht="21.0" customHeight="1">
      <c r="A2329" s="1"/>
      <c r="B2329" s="4" t="s">
        <v>1</v>
      </c>
      <c r="C2329" s="5"/>
      <c r="D2329" s="6" t="s">
        <v>2</v>
      </c>
      <c r="E2329" s="7"/>
      <c r="F2329" s="7"/>
      <c r="G2329" s="5"/>
      <c r="H2329" s="8" t="s">
        <v>3</v>
      </c>
      <c r="I2329" s="8" t="s">
        <v>4</v>
      </c>
      <c r="J2329" s="9" t="s">
        <v>5</v>
      </c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5"/>
      <c r="AA2329" s="117" t="s">
        <v>6</v>
      </c>
      <c r="AB2329" s="11"/>
      <c r="AC2329" s="11"/>
      <c r="AD2329" s="11"/>
      <c r="AE2329" s="11"/>
      <c r="AF2329" s="12"/>
      <c r="AG2329" s="1"/>
    </row>
    <row r="2330" ht="21.0" customHeight="1">
      <c r="A2330" s="1"/>
      <c r="B2330" s="149" t="s">
        <v>138</v>
      </c>
      <c r="C2330" s="14" t="str">
        <f>if(B2330="0/0","",choose(weekday(B2330),"(일)","(월)","(화)","(수)","(목)","(금)","(토)"))</f>
        <v/>
      </c>
      <c r="D2330" s="15" t="s">
        <v>7</v>
      </c>
      <c r="E2330" s="16" t="s">
        <v>8</v>
      </c>
      <c r="F2330" s="17"/>
      <c r="G2330" s="18" t="s">
        <v>9</v>
      </c>
      <c r="H2330" s="150" t="s">
        <v>139</v>
      </c>
      <c r="I2330" s="151"/>
      <c r="J2330" s="21" t="s">
        <v>12</v>
      </c>
      <c r="K2330" s="22"/>
      <c r="L2330" s="21" t="s">
        <v>13</v>
      </c>
      <c r="M2330" s="22"/>
      <c r="N2330" s="21" t="s">
        <v>14</v>
      </c>
      <c r="O2330" s="22"/>
      <c r="P2330" s="21" t="s">
        <v>15</v>
      </c>
      <c r="Q2330" s="22"/>
      <c r="R2330" s="23" t="s">
        <v>16</v>
      </c>
      <c r="S2330" s="22"/>
      <c r="T2330" s="23" t="s">
        <v>17</v>
      </c>
      <c r="U2330" s="22"/>
      <c r="V2330" s="23" t="s">
        <v>18</v>
      </c>
      <c r="W2330" s="22"/>
      <c r="X2330" s="23" t="s">
        <v>19</v>
      </c>
      <c r="Y2330" s="22"/>
      <c r="Z2330" s="24" t="s">
        <v>408</v>
      </c>
      <c r="AA2330" s="118" t="s">
        <v>21</v>
      </c>
      <c r="AB2330" s="119" t="s">
        <v>22</v>
      </c>
      <c r="AC2330" s="7"/>
      <c r="AD2330" s="22"/>
      <c r="AE2330" s="120" t="s">
        <v>23</v>
      </c>
      <c r="AF2330" s="22"/>
      <c r="AG2330" s="1"/>
    </row>
    <row r="2331" ht="21.0" customHeight="1">
      <c r="A2331" s="1"/>
      <c r="B2331" s="27">
        <f>iferror(B2330-'현황'!$C$4+1,0)</f>
        <v>0</v>
      </c>
      <c r="C2331" s="28"/>
      <c r="D2331" s="29">
        <v>0.0</v>
      </c>
      <c r="E2331" s="30">
        <v>0.0</v>
      </c>
      <c r="F2331" s="31"/>
      <c r="G2331" s="32">
        <v>0.0</v>
      </c>
      <c r="H2331" s="33">
        <v>0.0</v>
      </c>
      <c r="I2331" s="34"/>
      <c r="J2331" s="35"/>
      <c r="K2331" s="36"/>
      <c r="L2331" s="35"/>
      <c r="M2331" s="36"/>
      <c r="N2331" s="35"/>
      <c r="O2331" s="36"/>
      <c r="P2331" s="35"/>
      <c r="Q2331" s="36"/>
      <c r="R2331" s="35"/>
      <c r="S2331" s="36"/>
      <c r="T2331" s="35"/>
      <c r="U2331" s="36"/>
      <c r="V2331" s="35"/>
      <c r="W2331" s="36"/>
      <c r="X2331" s="35"/>
      <c r="Y2331" s="36"/>
      <c r="Z2331" s="37"/>
      <c r="AA2331" s="37"/>
      <c r="AB2331" s="35"/>
      <c r="AC2331" s="38"/>
      <c r="AD2331" s="36"/>
      <c r="AE2331" s="35"/>
      <c r="AF2331" s="36"/>
      <c r="AG2331" s="1"/>
    </row>
    <row r="2332" ht="21.0" customHeight="1">
      <c r="A2332" s="1"/>
      <c r="B2332" s="39" t="s">
        <v>24</v>
      </c>
      <c r="C2332" s="40"/>
      <c r="D2332" s="41"/>
      <c r="E2332" s="42" t="s">
        <v>25</v>
      </c>
      <c r="F2332" s="40"/>
      <c r="G2332" s="41"/>
      <c r="H2332" s="43" t="s">
        <v>26</v>
      </c>
      <c r="J2332" s="44" t="s">
        <v>27</v>
      </c>
      <c r="K2332" s="45" t="s">
        <v>28</v>
      </c>
      <c r="L2332" s="44" t="s">
        <v>27</v>
      </c>
      <c r="M2332" s="45" t="s">
        <v>28</v>
      </c>
      <c r="N2332" s="44" t="s">
        <v>27</v>
      </c>
      <c r="O2332" s="45" t="s">
        <v>28</v>
      </c>
      <c r="P2332" s="44" t="s">
        <v>27</v>
      </c>
      <c r="Q2332" s="45" t="s">
        <v>28</v>
      </c>
      <c r="R2332" s="44" t="s">
        <v>27</v>
      </c>
      <c r="S2332" s="45" t="s">
        <v>28</v>
      </c>
      <c r="T2332" s="44" t="s">
        <v>27</v>
      </c>
      <c r="U2332" s="45" t="s">
        <v>28</v>
      </c>
      <c r="V2332" s="44" t="s">
        <v>27</v>
      </c>
      <c r="W2332" s="45" t="s">
        <v>28</v>
      </c>
      <c r="X2332" s="44" t="s">
        <v>27</v>
      </c>
      <c r="Y2332" s="45" t="s">
        <v>28</v>
      </c>
      <c r="Z2332" s="46"/>
      <c r="AA2332" s="46"/>
      <c r="AB2332" s="121" t="s">
        <v>29</v>
      </c>
      <c r="AC2332" s="122" t="s">
        <v>30</v>
      </c>
      <c r="AD2332" s="123" t="s">
        <v>31</v>
      </c>
      <c r="AE2332" s="121" t="s">
        <v>27</v>
      </c>
      <c r="AF2332" s="123" t="s">
        <v>28</v>
      </c>
      <c r="AG2332" s="1"/>
    </row>
    <row r="2333" ht="21.0" customHeight="1">
      <c r="A2333" s="1"/>
      <c r="B2333" s="48" t="s">
        <v>32</v>
      </c>
      <c r="C2333" s="49"/>
      <c r="D2333" s="50"/>
      <c r="E2333" s="51" t="s">
        <v>33</v>
      </c>
      <c r="F2333" s="52" t="s">
        <v>34</v>
      </c>
      <c r="G2333" s="53"/>
      <c r="H2333" s="148"/>
      <c r="I2333" s="55"/>
      <c r="J2333" s="58"/>
      <c r="K2333" s="59"/>
      <c r="L2333" s="58"/>
      <c r="M2333" s="59"/>
      <c r="N2333" s="58"/>
      <c r="O2333" s="59"/>
      <c r="P2333" s="58"/>
      <c r="Q2333" s="59"/>
      <c r="R2333" s="58"/>
      <c r="S2333" s="59"/>
      <c r="T2333" s="58"/>
      <c r="U2333" s="59"/>
      <c r="V2333" s="58"/>
      <c r="W2333" s="59"/>
      <c r="X2333" s="58"/>
      <c r="Y2333" s="59"/>
      <c r="Z2333" s="60" t="b">
        <v>0</v>
      </c>
      <c r="AA2333" s="125">
        <f t="shared" ref="AA2333:AA2341" si="931">(J2333*K2333+L2333*M2333+N2333*O2333+P2333*Q2333+R2333*S2333+T2333*U2333+V2333*W2333+X2333*Y2333)*if(Z2333=true,0.453592,1)</f>
        <v>0</v>
      </c>
      <c r="AB2333" s="126">
        <f t="shared" ref="AB2333:AB2341" si="932">SUM(AE2333*AF2333*0.025,AE2333)</f>
        <v>0</v>
      </c>
      <c r="AC2333" s="127">
        <f t="shared" ref="AC2333:AC2341" si="933">AB2333*87%</f>
        <v>0</v>
      </c>
      <c r="AD2333" s="128">
        <f t="shared" ref="AD2333:AD2341" si="934">AB2333*67%</f>
        <v>0</v>
      </c>
      <c r="AE2333" s="126">
        <f t="shared" ref="AE2333:AE2341" si="935">MAX(J2333,L2333,N2333,P2333,R2333,T2333,V2333,X2333)*if(Z2333=true,0.453592,1)</f>
        <v>0</v>
      </c>
      <c r="AF2333" s="128">
        <f t="shared" ref="AF2333:AF2341" si="936">MAX(IF(J2333*if(Z2333=true,0.453592,1)=$AE2333,K2333,0),IF(L2333*if(Z2333=true,0.453592,1)=$AE2333,M2333,0),IF(N2333*if(Z2333=true,0.453592,1)=$AE2333,O2333,0),IF(P2333*if(Z2333=true,0.453592,1)=$AE2333,Q2333,0),IF(R2333*if(Z2333=true,0.453592,1)=$AE2333,S2333,0),IF(T2333*if(Z2333=true,0.453592,1)=$AE2333,U2333,0),IF(V2333*if(Z2333=true,0.453592,1)=$AE2333,W2333,0),IF(X2333*if(Z2333=true,0.453592,1)=$AE2333,Y2333,0))</f>
        <v>0</v>
      </c>
      <c r="AG2333" s="1"/>
    </row>
    <row r="2334" ht="21.0" customHeight="1">
      <c r="A2334" s="1"/>
      <c r="B2334" s="48" t="s">
        <v>36</v>
      </c>
      <c r="C2334" s="49"/>
      <c r="D2334" s="65"/>
      <c r="E2334" s="66"/>
      <c r="F2334" s="52" t="s">
        <v>37</v>
      </c>
      <c r="G2334" s="67"/>
      <c r="H2334" s="129"/>
      <c r="I2334" s="69"/>
      <c r="J2334" s="72"/>
      <c r="K2334" s="73"/>
      <c r="L2334" s="72"/>
      <c r="M2334" s="73"/>
      <c r="N2334" s="72"/>
      <c r="O2334" s="73"/>
      <c r="P2334" s="72"/>
      <c r="Q2334" s="73"/>
      <c r="R2334" s="72"/>
      <c r="S2334" s="73"/>
      <c r="T2334" s="72"/>
      <c r="U2334" s="73"/>
      <c r="V2334" s="72"/>
      <c r="W2334" s="73"/>
      <c r="X2334" s="72"/>
      <c r="Y2334" s="73"/>
      <c r="Z2334" s="74" t="b">
        <v>0</v>
      </c>
      <c r="AA2334" s="130">
        <f t="shared" si="931"/>
        <v>0</v>
      </c>
      <c r="AB2334" s="131">
        <f t="shared" si="932"/>
        <v>0</v>
      </c>
      <c r="AC2334" s="132">
        <f t="shared" si="933"/>
        <v>0</v>
      </c>
      <c r="AD2334" s="133">
        <f t="shared" si="934"/>
        <v>0</v>
      </c>
      <c r="AE2334" s="131">
        <f t="shared" si="935"/>
        <v>0</v>
      </c>
      <c r="AF2334" s="133">
        <f t="shared" si="936"/>
        <v>0</v>
      </c>
      <c r="AG2334" s="1"/>
    </row>
    <row r="2335" ht="21.0" customHeight="1">
      <c r="A2335" s="1"/>
      <c r="B2335" s="48" t="s">
        <v>39</v>
      </c>
      <c r="C2335" s="49"/>
      <c r="D2335" s="65"/>
      <c r="E2335" s="41"/>
      <c r="F2335" s="52" t="s">
        <v>40</v>
      </c>
      <c r="G2335" s="79"/>
      <c r="H2335" s="80"/>
      <c r="I2335" s="69"/>
      <c r="J2335" s="72"/>
      <c r="K2335" s="73"/>
      <c r="L2335" s="72"/>
      <c r="M2335" s="73"/>
      <c r="N2335" s="72"/>
      <c r="O2335" s="73"/>
      <c r="P2335" s="72"/>
      <c r="Q2335" s="73"/>
      <c r="R2335" s="72"/>
      <c r="S2335" s="73"/>
      <c r="T2335" s="72"/>
      <c r="U2335" s="73"/>
      <c r="V2335" s="72"/>
      <c r="W2335" s="73"/>
      <c r="X2335" s="72"/>
      <c r="Y2335" s="73"/>
      <c r="Z2335" s="74" t="b">
        <v>0</v>
      </c>
      <c r="AA2335" s="130">
        <f t="shared" si="931"/>
        <v>0</v>
      </c>
      <c r="AB2335" s="131">
        <f t="shared" si="932"/>
        <v>0</v>
      </c>
      <c r="AC2335" s="132">
        <f t="shared" si="933"/>
        <v>0</v>
      </c>
      <c r="AD2335" s="133">
        <f t="shared" si="934"/>
        <v>0</v>
      </c>
      <c r="AE2335" s="131">
        <f t="shared" si="935"/>
        <v>0</v>
      </c>
      <c r="AF2335" s="133">
        <f t="shared" si="936"/>
        <v>0</v>
      </c>
      <c r="AG2335" s="1"/>
    </row>
    <row r="2336" ht="21.0" customHeight="1">
      <c r="A2336" s="1"/>
      <c r="B2336" s="48" t="s">
        <v>41</v>
      </c>
      <c r="C2336" s="81"/>
      <c r="D2336" s="82" t="b">
        <v>0</v>
      </c>
      <c r="E2336" s="51" t="s">
        <v>42</v>
      </c>
      <c r="F2336" s="52" t="s">
        <v>34</v>
      </c>
      <c r="G2336" s="83"/>
      <c r="H2336" s="84"/>
      <c r="I2336" s="85"/>
      <c r="J2336" s="72"/>
      <c r="K2336" s="73"/>
      <c r="L2336" s="72"/>
      <c r="M2336" s="73"/>
      <c r="N2336" s="72"/>
      <c r="O2336" s="73"/>
      <c r="P2336" s="72"/>
      <c r="Q2336" s="73"/>
      <c r="R2336" s="72"/>
      <c r="S2336" s="73"/>
      <c r="T2336" s="72"/>
      <c r="U2336" s="73"/>
      <c r="V2336" s="72"/>
      <c r="W2336" s="73"/>
      <c r="X2336" s="72"/>
      <c r="Y2336" s="73"/>
      <c r="Z2336" s="74" t="b">
        <v>0</v>
      </c>
      <c r="AA2336" s="130">
        <f t="shared" si="931"/>
        <v>0</v>
      </c>
      <c r="AB2336" s="131">
        <f t="shared" si="932"/>
        <v>0</v>
      </c>
      <c r="AC2336" s="132">
        <f t="shared" si="933"/>
        <v>0</v>
      </c>
      <c r="AD2336" s="133">
        <f t="shared" si="934"/>
        <v>0</v>
      </c>
      <c r="AE2336" s="131">
        <f t="shared" si="935"/>
        <v>0</v>
      </c>
      <c r="AF2336" s="133">
        <f t="shared" si="936"/>
        <v>0</v>
      </c>
      <c r="AG2336" s="1"/>
    </row>
    <row r="2337" ht="21.0" customHeight="1">
      <c r="A2337" s="1"/>
      <c r="B2337" s="48" t="s">
        <v>43</v>
      </c>
      <c r="C2337" s="49"/>
      <c r="D2337" s="86" t="b">
        <v>0</v>
      </c>
      <c r="E2337" s="66"/>
      <c r="F2337" s="52" t="s">
        <v>37</v>
      </c>
      <c r="G2337" s="67"/>
      <c r="H2337" s="80"/>
      <c r="I2337" s="69"/>
      <c r="J2337" s="72"/>
      <c r="K2337" s="73"/>
      <c r="L2337" s="72"/>
      <c r="M2337" s="73"/>
      <c r="N2337" s="72"/>
      <c r="O2337" s="73"/>
      <c r="P2337" s="72"/>
      <c r="Q2337" s="73"/>
      <c r="R2337" s="72"/>
      <c r="S2337" s="73"/>
      <c r="T2337" s="72"/>
      <c r="U2337" s="73"/>
      <c r="V2337" s="72"/>
      <c r="W2337" s="73"/>
      <c r="X2337" s="72"/>
      <c r="Y2337" s="73"/>
      <c r="Z2337" s="74" t="b">
        <v>0</v>
      </c>
      <c r="AA2337" s="130">
        <f t="shared" si="931"/>
        <v>0</v>
      </c>
      <c r="AB2337" s="131">
        <f t="shared" si="932"/>
        <v>0</v>
      </c>
      <c r="AC2337" s="132">
        <f t="shared" si="933"/>
        <v>0</v>
      </c>
      <c r="AD2337" s="133">
        <f t="shared" si="934"/>
        <v>0</v>
      </c>
      <c r="AE2337" s="131">
        <f t="shared" si="935"/>
        <v>0</v>
      </c>
      <c r="AF2337" s="133">
        <f t="shared" si="936"/>
        <v>0</v>
      </c>
      <c r="AG2337" s="1"/>
    </row>
    <row r="2338" ht="21.0" customHeight="1">
      <c r="A2338" s="1"/>
      <c r="B2338" s="87" t="str">
        <f t="array" ref="B2338">"📌최근 인바디 결과 : "&amp;text(xlookup(B2330,'현황'!O:O,'현황'!O:O,,-1,-1),"m/d(ddd)")</f>
        <v>#REF!</v>
      </c>
      <c r="C2338" s="88"/>
      <c r="D2338" s="49"/>
      <c r="E2338" s="41"/>
      <c r="F2338" s="52" t="s">
        <v>40</v>
      </c>
      <c r="G2338" s="79"/>
      <c r="H2338" s="80"/>
      <c r="I2338" s="69"/>
      <c r="J2338" s="72"/>
      <c r="K2338" s="73"/>
      <c r="L2338" s="72"/>
      <c r="M2338" s="73"/>
      <c r="N2338" s="72"/>
      <c r="O2338" s="73"/>
      <c r="P2338" s="72"/>
      <c r="Q2338" s="73"/>
      <c r="R2338" s="72"/>
      <c r="S2338" s="73"/>
      <c r="T2338" s="72"/>
      <c r="U2338" s="73"/>
      <c r="V2338" s="72"/>
      <c r="W2338" s="73"/>
      <c r="X2338" s="72"/>
      <c r="Y2338" s="73"/>
      <c r="Z2338" s="74" t="b">
        <v>0</v>
      </c>
      <c r="AA2338" s="130">
        <f t="shared" si="931"/>
        <v>0</v>
      </c>
      <c r="AB2338" s="131">
        <f t="shared" si="932"/>
        <v>0</v>
      </c>
      <c r="AC2338" s="132">
        <f t="shared" si="933"/>
        <v>0</v>
      </c>
      <c r="AD2338" s="133">
        <f t="shared" si="934"/>
        <v>0</v>
      </c>
      <c r="AE2338" s="131">
        <f t="shared" si="935"/>
        <v>0</v>
      </c>
      <c r="AF2338" s="133">
        <f t="shared" si="936"/>
        <v>0</v>
      </c>
      <c r="AG2338" s="1"/>
    </row>
    <row r="2339" ht="21.0" customHeight="1">
      <c r="A2339" s="1"/>
      <c r="B2339" s="89" t="s">
        <v>44</v>
      </c>
      <c r="C2339" s="49"/>
      <c r="D2339" s="90">
        <f t="array" ref="D2339">iferror(vlookup(xlookup(B2330,'현황'!O:O,'현황'!O:O,,-1,-1),'현황'!O:S,2,false),0)</f>
        <v>0</v>
      </c>
      <c r="E2339" s="51" t="s">
        <v>45</v>
      </c>
      <c r="F2339" s="52" t="s">
        <v>34</v>
      </c>
      <c r="G2339" s="83"/>
      <c r="H2339" s="84"/>
      <c r="I2339" s="85"/>
      <c r="J2339" s="72"/>
      <c r="K2339" s="73"/>
      <c r="L2339" s="72"/>
      <c r="M2339" s="73"/>
      <c r="N2339" s="72"/>
      <c r="O2339" s="73"/>
      <c r="P2339" s="72"/>
      <c r="Q2339" s="73"/>
      <c r="R2339" s="72"/>
      <c r="S2339" s="73"/>
      <c r="T2339" s="72"/>
      <c r="U2339" s="73"/>
      <c r="V2339" s="72"/>
      <c r="W2339" s="73"/>
      <c r="X2339" s="72"/>
      <c r="Y2339" s="73"/>
      <c r="Z2339" s="74" t="b">
        <v>0</v>
      </c>
      <c r="AA2339" s="130">
        <f t="shared" si="931"/>
        <v>0</v>
      </c>
      <c r="AB2339" s="131">
        <f t="shared" si="932"/>
        <v>0</v>
      </c>
      <c r="AC2339" s="132">
        <f t="shared" si="933"/>
        <v>0</v>
      </c>
      <c r="AD2339" s="133">
        <f t="shared" si="934"/>
        <v>0</v>
      </c>
      <c r="AE2339" s="131">
        <f t="shared" si="935"/>
        <v>0</v>
      </c>
      <c r="AF2339" s="133">
        <f t="shared" si="936"/>
        <v>0</v>
      </c>
      <c r="AG2339" s="1"/>
    </row>
    <row r="2340" ht="21.0" customHeight="1">
      <c r="A2340" s="1"/>
      <c r="B2340" s="48" t="s">
        <v>46</v>
      </c>
      <c r="C2340" s="49"/>
      <c r="D2340" s="91">
        <f t="array" ref="D2340">iferror(vlookup(xlookup(B2330,'현황'!O:O,'현황'!O:O,,-1,-1),'현황'!O:S,3,false),0)</f>
        <v>0</v>
      </c>
      <c r="E2340" s="66"/>
      <c r="F2340" s="52" t="s">
        <v>37</v>
      </c>
      <c r="G2340" s="67"/>
      <c r="H2340" s="80"/>
      <c r="I2340" s="69"/>
      <c r="J2340" s="72"/>
      <c r="K2340" s="73"/>
      <c r="L2340" s="72"/>
      <c r="M2340" s="73"/>
      <c r="N2340" s="72"/>
      <c r="O2340" s="73"/>
      <c r="P2340" s="72"/>
      <c r="Q2340" s="73"/>
      <c r="R2340" s="72"/>
      <c r="S2340" s="73"/>
      <c r="T2340" s="72"/>
      <c r="U2340" s="73"/>
      <c r="V2340" s="72"/>
      <c r="W2340" s="73"/>
      <c r="X2340" s="72"/>
      <c r="Y2340" s="73"/>
      <c r="Z2340" s="74" t="b">
        <v>0</v>
      </c>
      <c r="AA2340" s="130">
        <f t="shared" si="931"/>
        <v>0</v>
      </c>
      <c r="AB2340" s="131">
        <f t="shared" si="932"/>
        <v>0</v>
      </c>
      <c r="AC2340" s="132">
        <f t="shared" si="933"/>
        <v>0</v>
      </c>
      <c r="AD2340" s="133">
        <f t="shared" si="934"/>
        <v>0</v>
      </c>
      <c r="AE2340" s="131">
        <f t="shared" si="935"/>
        <v>0</v>
      </c>
      <c r="AF2340" s="133">
        <f t="shared" si="936"/>
        <v>0</v>
      </c>
      <c r="AG2340" s="1"/>
    </row>
    <row r="2341" ht="21.0" customHeight="1">
      <c r="A2341" s="1"/>
      <c r="B2341" s="48" t="s">
        <v>47</v>
      </c>
      <c r="C2341" s="49"/>
      <c r="D2341" s="91">
        <f t="array" ref="D2341">iferror(vlookup(xlookup(B2330,'현황'!O:O,'현황'!O:O,,-1,-1),'현황'!O:S,4,false),0)</f>
        <v>0</v>
      </c>
      <c r="E2341" s="41"/>
      <c r="F2341" s="92" t="s">
        <v>40</v>
      </c>
      <c r="G2341" s="79"/>
      <c r="H2341" s="93"/>
      <c r="I2341" s="94"/>
      <c r="J2341" s="95"/>
      <c r="K2341" s="96"/>
      <c r="L2341" s="95"/>
      <c r="M2341" s="96"/>
      <c r="N2341" s="95"/>
      <c r="O2341" s="96"/>
      <c r="P2341" s="95"/>
      <c r="Q2341" s="96"/>
      <c r="R2341" s="95"/>
      <c r="S2341" s="96"/>
      <c r="T2341" s="95"/>
      <c r="U2341" s="96"/>
      <c r="V2341" s="95"/>
      <c r="W2341" s="96"/>
      <c r="X2341" s="95"/>
      <c r="Y2341" s="96"/>
      <c r="Z2341" s="97" t="b">
        <v>0</v>
      </c>
      <c r="AA2341" s="135">
        <f t="shared" si="931"/>
        <v>0</v>
      </c>
      <c r="AB2341" s="136">
        <f t="shared" si="932"/>
        <v>0</v>
      </c>
      <c r="AC2341" s="137">
        <f t="shared" si="933"/>
        <v>0</v>
      </c>
      <c r="AD2341" s="138">
        <f t="shared" si="934"/>
        <v>0</v>
      </c>
      <c r="AE2341" s="136">
        <f t="shared" si="935"/>
        <v>0</v>
      </c>
      <c r="AF2341" s="138">
        <f t="shared" si="936"/>
        <v>0</v>
      </c>
      <c r="AG2341" s="1"/>
    </row>
    <row r="2342" ht="21.0" customHeight="1">
      <c r="A2342" s="1"/>
      <c r="B2342" s="102" t="s">
        <v>48</v>
      </c>
      <c r="C2342" s="103"/>
      <c r="D2342" s="104">
        <f>iferror(D2341/D2339,0)</f>
        <v>0</v>
      </c>
      <c r="E2342" s="102" t="s">
        <v>49</v>
      </c>
      <c r="F2342" s="103"/>
      <c r="G2342" s="105"/>
      <c r="H2342" s="143" t="s">
        <v>50</v>
      </c>
      <c r="I2342" s="144"/>
      <c r="J2342" s="11"/>
      <c r="K2342" s="11"/>
      <c r="L2342" s="11"/>
      <c r="M2342" s="11"/>
      <c r="N2342" s="11"/>
      <c r="O2342" s="11"/>
      <c r="P2342" s="145" t="s">
        <v>51</v>
      </c>
      <c r="Q2342" s="12"/>
      <c r="R2342" s="146"/>
      <c r="S2342" s="11"/>
      <c r="T2342" s="11"/>
      <c r="U2342" s="11"/>
      <c r="V2342" s="11"/>
      <c r="W2342" s="11"/>
      <c r="X2342" s="11"/>
      <c r="Y2342" s="11"/>
      <c r="Z2342" s="12"/>
      <c r="AA2342" s="139">
        <f>SUM(AA2333:AA2341)</f>
        <v>0</v>
      </c>
      <c r="AB2342" s="140" t="s">
        <v>409</v>
      </c>
      <c r="AG2342" s="1"/>
    </row>
    <row r="2343" ht="21.0" customHeight="1">
      <c r="A2343" s="1"/>
      <c r="B2343" s="1"/>
      <c r="C2343" s="1"/>
      <c r="D2343" s="1"/>
      <c r="E2343" s="1"/>
      <c r="F2343" s="1"/>
      <c r="G2343" s="1"/>
      <c r="H2343" s="1"/>
      <c r="I2343" s="1"/>
      <c r="AA2343" s="1"/>
      <c r="AB2343" s="1"/>
      <c r="AC2343" s="3"/>
      <c r="AD2343" s="1"/>
      <c r="AE2343" s="1"/>
      <c r="AF2343" s="1"/>
      <c r="AG2343" s="1"/>
    </row>
    <row r="2344" ht="21.0" customHeight="1">
      <c r="A2344" s="1"/>
      <c r="B2344" s="4" t="s">
        <v>1</v>
      </c>
      <c r="C2344" s="5"/>
      <c r="D2344" s="6" t="s">
        <v>2</v>
      </c>
      <c r="E2344" s="7"/>
      <c r="F2344" s="7"/>
      <c r="G2344" s="5"/>
      <c r="H2344" s="8" t="s">
        <v>3</v>
      </c>
      <c r="I2344" s="8" t="s">
        <v>4</v>
      </c>
      <c r="J2344" s="9" t="s">
        <v>5</v>
      </c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5"/>
      <c r="AA2344" s="117" t="s">
        <v>6</v>
      </c>
      <c r="AB2344" s="11"/>
      <c r="AC2344" s="11"/>
      <c r="AD2344" s="11"/>
      <c r="AE2344" s="11"/>
      <c r="AF2344" s="12"/>
      <c r="AG2344" s="1"/>
    </row>
    <row r="2345" ht="21.0" customHeight="1">
      <c r="A2345" s="1"/>
      <c r="B2345" s="149" t="s">
        <v>138</v>
      </c>
      <c r="C2345" s="14" t="str">
        <f>if(B2345="0/0","",choose(weekday(B2345),"(일)","(월)","(화)","(수)","(목)","(금)","(토)"))</f>
        <v/>
      </c>
      <c r="D2345" s="15" t="s">
        <v>7</v>
      </c>
      <c r="E2345" s="16" t="s">
        <v>8</v>
      </c>
      <c r="F2345" s="17"/>
      <c r="G2345" s="18" t="s">
        <v>9</v>
      </c>
      <c r="H2345" s="150" t="s">
        <v>139</v>
      </c>
      <c r="I2345" s="151"/>
      <c r="J2345" s="21" t="s">
        <v>12</v>
      </c>
      <c r="K2345" s="22"/>
      <c r="L2345" s="21" t="s">
        <v>13</v>
      </c>
      <c r="M2345" s="22"/>
      <c r="N2345" s="21" t="s">
        <v>14</v>
      </c>
      <c r="O2345" s="22"/>
      <c r="P2345" s="21" t="s">
        <v>15</v>
      </c>
      <c r="Q2345" s="22"/>
      <c r="R2345" s="23" t="s">
        <v>16</v>
      </c>
      <c r="S2345" s="22"/>
      <c r="T2345" s="23" t="s">
        <v>17</v>
      </c>
      <c r="U2345" s="22"/>
      <c r="V2345" s="23" t="s">
        <v>18</v>
      </c>
      <c r="W2345" s="22"/>
      <c r="X2345" s="23" t="s">
        <v>19</v>
      </c>
      <c r="Y2345" s="22"/>
      <c r="Z2345" s="24" t="s">
        <v>410</v>
      </c>
      <c r="AA2345" s="118" t="s">
        <v>21</v>
      </c>
      <c r="AB2345" s="119" t="s">
        <v>22</v>
      </c>
      <c r="AC2345" s="7"/>
      <c r="AD2345" s="22"/>
      <c r="AE2345" s="120" t="s">
        <v>23</v>
      </c>
      <c r="AF2345" s="22"/>
      <c r="AG2345" s="1"/>
    </row>
    <row r="2346" ht="21.0" customHeight="1">
      <c r="A2346" s="1"/>
      <c r="B2346" s="27">
        <f>iferror(B2345-'현황'!$C$4+1,0)</f>
        <v>0</v>
      </c>
      <c r="C2346" s="28"/>
      <c r="D2346" s="29">
        <v>0.0</v>
      </c>
      <c r="E2346" s="30">
        <v>0.0</v>
      </c>
      <c r="F2346" s="31"/>
      <c r="G2346" s="32">
        <v>0.0</v>
      </c>
      <c r="H2346" s="33">
        <v>0.0</v>
      </c>
      <c r="I2346" s="34"/>
      <c r="J2346" s="35"/>
      <c r="K2346" s="36"/>
      <c r="L2346" s="35"/>
      <c r="M2346" s="36"/>
      <c r="N2346" s="35"/>
      <c r="O2346" s="36"/>
      <c r="P2346" s="35"/>
      <c r="Q2346" s="36"/>
      <c r="R2346" s="35"/>
      <c r="S2346" s="36"/>
      <c r="T2346" s="35"/>
      <c r="U2346" s="36"/>
      <c r="V2346" s="35"/>
      <c r="W2346" s="36"/>
      <c r="X2346" s="35"/>
      <c r="Y2346" s="36"/>
      <c r="Z2346" s="37"/>
      <c r="AA2346" s="37"/>
      <c r="AB2346" s="35"/>
      <c r="AC2346" s="38"/>
      <c r="AD2346" s="36"/>
      <c r="AE2346" s="35"/>
      <c r="AF2346" s="36"/>
      <c r="AG2346" s="1"/>
    </row>
    <row r="2347" ht="21.0" customHeight="1">
      <c r="A2347" s="1"/>
      <c r="B2347" s="39" t="s">
        <v>24</v>
      </c>
      <c r="C2347" s="40"/>
      <c r="D2347" s="41"/>
      <c r="E2347" s="42" t="s">
        <v>25</v>
      </c>
      <c r="F2347" s="40"/>
      <c r="G2347" s="41"/>
      <c r="H2347" s="43" t="s">
        <v>26</v>
      </c>
      <c r="J2347" s="44" t="s">
        <v>27</v>
      </c>
      <c r="K2347" s="45" t="s">
        <v>28</v>
      </c>
      <c r="L2347" s="44" t="s">
        <v>27</v>
      </c>
      <c r="M2347" s="45" t="s">
        <v>28</v>
      </c>
      <c r="N2347" s="44" t="s">
        <v>27</v>
      </c>
      <c r="O2347" s="45" t="s">
        <v>28</v>
      </c>
      <c r="P2347" s="44" t="s">
        <v>27</v>
      </c>
      <c r="Q2347" s="45" t="s">
        <v>28</v>
      </c>
      <c r="R2347" s="44" t="s">
        <v>27</v>
      </c>
      <c r="S2347" s="45" t="s">
        <v>28</v>
      </c>
      <c r="T2347" s="44" t="s">
        <v>27</v>
      </c>
      <c r="U2347" s="45" t="s">
        <v>28</v>
      </c>
      <c r="V2347" s="44" t="s">
        <v>27</v>
      </c>
      <c r="W2347" s="45" t="s">
        <v>28</v>
      </c>
      <c r="X2347" s="44" t="s">
        <v>27</v>
      </c>
      <c r="Y2347" s="45" t="s">
        <v>28</v>
      </c>
      <c r="Z2347" s="46"/>
      <c r="AA2347" s="46"/>
      <c r="AB2347" s="121" t="s">
        <v>29</v>
      </c>
      <c r="AC2347" s="122" t="s">
        <v>30</v>
      </c>
      <c r="AD2347" s="123" t="s">
        <v>31</v>
      </c>
      <c r="AE2347" s="121" t="s">
        <v>27</v>
      </c>
      <c r="AF2347" s="123" t="s">
        <v>28</v>
      </c>
      <c r="AG2347" s="1"/>
    </row>
    <row r="2348" ht="21.0" customHeight="1">
      <c r="A2348" s="1"/>
      <c r="B2348" s="48" t="s">
        <v>32</v>
      </c>
      <c r="C2348" s="49"/>
      <c r="D2348" s="50"/>
      <c r="E2348" s="51" t="s">
        <v>33</v>
      </c>
      <c r="F2348" s="52" t="s">
        <v>34</v>
      </c>
      <c r="G2348" s="53"/>
      <c r="H2348" s="148"/>
      <c r="I2348" s="55"/>
      <c r="J2348" s="58"/>
      <c r="K2348" s="59"/>
      <c r="L2348" s="58"/>
      <c r="M2348" s="59"/>
      <c r="N2348" s="58"/>
      <c r="O2348" s="59"/>
      <c r="P2348" s="58"/>
      <c r="Q2348" s="59"/>
      <c r="R2348" s="58"/>
      <c r="S2348" s="59"/>
      <c r="T2348" s="58"/>
      <c r="U2348" s="59"/>
      <c r="V2348" s="58"/>
      <c r="W2348" s="59"/>
      <c r="X2348" s="58"/>
      <c r="Y2348" s="59"/>
      <c r="Z2348" s="60" t="b">
        <v>0</v>
      </c>
      <c r="AA2348" s="125">
        <f t="shared" ref="AA2348:AA2356" si="937">(J2348*K2348+L2348*M2348+N2348*O2348+P2348*Q2348+R2348*S2348+T2348*U2348+V2348*W2348+X2348*Y2348)*if(Z2348=true,0.453592,1)</f>
        <v>0</v>
      </c>
      <c r="AB2348" s="126">
        <f t="shared" ref="AB2348:AB2356" si="938">SUM(AE2348*AF2348*0.025,AE2348)</f>
        <v>0</v>
      </c>
      <c r="AC2348" s="127">
        <f t="shared" ref="AC2348:AC2356" si="939">AB2348*87%</f>
        <v>0</v>
      </c>
      <c r="AD2348" s="128">
        <f t="shared" ref="AD2348:AD2356" si="940">AB2348*67%</f>
        <v>0</v>
      </c>
      <c r="AE2348" s="126">
        <f t="shared" ref="AE2348:AE2356" si="941">MAX(J2348,L2348,N2348,P2348,R2348,T2348,V2348,X2348)*if(Z2348=true,0.453592,1)</f>
        <v>0</v>
      </c>
      <c r="AF2348" s="128">
        <f t="shared" ref="AF2348:AF2356" si="942">MAX(IF(J2348*if(Z2348=true,0.453592,1)=$AE2348,K2348,0),IF(L2348*if(Z2348=true,0.453592,1)=$AE2348,M2348,0),IF(N2348*if(Z2348=true,0.453592,1)=$AE2348,O2348,0),IF(P2348*if(Z2348=true,0.453592,1)=$AE2348,Q2348,0),IF(R2348*if(Z2348=true,0.453592,1)=$AE2348,S2348,0),IF(T2348*if(Z2348=true,0.453592,1)=$AE2348,U2348,0),IF(V2348*if(Z2348=true,0.453592,1)=$AE2348,W2348,0),IF(X2348*if(Z2348=true,0.453592,1)=$AE2348,Y2348,0))</f>
        <v>0</v>
      </c>
      <c r="AG2348" s="1"/>
    </row>
    <row r="2349" ht="21.0" customHeight="1">
      <c r="A2349" s="1"/>
      <c r="B2349" s="48" t="s">
        <v>36</v>
      </c>
      <c r="C2349" s="49"/>
      <c r="D2349" s="65"/>
      <c r="E2349" s="66"/>
      <c r="F2349" s="52" t="s">
        <v>37</v>
      </c>
      <c r="G2349" s="67"/>
      <c r="H2349" s="129"/>
      <c r="I2349" s="69"/>
      <c r="J2349" s="72"/>
      <c r="K2349" s="73"/>
      <c r="L2349" s="72"/>
      <c r="M2349" s="73"/>
      <c r="N2349" s="72"/>
      <c r="O2349" s="73"/>
      <c r="P2349" s="72"/>
      <c r="Q2349" s="73"/>
      <c r="R2349" s="72"/>
      <c r="S2349" s="73"/>
      <c r="T2349" s="72"/>
      <c r="U2349" s="73"/>
      <c r="V2349" s="72"/>
      <c r="W2349" s="73"/>
      <c r="X2349" s="72"/>
      <c r="Y2349" s="73"/>
      <c r="Z2349" s="74" t="b">
        <v>0</v>
      </c>
      <c r="AA2349" s="130">
        <f t="shared" si="937"/>
        <v>0</v>
      </c>
      <c r="AB2349" s="131">
        <f t="shared" si="938"/>
        <v>0</v>
      </c>
      <c r="AC2349" s="132">
        <f t="shared" si="939"/>
        <v>0</v>
      </c>
      <c r="AD2349" s="133">
        <f t="shared" si="940"/>
        <v>0</v>
      </c>
      <c r="AE2349" s="131">
        <f t="shared" si="941"/>
        <v>0</v>
      </c>
      <c r="AF2349" s="133">
        <f t="shared" si="942"/>
        <v>0</v>
      </c>
      <c r="AG2349" s="1"/>
    </row>
    <row r="2350" ht="21.0" customHeight="1">
      <c r="A2350" s="1"/>
      <c r="B2350" s="48" t="s">
        <v>39</v>
      </c>
      <c r="C2350" s="49"/>
      <c r="D2350" s="65"/>
      <c r="E2350" s="41"/>
      <c r="F2350" s="52" t="s">
        <v>40</v>
      </c>
      <c r="G2350" s="79"/>
      <c r="H2350" s="80"/>
      <c r="I2350" s="69"/>
      <c r="J2350" s="72"/>
      <c r="K2350" s="73"/>
      <c r="L2350" s="72"/>
      <c r="M2350" s="73"/>
      <c r="N2350" s="72"/>
      <c r="O2350" s="73"/>
      <c r="P2350" s="72"/>
      <c r="Q2350" s="73"/>
      <c r="R2350" s="72"/>
      <c r="S2350" s="73"/>
      <c r="T2350" s="72"/>
      <c r="U2350" s="73"/>
      <c r="V2350" s="72"/>
      <c r="W2350" s="73"/>
      <c r="X2350" s="72"/>
      <c r="Y2350" s="73"/>
      <c r="Z2350" s="74" t="b">
        <v>0</v>
      </c>
      <c r="AA2350" s="130">
        <f t="shared" si="937"/>
        <v>0</v>
      </c>
      <c r="AB2350" s="131">
        <f t="shared" si="938"/>
        <v>0</v>
      </c>
      <c r="AC2350" s="132">
        <f t="shared" si="939"/>
        <v>0</v>
      </c>
      <c r="AD2350" s="133">
        <f t="shared" si="940"/>
        <v>0</v>
      </c>
      <c r="AE2350" s="131">
        <f t="shared" si="941"/>
        <v>0</v>
      </c>
      <c r="AF2350" s="133">
        <f t="shared" si="942"/>
        <v>0</v>
      </c>
      <c r="AG2350" s="1"/>
    </row>
    <row r="2351" ht="21.0" customHeight="1">
      <c r="A2351" s="1"/>
      <c r="B2351" s="48" t="s">
        <v>41</v>
      </c>
      <c r="C2351" s="81"/>
      <c r="D2351" s="82" t="b">
        <v>0</v>
      </c>
      <c r="E2351" s="51" t="s">
        <v>42</v>
      </c>
      <c r="F2351" s="52" t="s">
        <v>34</v>
      </c>
      <c r="G2351" s="83"/>
      <c r="H2351" s="84"/>
      <c r="I2351" s="85"/>
      <c r="J2351" s="72"/>
      <c r="K2351" s="73"/>
      <c r="L2351" s="72"/>
      <c r="M2351" s="73"/>
      <c r="N2351" s="72"/>
      <c r="O2351" s="73"/>
      <c r="P2351" s="72"/>
      <c r="Q2351" s="73"/>
      <c r="R2351" s="72"/>
      <c r="S2351" s="73"/>
      <c r="T2351" s="72"/>
      <c r="U2351" s="73"/>
      <c r="V2351" s="72"/>
      <c r="W2351" s="73"/>
      <c r="X2351" s="72"/>
      <c r="Y2351" s="73"/>
      <c r="Z2351" s="74" t="b">
        <v>0</v>
      </c>
      <c r="AA2351" s="130">
        <f t="shared" si="937"/>
        <v>0</v>
      </c>
      <c r="AB2351" s="131">
        <f t="shared" si="938"/>
        <v>0</v>
      </c>
      <c r="AC2351" s="132">
        <f t="shared" si="939"/>
        <v>0</v>
      </c>
      <c r="AD2351" s="133">
        <f t="shared" si="940"/>
        <v>0</v>
      </c>
      <c r="AE2351" s="131">
        <f t="shared" si="941"/>
        <v>0</v>
      </c>
      <c r="AF2351" s="133">
        <f t="shared" si="942"/>
        <v>0</v>
      </c>
      <c r="AG2351" s="1"/>
    </row>
    <row r="2352" ht="21.0" customHeight="1">
      <c r="A2352" s="1"/>
      <c r="B2352" s="48" t="s">
        <v>43</v>
      </c>
      <c r="C2352" s="49"/>
      <c r="D2352" s="86" t="b">
        <v>0</v>
      </c>
      <c r="E2352" s="66"/>
      <c r="F2352" s="52" t="s">
        <v>37</v>
      </c>
      <c r="G2352" s="67"/>
      <c r="H2352" s="80"/>
      <c r="I2352" s="69"/>
      <c r="J2352" s="72"/>
      <c r="K2352" s="73"/>
      <c r="L2352" s="72"/>
      <c r="M2352" s="73"/>
      <c r="N2352" s="72"/>
      <c r="O2352" s="73"/>
      <c r="P2352" s="72"/>
      <c r="Q2352" s="73"/>
      <c r="R2352" s="72"/>
      <c r="S2352" s="73"/>
      <c r="T2352" s="72"/>
      <c r="U2352" s="73"/>
      <c r="V2352" s="72"/>
      <c r="W2352" s="73"/>
      <c r="X2352" s="72"/>
      <c r="Y2352" s="73"/>
      <c r="Z2352" s="74" t="b">
        <v>0</v>
      </c>
      <c r="AA2352" s="130">
        <f t="shared" si="937"/>
        <v>0</v>
      </c>
      <c r="AB2352" s="131">
        <f t="shared" si="938"/>
        <v>0</v>
      </c>
      <c r="AC2352" s="132">
        <f t="shared" si="939"/>
        <v>0</v>
      </c>
      <c r="AD2352" s="133">
        <f t="shared" si="940"/>
        <v>0</v>
      </c>
      <c r="AE2352" s="131">
        <f t="shared" si="941"/>
        <v>0</v>
      </c>
      <c r="AF2352" s="133">
        <f t="shared" si="942"/>
        <v>0</v>
      </c>
      <c r="AG2352" s="1"/>
    </row>
    <row r="2353" ht="21.0" customHeight="1">
      <c r="A2353" s="1"/>
      <c r="B2353" s="87" t="str">
        <f t="array" ref="B2353">"📌최근 인바디 결과 : "&amp;text(xlookup(B2345,'현황'!O:O,'현황'!O:O,,-1,-1),"m/d(ddd)")</f>
        <v>#REF!</v>
      </c>
      <c r="C2353" s="88"/>
      <c r="D2353" s="49"/>
      <c r="E2353" s="41"/>
      <c r="F2353" s="52" t="s">
        <v>40</v>
      </c>
      <c r="G2353" s="79"/>
      <c r="H2353" s="80"/>
      <c r="I2353" s="69"/>
      <c r="J2353" s="72"/>
      <c r="K2353" s="73"/>
      <c r="L2353" s="72"/>
      <c r="M2353" s="73"/>
      <c r="N2353" s="72"/>
      <c r="O2353" s="73"/>
      <c r="P2353" s="72"/>
      <c r="Q2353" s="73"/>
      <c r="R2353" s="72"/>
      <c r="S2353" s="73"/>
      <c r="T2353" s="72"/>
      <c r="U2353" s="73"/>
      <c r="V2353" s="72"/>
      <c r="W2353" s="73"/>
      <c r="X2353" s="72"/>
      <c r="Y2353" s="73"/>
      <c r="Z2353" s="74" t="b">
        <v>0</v>
      </c>
      <c r="AA2353" s="130">
        <f t="shared" si="937"/>
        <v>0</v>
      </c>
      <c r="AB2353" s="131">
        <f t="shared" si="938"/>
        <v>0</v>
      </c>
      <c r="AC2353" s="132">
        <f t="shared" si="939"/>
        <v>0</v>
      </c>
      <c r="AD2353" s="133">
        <f t="shared" si="940"/>
        <v>0</v>
      </c>
      <c r="AE2353" s="131">
        <f t="shared" si="941"/>
        <v>0</v>
      </c>
      <c r="AF2353" s="133">
        <f t="shared" si="942"/>
        <v>0</v>
      </c>
      <c r="AG2353" s="1"/>
    </row>
    <row r="2354" ht="21.0" customHeight="1">
      <c r="A2354" s="1"/>
      <c r="B2354" s="89" t="s">
        <v>44</v>
      </c>
      <c r="C2354" s="49"/>
      <c r="D2354" s="90">
        <f t="array" ref="D2354">iferror(vlookup(xlookup(B2345,'현황'!O:O,'현황'!O:O,,-1,-1),'현황'!O:S,2,false),0)</f>
        <v>0</v>
      </c>
      <c r="E2354" s="51" t="s">
        <v>45</v>
      </c>
      <c r="F2354" s="52" t="s">
        <v>34</v>
      </c>
      <c r="G2354" s="83"/>
      <c r="H2354" s="84"/>
      <c r="I2354" s="85"/>
      <c r="J2354" s="72"/>
      <c r="K2354" s="73"/>
      <c r="L2354" s="72"/>
      <c r="M2354" s="73"/>
      <c r="N2354" s="72"/>
      <c r="O2354" s="73"/>
      <c r="P2354" s="72"/>
      <c r="Q2354" s="73"/>
      <c r="R2354" s="72"/>
      <c r="S2354" s="73"/>
      <c r="T2354" s="72"/>
      <c r="U2354" s="73"/>
      <c r="V2354" s="72"/>
      <c r="W2354" s="73"/>
      <c r="X2354" s="72"/>
      <c r="Y2354" s="73"/>
      <c r="Z2354" s="74" t="b">
        <v>0</v>
      </c>
      <c r="AA2354" s="130">
        <f t="shared" si="937"/>
        <v>0</v>
      </c>
      <c r="AB2354" s="131">
        <f t="shared" si="938"/>
        <v>0</v>
      </c>
      <c r="AC2354" s="132">
        <f t="shared" si="939"/>
        <v>0</v>
      </c>
      <c r="AD2354" s="133">
        <f t="shared" si="940"/>
        <v>0</v>
      </c>
      <c r="AE2354" s="131">
        <f t="shared" si="941"/>
        <v>0</v>
      </c>
      <c r="AF2354" s="133">
        <f t="shared" si="942"/>
        <v>0</v>
      </c>
      <c r="AG2354" s="1"/>
    </row>
    <row r="2355" ht="21.0" customHeight="1">
      <c r="A2355" s="1"/>
      <c r="B2355" s="48" t="s">
        <v>46</v>
      </c>
      <c r="C2355" s="49"/>
      <c r="D2355" s="91">
        <f t="array" ref="D2355">iferror(vlookup(xlookup(B2345,'현황'!O:O,'현황'!O:O,,-1,-1),'현황'!O:S,3,false),0)</f>
        <v>0</v>
      </c>
      <c r="E2355" s="66"/>
      <c r="F2355" s="52" t="s">
        <v>37</v>
      </c>
      <c r="G2355" s="67"/>
      <c r="H2355" s="80"/>
      <c r="I2355" s="69"/>
      <c r="J2355" s="72"/>
      <c r="K2355" s="73"/>
      <c r="L2355" s="72"/>
      <c r="M2355" s="73"/>
      <c r="N2355" s="72"/>
      <c r="O2355" s="73"/>
      <c r="P2355" s="72"/>
      <c r="Q2355" s="73"/>
      <c r="R2355" s="72"/>
      <c r="S2355" s="73"/>
      <c r="T2355" s="72"/>
      <c r="U2355" s="73"/>
      <c r="V2355" s="72"/>
      <c r="W2355" s="73"/>
      <c r="X2355" s="72"/>
      <c r="Y2355" s="73"/>
      <c r="Z2355" s="74" t="b">
        <v>0</v>
      </c>
      <c r="AA2355" s="130">
        <f t="shared" si="937"/>
        <v>0</v>
      </c>
      <c r="AB2355" s="131">
        <f t="shared" si="938"/>
        <v>0</v>
      </c>
      <c r="AC2355" s="132">
        <f t="shared" si="939"/>
        <v>0</v>
      </c>
      <c r="AD2355" s="133">
        <f t="shared" si="940"/>
        <v>0</v>
      </c>
      <c r="AE2355" s="131">
        <f t="shared" si="941"/>
        <v>0</v>
      </c>
      <c r="AF2355" s="133">
        <f t="shared" si="942"/>
        <v>0</v>
      </c>
      <c r="AG2355" s="1"/>
    </row>
    <row r="2356" ht="21.0" customHeight="1">
      <c r="A2356" s="1"/>
      <c r="B2356" s="48" t="s">
        <v>47</v>
      </c>
      <c r="C2356" s="49"/>
      <c r="D2356" s="91">
        <f t="array" ref="D2356">iferror(vlookup(xlookup(B2345,'현황'!O:O,'현황'!O:O,,-1,-1),'현황'!O:S,4,false),0)</f>
        <v>0</v>
      </c>
      <c r="E2356" s="41"/>
      <c r="F2356" s="92" t="s">
        <v>40</v>
      </c>
      <c r="G2356" s="79"/>
      <c r="H2356" s="93"/>
      <c r="I2356" s="94"/>
      <c r="J2356" s="95"/>
      <c r="K2356" s="96"/>
      <c r="L2356" s="95"/>
      <c r="M2356" s="96"/>
      <c r="N2356" s="95"/>
      <c r="O2356" s="96"/>
      <c r="P2356" s="95"/>
      <c r="Q2356" s="96"/>
      <c r="R2356" s="95"/>
      <c r="S2356" s="96"/>
      <c r="T2356" s="95"/>
      <c r="U2356" s="96"/>
      <c r="V2356" s="95"/>
      <c r="W2356" s="96"/>
      <c r="X2356" s="95"/>
      <c r="Y2356" s="96"/>
      <c r="Z2356" s="97" t="b">
        <v>0</v>
      </c>
      <c r="AA2356" s="135">
        <f t="shared" si="937"/>
        <v>0</v>
      </c>
      <c r="AB2356" s="136">
        <f t="shared" si="938"/>
        <v>0</v>
      </c>
      <c r="AC2356" s="137">
        <f t="shared" si="939"/>
        <v>0</v>
      </c>
      <c r="AD2356" s="138">
        <f t="shared" si="940"/>
        <v>0</v>
      </c>
      <c r="AE2356" s="136">
        <f t="shared" si="941"/>
        <v>0</v>
      </c>
      <c r="AF2356" s="138">
        <f t="shared" si="942"/>
        <v>0</v>
      </c>
      <c r="AG2356" s="1"/>
    </row>
    <row r="2357" ht="21.0" customHeight="1">
      <c r="A2357" s="1"/>
      <c r="B2357" s="102" t="s">
        <v>48</v>
      </c>
      <c r="C2357" s="103"/>
      <c r="D2357" s="104">
        <f>iferror(D2356/D2354,0)</f>
        <v>0</v>
      </c>
      <c r="E2357" s="102" t="s">
        <v>49</v>
      </c>
      <c r="F2357" s="103"/>
      <c r="G2357" s="105"/>
      <c r="H2357" s="106" t="s">
        <v>50</v>
      </c>
      <c r="I2357" s="107"/>
      <c r="J2357" s="11"/>
      <c r="K2357" s="11"/>
      <c r="L2357" s="11"/>
      <c r="M2357" s="11"/>
      <c r="N2357" s="11"/>
      <c r="O2357" s="11"/>
      <c r="P2357" s="108" t="s">
        <v>51</v>
      </c>
      <c r="Q2357" s="12"/>
      <c r="R2357" s="109"/>
      <c r="S2357" s="11"/>
      <c r="T2357" s="11"/>
      <c r="U2357" s="11"/>
      <c r="V2357" s="11"/>
      <c r="W2357" s="11"/>
      <c r="X2357" s="11"/>
      <c r="Y2357" s="11"/>
      <c r="Z2357" s="12"/>
      <c r="AA2357" s="139">
        <f>SUM(AA2348:AA2356)</f>
        <v>0</v>
      </c>
      <c r="AB2357" s="140" t="s">
        <v>411</v>
      </c>
      <c r="AG2357" s="1"/>
    </row>
    <row r="2358" ht="21.0" customHeight="1">
      <c r="A2358" s="1"/>
      <c r="B2358" s="1"/>
      <c r="C2358" s="1"/>
      <c r="D2358" s="1"/>
      <c r="E2358" s="1"/>
      <c r="F2358" s="1"/>
      <c r="G2358" s="1"/>
      <c r="H2358" s="1"/>
      <c r="I2358" s="1"/>
      <c r="AA2358" s="1"/>
      <c r="AB2358" s="1"/>
      <c r="AC2358" s="3"/>
      <c r="AD2358" s="1"/>
      <c r="AE2358" s="1"/>
      <c r="AF2358" s="1"/>
      <c r="AG2358" s="1"/>
    </row>
    <row r="2359" ht="21.0" customHeight="1">
      <c r="A2359" s="1"/>
      <c r="B2359" s="4" t="s">
        <v>1</v>
      </c>
      <c r="C2359" s="5"/>
      <c r="D2359" s="6" t="s">
        <v>2</v>
      </c>
      <c r="E2359" s="7"/>
      <c r="F2359" s="7"/>
      <c r="G2359" s="5"/>
      <c r="H2359" s="8" t="s">
        <v>3</v>
      </c>
      <c r="I2359" s="8" t="s">
        <v>4</v>
      </c>
      <c r="J2359" s="9" t="s">
        <v>5</v>
      </c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5"/>
      <c r="AA2359" s="117" t="s">
        <v>6</v>
      </c>
      <c r="AB2359" s="11"/>
      <c r="AC2359" s="11"/>
      <c r="AD2359" s="11"/>
      <c r="AE2359" s="11"/>
      <c r="AF2359" s="12"/>
      <c r="AG2359" s="1"/>
    </row>
    <row r="2360" ht="21.0" customHeight="1">
      <c r="A2360" s="1"/>
      <c r="B2360" s="149" t="s">
        <v>138</v>
      </c>
      <c r="C2360" s="14" t="str">
        <f>if(B2360="0/0","",choose(weekday(B2360),"(일)","(월)","(화)","(수)","(목)","(금)","(토)"))</f>
        <v/>
      </c>
      <c r="D2360" s="15" t="s">
        <v>7</v>
      </c>
      <c r="E2360" s="16" t="s">
        <v>8</v>
      </c>
      <c r="F2360" s="17"/>
      <c r="G2360" s="18" t="s">
        <v>9</v>
      </c>
      <c r="H2360" s="150" t="s">
        <v>139</v>
      </c>
      <c r="I2360" s="151"/>
      <c r="J2360" s="21" t="s">
        <v>12</v>
      </c>
      <c r="K2360" s="22"/>
      <c r="L2360" s="21" t="s">
        <v>13</v>
      </c>
      <c r="M2360" s="22"/>
      <c r="N2360" s="21" t="s">
        <v>14</v>
      </c>
      <c r="O2360" s="22"/>
      <c r="P2360" s="21" t="s">
        <v>15</v>
      </c>
      <c r="Q2360" s="22"/>
      <c r="R2360" s="23" t="s">
        <v>16</v>
      </c>
      <c r="S2360" s="22"/>
      <c r="T2360" s="23" t="s">
        <v>17</v>
      </c>
      <c r="U2360" s="22"/>
      <c r="V2360" s="23" t="s">
        <v>18</v>
      </c>
      <c r="W2360" s="22"/>
      <c r="X2360" s="23" t="s">
        <v>19</v>
      </c>
      <c r="Y2360" s="22"/>
      <c r="Z2360" s="24" t="s">
        <v>412</v>
      </c>
      <c r="AA2360" s="118" t="s">
        <v>21</v>
      </c>
      <c r="AB2360" s="119" t="s">
        <v>22</v>
      </c>
      <c r="AC2360" s="7"/>
      <c r="AD2360" s="22"/>
      <c r="AE2360" s="120" t="s">
        <v>23</v>
      </c>
      <c r="AF2360" s="22"/>
      <c r="AG2360" s="1"/>
    </row>
    <row r="2361" ht="21.0" customHeight="1">
      <c r="A2361" s="1"/>
      <c r="B2361" s="27">
        <f>iferror(B2360-'현황'!$C$4+1,0)</f>
        <v>0</v>
      </c>
      <c r="C2361" s="28"/>
      <c r="D2361" s="29">
        <v>0.0</v>
      </c>
      <c r="E2361" s="30">
        <v>0.0</v>
      </c>
      <c r="F2361" s="31"/>
      <c r="G2361" s="32">
        <v>0.0</v>
      </c>
      <c r="H2361" s="33">
        <v>0.0</v>
      </c>
      <c r="I2361" s="34"/>
      <c r="J2361" s="35"/>
      <c r="K2361" s="36"/>
      <c r="L2361" s="35"/>
      <c r="M2361" s="36"/>
      <c r="N2361" s="35"/>
      <c r="O2361" s="36"/>
      <c r="P2361" s="35"/>
      <c r="Q2361" s="36"/>
      <c r="R2361" s="35"/>
      <c r="S2361" s="36"/>
      <c r="T2361" s="35"/>
      <c r="U2361" s="36"/>
      <c r="V2361" s="35"/>
      <c r="W2361" s="36"/>
      <c r="X2361" s="35"/>
      <c r="Y2361" s="36"/>
      <c r="Z2361" s="37"/>
      <c r="AA2361" s="37"/>
      <c r="AB2361" s="35"/>
      <c r="AC2361" s="38"/>
      <c r="AD2361" s="36"/>
      <c r="AE2361" s="35"/>
      <c r="AF2361" s="36"/>
      <c r="AG2361" s="1"/>
    </row>
    <row r="2362" ht="21.0" customHeight="1">
      <c r="A2362" s="1"/>
      <c r="B2362" s="39" t="s">
        <v>24</v>
      </c>
      <c r="C2362" s="40"/>
      <c r="D2362" s="41"/>
      <c r="E2362" s="42" t="s">
        <v>25</v>
      </c>
      <c r="F2362" s="40"/>
      <c r="G2362" s="41"/>
      <c r="H2362" s="43" t="s">
        <v>26</v>
      </c>
      <c r="J2362" s="44" t="s">
        <v>27</v>
      </c>
      <c r="K2362" s="45" t="s">
        <v>28</v>
      </c>
      <c r="L2362" s="44" t="s">
        <v>27</v>
      </c>
      <c r="M2362" s="45" t="s">
        <v>28</v>
      </c>
      <c r="N2362" s="44" t="s">
        <v>27</v>
      </c>
      <c r="O2362" s="45" t="s">
        <v>28</v>
      </c>
      <c r="P2362" s="44" t="s">
        <v>27</v>
      </c>
      <c r="Q2362" s="45" t="s">
        <v>28</v>
      </c>
      <c r="R2362" s="44" t="s">
        <v>27</v>
      </c>
      <c r="S2362" s="45" t="s">
        <v>28</v>
      </c>
      <c r="T2362" s="44" t="s">
        <v>27</v>
      </c>
      <c r="U2362" s="45" t="s">
        <v>28</v>
      </c>
      <c r="V2362" s="44" t="s">
        <v>27</v>
      </c>
      <c r="W2362" s="45" t="s">
        <v>28</v>
      </c>
      <c r="X2362" s="44" t="s">
        <v>27</v>
      </c>
      <c r="Y2362" s="45" t="s">
        <v>28</v>
      </c>
      <c r="Z2362" s="46"/>
      <c r="AA2362" s="46"/>
      <c r="AB2362" s="121" t="s">
        <v>29</v>
      </c>
      <c r="AC2362" s="122" t="s">
        <v>30</v>
      </c>
      <c r="AD2362" s="123" t="s">
        <v>31</v>
      </c>
      <c r="AE2362" s="121" t="s">
        <v>27</v>
      </c>
      <c r="AF2362" s="123" t="s">
        <v>28</v>
      </c>
      <c r="AG2362" s="1"/>
    </row>
    <row r="2363" ht="21.0" customHeight="1">
      <c r="A2363" s="1"/>
      <c r="B2363" s="48" t="s">
        <v>32</v>
      </c>
      <c r="C2363" s="49"/>
      <c r="D2363" s="50"/>
      <c r="E2363" s="51" t="s">
        <v>33</v>
      </c>
      <c r="F2363" s="52" t="s">
        <v>34</v>
      </c>
      <c r="G2363" s="53"/>
      <c r="H2363" s="148"/>
      <c r="I2363" s="55"/>
      <c r="J2363" s="58"/>
      <c r="K2363" s="59"/>
      <c r="L2363" s="58"/>
      <c r="M2363" s="59"/>
      <c r="N2363" s="58"/>
      <c r="O2363" s="59"/>
      <c r="P2363" s="58"/>
      <c r="Q2363" s="59"/>
      <c r="R2363" s="58"/>
      <c r="S2363" s="59"/>
      <c r="T2363" s="58"/>
      <c r="U2363" s="59"/>
      <c r="V2363" s="58"/>
      <c r="W2363" s="59"/>
      <c r="X2363" s="58"/>
      <c r="Y2363" s="59"/>
      <c r="Z2363" s="60" t="b">
        <v>0</v>
      </c>
      <c r="AA2363" s="125">
        <f t="shared" ref="AA2363:AA2371" si="943">(J2363*K2363+L2363*M2363+N2363*O2363+P2363*Q2363+R2363*S2363+T2363*U2363+V2363*W2363+X2363*Y2363)*if(Z2363=true,0.453592,1)</f>
        <v>0</v>
      </c>
      <c r="AB2363" s="126">
        <f t="shared" ref="AB2363:AB2371" si="944">SUM(AE2363*AF2363*0.025,AE2363)</f>
        <v>0</v>
      </c>
      <c r="AC2363" s="127">
        <f t="shared" ref="AC2363:AC2371" si="945">AB2363*87%</f>
        <v>0</v>
      </c>
      <c r="AD2363" s="128">
        <f t="shared" ref="AD2363:AD2371" si="946">AB2363*67%</f>
        <v>0</v>
      </c>
      <c r="AE2363" s="126">
        <f t="shared" ref="AE2363:AE2371" si="947">MAX(J2363,L2363,N2363,P2363,R2363,T2363,V2363,X2363)*if(Z2363=true,0.453592,1)</f>
        <v>0</v>
      </c>
      <c r="AF2363" s="128">
        <f t="shared" ref="AF2363:AF2371" si="948">MAX(IF(J2363*if(Z2363=true,0.453592,1)=$AE2363,K2363,0),IF(L2363*if(Z2363=true,0.453592,1)=$AE2363,M2363,0),IF(N2363*if(Z2363=true,0.453592,1)=$AE2363,O2363,0),IF(P2363*if(Z2363=true,0.453592,1)=$AE2363,Q2363,0),IF(R2363*if(Z2363=true,0.453592,1)=$AE2363,S2363,0),IF(T2363*if(Z2363=true,0.453592,1)=$AE2363,U2363,0),IF(V2363*if(Z2363=true,0.453592,1)=$AE2363,W2363,0),IF(X2363*if(Z2363=true,0.453592,1)=$AE2363,Y2363,0))</f>
        <v>0</v>
      </c>
      <c r="AG2363" s="1"/>
    </row>
    <row r="2364" ht="21.0" customHeight="1">
      <c r="A2364" s="1"/>
      <c r="B2364" s="48" t="s">
        <v>36</v>
      </c>
      <c r="C2364" s="49"/>
      <c r="D2364" s="65"/>
      <c r="E2364" s="66"/>
      <c r="F2364" s="52" t="s">
        <v>37</v>
      </c>
      <c r="G2364" s="67"/>
      <c r="H2364" s="129"/>
      <c r="I2364" s="69"/>
      <c r="J2364" s="72"/>
      <c r="K2364" s="73"/>
      <c r="L2364" s="72"/>
      <c r="M2364" s="73"/>
      <c r="N2364" s="72"/>
      <c r="O2364" s="73"/>
      <c r="P2364" s="72"/>
      <c r="Q2364" s="73"/>
      <c r="R2364" s="72"/>
      <c r="S2364" s="73"/>
      <c r="T2364" s="72"/>
      <c r="U2364" s="73"/>
      <c r="V2364" s="72"/>
      <c r="W2364" s="73"/>
      <c r="X2364" s="72"/>
      <c r="Y2364" s="73"/>
      <c r="Z2364" s="74" t="b">
        <v>0</v>
      </c>
      <c r="AA2364" s="130">
        <f t="shared" si="943"/>
        <v>0</v>
      </c>
      <c r="AB2364" s="131">
        <f t="shared" si="944"/>
        <v>0</v>
      </c>
      <c r="AC2364" s="132">
        <f t="shared" si="945"/>
        <v>0</v>
      </c>
      <c r="AD2364" s="133">
        <f t="shared" si="946"/>
        <v>0</v>
      </c>
      <c r="AE2364" s="131">
        <f t="shared" si="947"/>
        <v>0</v>
      </c>
      <c r="AF2364" s="133">
        <f t="shared" si="948"/>
        <v>0</v>
      </c>
      <c r="AG2364" s="1"/>
    </row>
    <row r="2365" ht="21.0" customHeight="1">
      <c r="A2365" s="1"/>
      <c r="B2365" s="48" t="s">
        <v>39</v>
      </c>
      <c r="C2365" s="49"/>
      <c r="D2365" s="65"/>
      <c r="E2365" s="41"/>
      <c r="F2365" s="52" t="s">
        <v>40</v>
      </c>
      <c r="G2365" s="79"/>
      <c r="H2365" s="80"/>
      <c r="I2365" s="69"/>
      <c r="J2365" s="72"/>
      <c r="K2365" s="73"/>
      <c r="L2365" s="72"/>
      <c r="M2365" s="73"/>
      <c r="N2365" s="72"/>
      <c r="O2365" s="73"/>
      <c r="P2365" s="72"/>
      <c r="Q2365" s="73"/>
      <c r="R2365" s="72"/>
      <c r="S2365" s="73"/>
      <c r="T2365" s="72"/>
      <c r="U2365" s="73"/>
      <c r="V2365" s="72"/>
      <c r="W2365" s="73"/>
      <c r="X2365" s="72"/>
      <c r="Y2365" s="73"/>
      <c r="Z2365" s="74" t="b">
        <v>0</v>
      </c>
      <c r="AA2365" s="130">
        <f t="shared" si="943"/>
        <v>0</v>
      </c>
      <c r="AB2365" s="131">
        <f t="shared" si="944"/>
        <v>0</v>
      </c>
      <c r="AC2365" s="132">
        <f t="shared" si="945"/>
        <v>0</v>
      </c>
      <c r="AD2365" s="133">
        <f t="shared" si="946"/>
        <v>0</v>
      </c>
      <c r="AE2365" s="131">
        <f t="shared" si="947"/>
        <v>0</v>
      </c>
      <c r="AF2365" s="133">
        <f t="shared" si="948"/>
        <v>0</v>
      </c>
      <c r="AG2365" s="1"/>
    </row>
    <row r="2366" ht="21.0" customHeight="1">
      <c r="A2366" s="1"/>
      <c r="B2366" s="48" t="s">
        <v>41</v>
      </c>
      <c r="C2366" s="81"/>
      <c r="D2366" s="82" t="b">
        <v>0</v>
      </c>
      <c r="E2366" s="51" t="s">
        <v>42</v>
      </c>
      <c r="F2366" s="52" t="s">
        <v>34</v>
      </c>
      <c r="G2366" s="83"/>
      <c r="H2366" s="84"/>
      <c r="I2366" s="85"/>
      <c r="J2366" s="72"/>
      <c r="K2366" s="73"/>
      <c r="L2366" s="72"/>
      <c r="M2366" s="73"/>
      <c r="N2366" s="72"/>
      <c r="O2366" s="73"/>
      <c r="P2366" s="72"/>
      <c r="Q2366" s="73"/>
      <c r="R2366" s="72"/>
      <c r="S2366" s="73"/>
      <c r="T2366" s="72"/>
      <c r="U2366" s="73"/>
      <c r="V2366" s="72"/>
      <c r="W2366" s="73"/>
      <c r="X2366" s="72"/>
      <c r="Y2366" s="73"/>
      <c r="Z2366" s="74" t="b">
        <v>0</v>
      </c>
      <c r="AA2366" s="130">
        <f t="shared" si="943"/>
        <v>0</v>
      </c>
      <c r="AB2366" s="131">
        <f t="shared" si="944"/>
        <v>0</v>
      </c>
      <c r="AC2366" s="132">
        <f t="shared" si="945"/>
        <v>0</v>
      </c>
      <c r="AD2366" s="133">
        <f t="shared" si="946"/>
        <v>0</v>
      </c>
      <c r="AE2366" s="131">
        <f t="shared" si="947"/>
        <v>0</v>
      </c>
      <c r="AF2366" s="133">
        <f t="shared" si="948"/>
        <v>0</v>
      </c>
      <c r="AG2366" s="1"/>
    </row>
    <row r="2367" ht="21.0" customHeight="1">
      <c r="A2367" s="1"/>
      <c r="B2367" s="48" t="s">
        <v>43</v>
      </c>
      <c r="C2367" s="49"/>
      <c r="D2367" s="86" t="b">
        <v>0</v>
      </c>
      <c r="E2367" s="66"/>
      <c r="F2367" s="52" t="s">
        <v>37</v>
      </c>
      <c r="G2367" s="67"/>
      <c r="H2367" s="80"/>
      <c r="I2367" s="69"/>
      <c r="J2367" s="72"/>
      <c r="K2367" s="73"/>
      <c r="L2367" s="72"/>
      <c r="M2367" s="73"/>
      <c r="N2367" s="72"/>
      <c r="O2367" s="73"/>
      <c r="P2367" s="72"/>
      <c r="Q2367" s="73"/>
      <c r="R2367" s="72"/>
      <c r="S2367" s="73"/>
      <c r="T2367" s="72"/>
      <c r="U2367" s="73"/>
      <c r="V2367" s="72"/>
      <c r="W2367" s="73"/>
      <c r="X2367" s="72"/>
      <c r="Y2367" s="73"/>
      <c r="Z2367" s="74" t="b">
        <v>0</v>
      </c>
      <c r="AA2367" s="130">
        <f t="shared" si="943"/>
        <v>0</v>
      </c>
      <c r="AB2367" s="131">
        <f t="shared" si="944"/>
        <v>0</v>
      </c>
      <c r="AC2367" s="132">
        <f t="shared" si="945"/>
        <v>0</v>
      </c>
      <c r="AD2367" s="133">
        <f t="shared" si="946"/>
        <v>0</v>
      </c>
      <c r="AE2367" s="131">
        <f t="shared" si="947"/>
        <v>0</v>
      </c>
      <c r="AF2367" s="133">
        <f t="shared" si="948"/>
        <v>0</v>
      </c>
      <c r="AG2367" s="1"/>
    </row>
    <row r="2368" ht="21.0" customHeight="1">
      <c r="A2368" s="1"/>
      <c r="B2368" s="87" t="str">
        <f t="array" ref="B2368">"📌최근 인바디 결과 : "&amp;text(xlookup(B2360,'현황'!O:O,'현황'!O:O,,-1,-1),"m/d(ddd)")</f>
        <v>#REF!</v>
      </c>
      <c r="C2368" s="88"/>
      <c r="D2368" s="49"/>
      <c r="E2368" s="41"/>
      <c r="F2368" s="52" t="s">
        <v>40</v>
      </c>
      <c r="G2368" s="79"/>
      <c r="H2368" s="80"/>
      <c r="I2368" s="69"/>
      <c r="J2368" s="72"/>
      <c r="K2368" s="73"/>
      <c r="L2368" s="72"/>
      <c r="M2368" s="73"/>
      <c r="N2368" s="72"/>
      <c r="O2368" s="73"/>
      <c r="P2368" s="72"/>
      <c r="Q2368" s="73"/>
      <c r="R2368" s="72"/>
      <c r="S2368" s="73"/>
      <c r="T2368" s="72"/>
      <c r="U2368" s="73"/>
      <c r="V2368" s="72"/>
      <c r="W2368" s="73"/>
      <c r="X2368" s="72"/>
      <c r="Y2368" s="73"/>
      <c r="Z2368" s="74" t="b">
        <v>0</v>
      </c>
      <c r="AA2368" s="130">
        <f t="shared" si="943"/>
        <v>0</v>
      </c>
      <c r="AB2368" s="131">
        <f t="shared" si="944"/>
        <v>0</v>
      </c>
      <c r="AC2368" s="132">
        <f t="shared" si="945"/>
        <v>0</v>
      </c>
      <c r="AD2368" s="133">
        <f t="shared" si="946"/>
        <v>0</v>
      </c>
      <c r="AE2368" s="131">
        <f t="shared" si="947"/>
        <v>0</v>
      </c>
      <c r="AF2368" s="133">
        <f t="shared" si="948"/>
        <v>0</v>
      </c>
      <c r="AG2368" s="1"/>
    </row>
    <row r="2369" ht="21.0" customHeight="1">
      <c r="A2369" s="1"/>
      <c r="B2369" s="89" t="s">
        <v>44</v>
      </c>
      <c r="C2369" s="49"/>
      <c r="D2369" s="90">
        <f t="array" ref="D2369">iferror(vlookup(xlookup(B2360,'현황'!O:O,'현황'!O:O,,-1,-1),'현황'!O:S,2,false),0)</f>
        <v>0</v>
      </c>
      <c r="E2369" s="51" t="s">
        <v>45</v>
      </c>
      <c r="F2369" s="52" t="s">
        <v>34</v>
      </c>
      <c r="G2369" s="83"/>
      <c r="H2369" s="84"/>
      <c r="I2369" s="85"/>
      <c r="J2369" s="72"/>
      <c r="K2369" s="73"/>
      <c r="L2369" s="72"/>
      <c r="M2369" s="73"/>
      <c r="N2369" s="72"/>
      <c r="O2369" s="73"/>
      <c r="P2369" s="72"/>
      <c r="Q2369" s="73"/>
      <c r="R2369" s="72"/>
      <c r="S2369" s="73"/>
      <c r="T2369" s="72"/>
      <c r="U2369" s="73"/>
      <c r="V2369" s="72"/>
      <c r="W2369" s="73"/>
      <c r="X2369" s="72"/>
      <c r="Y2369" s="73"/>
      <c r="Z2369" s="74" t="b">
        <v>0</v>
      </c>
      <c r="AA2369" s="130">
        <f t="shared" si="943"/>
        <v>0</v>
      </c>
      <c r="AB2369" s="131">
        <f t="shared" si="944"/>
        <v>0</v>
      </c>
      <c r="AC2369" s="132">
        <f t="shared" si="945"/>
        <v>0</v>
      </c>
      <c r="AD2369" s="133">
        <f t="shared" si="946"/>
        <v>0</v>
      </c>
      <c r="AE2369" s="131">
        <f t="shared" si="947"/>
        <v>0</v>
      </c>
      <c r="AF2369" s="133">
        <f t="shared" si="948"/>
        <v>0</v>
      </c>
      <c r="AG2369" s="1"/>
    </row>
    <row r="2370" ht="21.0" customHeight="1">
      <c r="A2370" s="1"/>
      <c r="B2370" s="48" t="s">
        <v>46</v>
      </c>
      <c r="C2370" s="49"/>
      <c r="D2370" s="91">
        <f t="array" ref="D2370">iferror(vlookup(xlookup(B2360,'현황'!O:O,'현황'!O:O,,-1,-1),'현황'!O:S,3,false),0)</f>
        <v>0</v>
      </c>
      <c r="E2370" s="66"/>
      <c r="F2370" s="52" t="s">
        <v>37</v>
      </c>
      <c r="G2370" s="67"/>
      <c r="H2370" s="80"/>
      <c r="I2370" s="69"/>
      <c r="J2370" s="72"/>
      <c r="K2370" s="73"/>
      <c r="L2370" s="72"/>
      <c r="M2370" s="73"/>
      <c r="N2370" s="72"/>
      <c r="O2370" s="73"/>
      <c r="P2370" s="72"/>
      <c r="Q2370" s="73"/>
      <c r="R2370" s="72"/>
      <c r="S2370" s="73"/>
      <c r="T2370" s="72"/>
      <c r="U2370" s="73"/>
      <c r="V2370" s="72"/>
      <c r="W2370" s="73"/>
      <c r="X2370" s="72"/>
      <c r="Y2370" s="73"/>
      <c r="Z2370" s="74" t="b">
        <v>0</v>
      </c>
      <c r="AA2370" s="130">
        <f t="shared" si="943"/>
        <v>0</v>
      </c>
      <c r="AB2370" s="131">
        <f t="shared" si="944"/>
        <v>0</v>
      </c>
      <c r="AC2370" s="132">
        <f t="shared" si="945"/>
        <v>0</v>
      </c>
      <c r="AD2370" s="133">
        <f t="shared" si="946"/>
        <v>0</v>
      </c>
      <c r="AE2370" s="131">
        <f t="shared" si="947"/>
        <v>0</v>
      </c>
      <c r="AF2370" s="133">
        <f t="shared" si="948"/>
        <v>0</v>
      </c>
      <c r="AG2370" s="1"/>
    </row>
    <row r="2371" ht="21.0" customHeight="1">
      <c r="A2371" s="1"/>
      <c r="B2371" s="48" t="s">
        <v>47</v>
      </c>
      <c r="C2371" s="49"/>
      <c r="D2371" s="91">
        <f t="array" ref="D2371">iferror(vlookup(xlookup(B2360,'현황'!O:O,'현황'!O:O,,-1,-1),'현황'!O:S,4,false),0)</f>
        <v>0</v>
      </c>
      <c r="E2371" s="41"/>
      <c r="F2371" s="92" t="s">
        <v>40</v>
      </c>
      <c r="G2371" s="79"/>
      <c r="H2371" s="93"/>
      <c r="I2371" s="94"/>
      <c r="J2371" s="95"/>
      <c r="K2371" s="96"/>
      <c r="L2371" s="95"/>
      <c r="M2371" s="96"/>
      <c r="N2371" s="95"/>
      <c r="O2371" s="96"/>
      <c r="P2371" s="95"/>
      <c r="Q2371" s="96"/>
      <c r="R2371" s="95"/>
      <c r="S2371" s="96"/>
      <c r="T2371" s="95"/>
      <c r="U2371" s="96"/>
      <c r="V2371" s="95"/>
      <c r="W2371" s="96"/>
      <c r="X2371" s="95"/>
      <c r="Y2371" s="96"/>
      <c r="Z2371" s="97" t="b">
        <v>0</v>
      </c>
      <c r="AA2371" s="135">
        <f t="shared" si="943"/>
        <v>0</v>
      </c>
      <c r="AB2371" s="136">
        <f t="shared" si="944"/>
        <v>0</v>
      </c>
      <c r="AC2371" s="137">
        <f t="shared" si="945"/>
        <v>0</v>
      </c>
      <c r="AD2371" s="138">
        <f t="shared" si="946"/>
        <v>0</v>
      </c>
      <c r="AE2371" s="136">
        <f t="shared" si="947"/>
        <v>0</v>
      </c>
      <c r="AF2371" s="138">
        <f t="shared" si="948"/>
        <v>0</v>
      </c>
      <c r="AG2371" s="1"/>
    </row>
    <row r="2372" ht="21.0" customHeight="1">
      <c r="A2372" s="1"/>
      <c r="B2372" s="102" t="s">
        <v>48</v>
      </c>
      <c r="C2372" s="103"/>
      <c r="D2372" s="104">
        <f>iferror(D2371/D2369,0)</f>
        <v>0</v>
      </c>
      <c r="E2372" s="102" t="s">
        <v>49</v>
      </c>
      <c r="F2372" s="103"/>
      <c r="G2372" s="105"/>
      <c r="H2372" s="106" t="s">
        <v>50</v>
      </c>
      <c r="I2372" s="107"/>
      <c r="J2372" s="11"/>
      <c r="K2372" s="11"/>
      <c r="L2372" s="11"/>
      <c r="M2372" s="11"/>
      <c r="N2372" s="11"/>
      <c r="O2372" s="11"/>
      <c r="P2372" s="108" t="s">
        <v>51</v>
      </c>
      <c r="Q2372" s="12"/>
      <c r="R2372" s="109"/>
      <c r="S2372" s="11"/>
      <c r="T2372" s="11"/>
      <c r="U2372" s="11"/>
      <c r="V2372" s="11"/>
      <c r="W2372" s="11"/>
      <c r="X2372" s="11"/>
      <c r="Y2372" s="11"/>
      <c r="Z2372" s="12"/>
      <c r="AA2372" s="139">
        <f>SUM(AA2363:AA2371)</f>
        <v>0</v>
      </c>
      <c r="AB2372" s="140" t="s">
        <v>413</v>
      </c>
      <c r="AG2372" s="1"/>
    </row>
    <row r="2373" ht="21.0" customHeight="1">
      <c r="A2373" s="1"/>
      <c r="B2373" s="1"/>
      <c r="C2373" s="1"/>
      <c r="D2373" s="1"/>
      <c r="E2373" s="1"/>
      <c r="F2373" s="1"/>
      <c r="G2373" s="1"/>
      <c r="H2373" s="1"/>
      <c r="I2373" s="1"/>
      <c r="AA2373" s="1"/>
      <c r="AB2373" s="1"/>
      <c r="AC2373" s="3"/>
      <c r="AD2373" s="1"/>
      <c r="AE2373" s="1"/>
      <c r="AF2373" s="1"/>
      <c r="AG2373" s="1"/>
    </row>
    <row r="2374" ht="21.0" customHeight="1">
      <c r="A2374" s="1"/>
      <c r="B2374" s="4" t="s">
        <v>1</v>
      </c>
      <c r="C2374" s="5"/>
      <c r="D2374" s="6" t="s">
        <v>2</v>
      </c>
      <c r="E2374" s="7"/>
      <c r="F2374" s="7"/>
      <c r="G2374" s="5"/>
      <c r="H2374" s="8" t="s">
        <v>3</v>
      </c>
      <c r="I2374" s="8" t="s">
        <v>4</v>
      </c>
      <c r="J2374" s="9" t="s">
        <v>5</v>
      </c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5"/>
      <c r="AA2374" s="117" t="s">
        <v>6</v>
      </c>
      <c r="AB2374" s="11"/>
      <c r="AC2374" s="11"/>
      <c r="AD2374" s="11"/>
      <c r="AE2374" s="11"/>
      <c r="AF2374" s="12"/>
      <c r="AG2374" s="1"/>
    </row>
    <row r="2375" ht="21.0" customHeight="1">
      <c r="A2375" s="1"/>
      <c r="B2375" s="149" t="s">
        <v>138</v>
      </c>
      <c r="C2375" s="14" t="str">
        <f>if(B2375="0/0","",choose(weekday(B2375),"(일)","(월)","(화)","(수)","(목)","(금)","(토)"))</f>
        <v/>
      </c>
      <c r="D2375" s="15" t="s">
        <v>7</v>
      </c>
      <c r="E2375" s="16" t="s">
        <v>8</v>
      </c>
      <c r="F2375" s="17"/>
      <c r="G2375" s="18" t="s">
        <v>9</v>
      </c>
      <c r="H2375" s="150" t="s">
        <v>139</v>
      </c>
      <c r="I2375" s="151"/>
      <c r="J2375" s="21" t="s">
        <v>12</v>
      </c>
      <c r="K2375" s="22"/>
      <c r="L2375" s="21" t="s">
        <v>13</v>
      </c>
      <c r="M2375" s="22"/>
      <c r="N2375" s="21" t="s">
        <v>14</v>
      </c>
      <c r="O2375" s="22"/>
      <c r="P2375" s="21" t="s">
        <v>15</v>
      </c>
      <c r="Q2375" s="22"/>
      <c r="R2375" s="23" t="s">
        <v>16</v>
      </c>
      <c r="S2375" s="22"/>
      <c r="T2375" s="23" t="s">
        <v>17</v>
      </c>
      <c r="U2375" s="22"/>
      <c r="V2375" s="23" t="s">
        <v>18</v>
      </c>
      <c r="W2375" s="22"/>
      <c r="X2375" s="23" t="s">
        <v>19</v>
      </c>
      <c r="Y2375" s="22"/>
      <c r="Z2375" s="24" t="s">
        <v>414</v>
      </c>
      <c r="AA2375" s="118" t="s">
        <v>21</v>
      </c>
      <c r="AB2375" s="119" t="s">
        <v>22</v>
      </c>
      <c r="AC2375" s="7"/>
      <c r="AD2375" s="22"/>
      <c r="AE2375" s="120" t="s">
        <v>23</v>
      </c>
      <c r="AF2375" s="22"/>
      <c r="AG2375" s="1"/>
    </row>
    <row r="2376" ht="21.0" customHeight="1">
      <c r="A2376" s="1"/>
      <c r="B2376" s="27">
        <f>iferror(B2375-'현황'!$C$4+1,0)</f>
        <v>0</v>
      </c>
      <c r="C2376" s="28"/>
      <c r="D2376" s="29">
        <v>0.0</v>
      </c>
      <c r="E2376" s="30">
        <v>0.0</v>
      </c>
      <c r="F2376" s="31"/>
      <c r="G2376" s="32">
        <v>0.0</v>
      </c>
      <c r="H2376" s="33">
        <v>0.0</v>
      </c>
      <c r="I2376" s="34"/>
      <c r="J2376" s="35"/>
      <c r="K2376" s="36"/>
      <c r="L2376" s="35"/>
      <c r="M2376" s="36"/>
      <c r="N2376" s="35"/>
      <c r="O2376" s="36"/>
      <c r="P2376" s="35"/>
      <c r="Q2376" s="36"/>
      <c r="R2376" s="35"/>
      <c r="S2376" s="36"/>
      <c r="T2376" s="35"/>
      <c r="U2376" s="36"/>
      <c r="V2376" s="35"/>
      <c r="W2376" s="36"/>
      <c r="X2376" s="35"/>
      <c r="Y2376" s="36"/>
      <c r="Z2376" s="37"/>
      <c r="AA2376" s="37"/>
      <c r="AB2376" s="35"/>
      <c r="AC2376" s="38"/>
      <c r="AD2376" s="36"/>
      <c r="AE2376" s="35"/>
      <c r="AF2376" s="36"/>
      <c r="AG2376" s="1"/>
    </row>
    <row r="2377" ht="21.0" customHeight="1">
      <c r="A2377" s="1"/>
      <c r="B2377" s="39" t="s">
        <v>24</v>
      </c>
      <c r="C2377" s="40"/>
      <c r="D2377" s="41"/>
      <c r="E2377" s="42" t="s">
        <v>25</v>
      </c>
      <c r="F2377" s="40"/>
      <c r="G2377" s="41"/>
      <c r="H2377" s="43" t="s">
        <v>26</v>
      </c>
      <c r="J2377" s="44" t="s">
        <v>27</v>
      </c>
      <c r="K2377" s="45" t="s">
        <v>28</v>
      </c>
      <c r="L2377" s="44" t="s">
        <v>27</v>
      </c>
      <c r="M2377" s="45" t="s">
        <v>28</v>
      </c>
      <c r="N2377" s="44" t="s">
        <v>27</v>
      </c>
      <c r="O2377" s="45" t="s">
        <v>28</v>
      </c>
      <c r="P2377" s="44" t="s">
        <v>27</v>
      </c>
      <c r="Q2377" s="45" t="s">
        <v>28</v>
      </c>
      <c r="R2377" s="44" t="s">
        <v>27</v>
      </c>
      <c r="S2377" s="45" t="s">
        <v>28</v>
      </c>
      <c r="T2377" s="44" t="s">
        <v>27</v>
      </c>
      <c r="U2377" s="45" t="s">
        <v>28</v>
      </c>
      <c r="V2377" s="44" t="s">
        <v>27</v>
      </c>
      <c r="W2377" s="45" t="s">
        <v>28</v>
      </c>
      <c r="X2377" s="44" t="s">
        <v>27</v>
      </c>
      <c r="Y2377" s="45" t="s">
        <v>28</v>
      </c>
      <c r="Z2377" s="46"/>
      <c r="AA2377" s="46"/>
      <c r="AB2377" s="121" t="s">
        <v>29</v>
      </c>
      <c r="AC2377" s="122" t="s">
        <v>30</v>
      </c>
      <c r="AD2377" s="123" t="s">
        <v>31</v>
      </c>
      <c r="AE2377" s="121" t="s">
        <v>27</v>
      </c>
      <c r="AF2377" s="123" t="s">
        <v>28</v>
      </c>
      <c r="AG2377" s="1"/>
    </row>
    <row r="2378" ht="21.0" customHeight="1">
      <c r="A2378" s="1"/>
      <c r="B2378" s="48" t="s">
        <v>32</v>
      </c>
      <c r="C2378" s="49"/>
      <c r="D2378" s="50"/>
      <c r="E2378" s="51" t="s">
        <v>33</v>
      </c>
      <c r="F2378" s="52" t="s">
        <v>34</v>
      </c>
      <c r="G2378" s="53"/>
      <c r="H2378" s="148"/>
      <c r="I2378" s="55"/>
      <c r="J2378" s="58"/>
      <c r="K2378" s="59"/>
      <c r="L2378" s="58"/>
      <c r="M2378" s="59"/>
      <c r="N2378" s="58"/>
      <c r="O2378" s="59"/>
      <c r="P2378" s="58"/>
      <c r="Q2378" s="59"/>
      <c r="R2378" s="58"/>
      <c r="S2378" s="59"/>
      <c r="T2378" s="58"/>
      <c r="U2378" s="59"/>
      <c r="V2378" s="58"/>
      <c r="W2378" s="59"/>
      <c r="X2378" s="58"/>
      <c r="Y2378" s="59"/>
      <c r="Z2378" s="60" t="b">
        <v>0</v>
      </c>
      <c r="AA2378" s="125">
        <f t="shared" ref="AA2378:AA2386" si="949">(J2378*K2378+L2378*M2378+N2378*O2378+P2378*Q2378+R2378*S2378+T2378*U2378+V2378*W2378+X2378*Y2378)*if(Z2378=true,0.453592,1)</f>
        <v>0</v>
      </c>
      <c r="AB2378" s="126">
        <f t="shared" ref="AB2378:AB2386" si="950">SUM(AE2378*AF2378*0.025,AE2378)</f>
        <v>0</v>
      </c>
      <c r="AC2378" s="127">
        <f t="shared" ref="AC2378:AC2386" si="951">AB2378*87%</f>
        <v>0</v>
      </c>
      <c r="AD2378" s="128">
        <f t="shared" ref="AD2378:AD2386" si="952">AB2378*67%</f>
        <v>0</v>
      </c>
      <c r="AE2378" s="126">
        <f t="shared" ref="AE2378:AE2386" si="953">MAX(J2378,L2378,N2378,P2378,R2378,T2378,V2378,X2378)*if(Z2378=true,0.453592,1)</f>
        <v>0</v>
      </c>
      <c r="AF2378" s="128">
        <f t="shared" ref="AF2378:AF2386" si="954">MAX(IF(J2378*if(Z2378=true,0.453592,1)=$AE2378,K2378,0),IF(L2378*if(Z2378=true,0.453592,1)=$AE2378,M2378,0),IF(N2378*if(Z2378=true,0.453592,1)=$AE2378,O2378,0),IF(P2378*if(Z2378=true,0.453592,1)=$AE2378,Q2378,0),IF(R2378*if(Z2378=true,0.453592,1)=$AE2378,S2378,0),IF(T2378*if(Z2378=true,0.453592,1)=$AE2378,U2378,0),IF(V2378*if(Z2378=true,0.453592,1)=$AE2378,W2378,0),IF(X2378*if(Z2378=true,0.453592,1)=$AE2378,Y2378,0))</f>
        <v>0</v>
      </c>
      <c r="AG2378" s="1"/>
    </row>
    <row r="2379" ht="21.0" customHeight="1">
      <c r="A2379" s="1"/>
      <c r="B2379" s="48" t="s">
        <v>36</v>
      </c>
      <c r="C2379" s="49"/>
      <c r="D2379" s="65"/>
      <c r="E2379" s="66"/>
      <c r="F2379" s="52" t="s">
        <v>37</v>
      </c>
      <c r="G2379" s="67"/>
      <c r="H2379" s="129"/>
      <c r="I2379" s="69"/>
      <c r="J2379" s="72"/>
      <c r="K2379" s="73"/>
      <c r="L2379" s="72"/>
      <c r="M2379" s="73"/>
      <c r="N2379" s="72"/>
      <c r="O2379" s="73"/>
      <c r="P2379" s="72"/>
      <c r="Q2379" s="73"/>
      <c r="R2379" s="72"/>
      <c r="S2379" s="73"/>
      <c r="T2379" s="72"/>
      <c r="U2379" s="73"/>
      <c r="V2379" s="72"/>
      <c r="W2379" s="73"/>
      <c r="X2379" s="72"/>
      <c r="Y2379" s="73"/>
      <c r="Z2379" s="74" t="b">
        <v>0</v>
      </c>
      <c r="AA2379" s="130">
        <f t="shared" si="949"/>
        <v>0</v>
      </c>
      <c r="AB2379" s="131">
        <f t="shared" si="950"/>
        <v>0</v>
      </c>
      <c r="AC2379" s="132">
        <f t="shared" si="951"/>
        <v>0</v>
      </c>
      <c r="AD2379" s="133">
        <f t="shared" si="952"/>
        <v>0</v>
      </c>
      <c r="AE2379" s="131">
        <f t="shared" si="953"/>
        <v>0</v>
      </c>
      <c r="AF2379" s="133">
        <f t="shared" si="954"/>
        <v>0</v>
      </c>
      <c r="AG2379" s="1"/>
    </row>
    <row r="2380" ht="21.0" customHeight="1">
      <c r="A2380" s="1"/>
      <c r="B2380" s="48" t="s">
        <v>39</v>
      </c>
      <c r="C2380" s="49"/>
      <c r="D2380" s="65"/>
      <c r="E2380" s="41"/>
      <c r="F2380" s="52" t="s">
        <v>40</v>
      </c>
      <c r="G2380" s="79"/>
      <c r="H2380" s="80"/>
      <c r="I2380" s="69"/>
      <c r="J2380" s="72"/>
      <c r="K2380" s="73"/>
      <c r="L2380" s="72"/>
      <c r="M2380" s="73"/>
      <c r="N2380" s="72"/>
      <c r="O2380" s="73"/>
      <c r="P2380" s="72"/>
      <c r="Q2380" s="73"/>
      <c r="R2380" s="72"/>
      <c r="S2380" s="73"/>
      <c r="T2380" s="72"/>
      <c r="U2380" s="73"/>
      <c r="V2380" s="72"/>
      <c r="W2380" s="73"/>
      <c r="X2380" s="72"/>
      <c r="Y2380" s="73"/>
      <c r="Z2380" s="74" t="b">
        <v>0</v>
      </c>
      <c r="AA2380" s="130">
        <f t="shared" si="949"/>
        <v>0</v>
      </c>
      <c r="AB2380" s="131">
        <f t="shared" si="950"/>
        <v>0</v>
      </c>
      <c r="AC2380" s="132">
        <f t="shared" si="951"/>
        <v>0</v>
      </c>
      <c r="AD2380" s="133">
        <f t="shared" si="952"/>
        <v>0</v>
      </c>
      <c r="AE2380" s="131">
        <f t="shared" si="953"/>
        <v>0</v>
      </c>
      <c r="AF2380" s="133">
        <f t="shared" si="954"/>
        <v>0</v>
      </c>
      <c r="AG2380" s="1"/>
    </row>
    <row r="2381" ht="21.0" customHeight="1">
      <c r="A2381" s="1"/>
      <c r="B2381" s="48" t="s">
        <v>41</v>
      </c>
      <c r="C2381" s="81"/>
      <c r="D2381" s="82" t="b">
        <v>0</v>
      </c>
      <c r="E2381" s="51" t="s">
        <v>42</v>
      </c>
      <c r="F2381" s="52" t="s">
        <v>34</v>
      </c>
      <c r="G2381" s="83"/>
      <c r="H2381" s="84"/>
      <c r="I2381" s="85"/>
      <c r="J2381" s="72"/>
      <c r="K2381" s="73"/>
      <c r="L2381" s="72"/>
      <c r="M2381" s="73"/>
      <c r="N2381" s="72"/>
      <c r="O2381" s="73"/>
      <c r="P2381" s="72"/>
      <c r="Q2381" s="73"/>
      <c r="R2381" s="72"/>
      <c r="S2381" s="73"/>
      <c r="T2381" s="72"/>
      <c r="U2381" s="73"/>
      <c r="V2381" s="72"/>
      <c r="W2381" s="73"/>
      <c r="X2381" s="72"/>
      <c r="Y2381" s="73"/>
      <c r="Z2381" s="74" t="b">
        <v>0</v>
      </c>
      <c r="AA2381" s="130">
        <f t="shared" si="949"/>
        <v>0</v>
      </c>
      <c r="AB2381" s="131">
        <f t="shared" si="950"/>
        <v>0</v>
      </c>
      <c r="AC2381" s="132">
        <f t="shared" si="951"/>
        <v>0</v>
      </c>
      <c r="AD2381" s="133">
        <f t="shared" si="952"/>
        <v>0</v>
      </c>
      <c r="AE2381" s="131">
        <f t="shared" si="953"/>
        <v>0</v>
      </c>
      <c r="AF2381" s="133">
        <f t="shared" si="954"/>
        <v>0</v>
      </c>
      <c r="AG2381" s="1"/>
    </row>
    <row r="2382" ht="21.0" customHeight="1">
      <c r="A2382" s="1"/>
      <c r="B2382" s="48" t="s">
        <v>43</v>
      </c>
      <c r="C2382" s="49"/>
      <c r="D2382" s="86" t="b">
        <v>0</v>
      </c>
      <c r="E2382" s="66"/>
      <c r="F2382" s="52" t="s">
        <v>37</v>
      </c>
      <c r="G2382" s="67"/>
      <c r="H2382" s="80"/>
      <c r="I2382" s="69"/>
      <c r="J2382" s="72"/>
      <c r="K2382" s="73"/>
      <c r="L2382" s="72"/>
      <c r="M2382" s="73"/>
      <c r="N2382" s="72"/>
      <c r="O2382" s="73"/>
      <c r="P2382" s="72"/>
      <c r="Q2382" s="73"/>
      <c r="R2382" s="72"/>
      <c r="S2382" s="73"/>
      <c r="T2382" s="72"/>
      <c r="U2382" s="73"/>
      <c r="V2382" s="72"/>
      <c r="W2382" s="73"/>
      <c r="X2382" s="72"/>
      <c r="Y2382" s="73"/>
      <c r="Z2382" s="74" t="b">
        <v>0</v>
      </c>
      <c r="AA2382" s="130">
        <f t="shared" si="949"/>
        <v>0</v>
      </c>
      <c r="AB2382" s="131">
        <f t="shared" si="950"/>
        <v>0</v>
      </c>
      <c r="AC2382" s="132">
        <f t="shared" si="951"/>
        <v>0</v>
      </c>
      <c r="AD2382" s="133">
        <f t="shared" si="952"/>
        <v>0</v>
      </c>
      <c r="AE2382" s="131">
        <f t="shared" si="953"/>
        <v>0</v>
      </c>
      <c r="AF2382" s="133">
        <f t="shared" si="954"/>
        <v>0</v>
      </c>
      <c r="AG2382" s="1"/>
    </row>
    <row r="2383" ht="21.0" customHeight="1">
      <c r="A2383" s="1"/>
      <c r="B2383" s="87" t="str">
        <f t="array" ref="B2383">"📌최근 인바디 결과 : "&amp;text(xlookup(B2375,'현황'!O:O,'현황'!O:O,,-1,-1),"m/d(ddd)")</f>
        <v>#REF!</v>
      </c>
      <c r="C2383" s="88"/>
      <c r="D2383" s="49"/>
      <c r="E2383" s="41"/>
      <c r="F2383" s="52" t="s">
        <v>40</v>
      </c>
      <c r="G2383" s="79"/>
      <c r="H2383" s="80"/>
      <c r="I2383" s="69"/>
      <c r="J2383" s="72"/>
      <c r="K2383" s="73"/>
      <c r="L2383" s="72"/>
      <c r="M2383" s="73"/>
      <c r="N2383" s="72"/>
      <c r="O2383" s="73"/>
      <c r="P2383" s="72"/>
      <c r="Q2383" s="73"/>
      <c r="R2383" s="72"/>
      <c r="S2383" s="73"/>
      <c r="T2383" s="72"/>
      <c r="U2383" s="73"/>
      <c r="V2383" s="72"/>
      <c r="W2383" s="73"/>
      <c r="X2383" s="72"/>
      <c r="Y2383" s="73"/>
      <c r="Z2383" s="74" t="b">
        <v>0</v>
      </c>
      <c r="AA2383" s="130">
        <f t="shared" si="949"/>
        <v>0</v>
      </c>
      <c r="AB2383" s="131">
        <f t="shared" si="950"/>
        <v>0</v>
      </c>
      <c r="AC2383" s="132">
        <f t="shared" si="951"/>
        <v>0</v>
      </c>
      <c r="AD2383" s="133">
        <f t="shared" si="952"/>
        <v>0</v>
      </c>
      <c r="AE2383" s="131">
        <f t="shared" si="953"/>
        <v>0</v>
      </c>
      <c r="AF2383" s="133">
        <f t="shared" si="954"/>
        <v>0</v>
      </c>
      <c r="AG2383" s="1"/>
    </row>
    <row r="2384" ht="21.0" customHeight="1">
      <c r="A2384" s="1"/>
      <c r="B2384" s="89" t="s">
        <v>44</v>
      </c>
      <c r="C2384" s="49"/>
      <c r="D2384" s="90">
        <f t="array" ref="D2384">iferror(vlookup(xlookup(B2375,'현황'!O:O,'현황'!O:O,,-1,-1),'현황'!O:S,2,false),0)</f>
        <v>0</v>
      </c>
      <c r="E2384" s="51" t="s">
        <v>45</v>
      </c>
      <c r="F2384" s="52" t="s">
        <v>34</v>
      </c>
      <c r="G2384" s="83"/>
      <c r="H2384" s="84"/>
      <c r="I2384" s="85"/>
      <c r="J2384" s="72"/>
      <c r="K2384" s="73"/>
      <c r="L2384" s="72"/>
      <c r="M2384" s="73"/>
      <c r="N2384" s="72"/>
      <c r="O2384" s="73"/>
      <c r="P2384" s="72"/>
      <c r="Q2384" s="73"/>
      <c r="R2384" s="72"/>
      <c r="S2384" s="73"/>
      <c r="T2384" s="72"/>
      <c r="U2384" s="73"/>
      <c r="V2384" s="72"/>
      <c r="W2384" s="73"/>
      <c r="X2384" s="72"/>
      <c r="Y2384" s="73"/>
      <c r="Z2384" s="74" t="b">
        <v>0</v>
      </c>
      <c r="AA2384" s="130">
        <f t="shared" si="949"/>
        <v>0</v>
      </c>
      <c r="AB2384" s="131">
        <f t="shared" si="950"/>
        <v>0</v>
      </c>
      <c r="AC2384" s="132">
        <f t="shared" si="951"/>
        <v>0</v>
      </c>
      <c r="AD2384" s="133">
        <f t="shared" si="952"/>
        <v>0</v>
      </c>
      <c r="AE2384" s="131">
        <f t="shared" si="953"/>
        <v>0</v>
      </c>
      <c r="AF2384" s="133">
        <f t="shared" si="954"/>
        <v>0</v>
      </c>
      <c r="AG2384" s="1"/>
    </row>
    <row r="2385" ht="21.0" customHeight="1">
      <c r="A2385" s="1"/>
      <c r="B2385" s="48" t="s">
        <v>46</v>
      </c>
      <c r="C2385" s="49"/>
      <c r="D2385" s="91">
        <f t="array" ref="D2385">iferror(vlookup(xlookup(B2375,'현황'!O:O,'현황'!O:O,,-1,-1),'현황'!O:S,3,false),0)</f>
        <v>0</v>
      </c>
      <c r="E2385" s="66"/>
      <c r="F2385" s="52" t="s">
        <v>37</v>
      </c>
      <c r="G2385" s="67"/>
      <c r="H2385" s="80"/>
      <c r="I2385" s="69"/>
      <c r="J2385" s="72"/>
      <c r="K2385" s="73"/>
      <c r="L2385" s="72"/>
      <c r="M2385" s="73"/>
      <c r="N2385" s="72"/>
      <c r="O2385" s="73"/>
      <c r="P2385" s="72"/>
      <c r="Q2385" s="73"/>
      <c r="R2385" s="72"/>
      <c r="S2385" s="73"/>
      <c r="T2385" s="72"/>
      <c r="U2385" s="73"/>
      <c r="V2385" s="72"/>
      <c r="W2385" s="73"/>
      <c r="X2385" s="72"/>
      <c r="Y2385" s="73"/>
      <c r="Z2385" s="74" t="b">
        <v>0</v>
      </c>
      <c r="AA2385" s="130">
        <f t="shared" si="949"/>
        <v>0</v>
      </c>
      <c r="AB2385" s="131">
        <f t="shared" si="950"/>
        <v>0</v>
      </c>
      <c r="AC2385" s="132">
        <f t="shared" si="951"/>
        <v>0</v>
      </c>
      <c r="AD2385" s="133">
        <f t="shared" si="952"/>
        <v>0</v>
      </c>
      <c r="AE2385" s="131">
        <f t="shared" si="953"/>
        <v>0</v>
      </c>
      <c r="AF2385" s="133">
        <f t="shared" si="954"/>
        <v>0</v>
      </c>
      <c r="AG2385" s="1"/>
    </row>
    <row r="2386" ht="21.0" customHeight="1">
      <c r="A2386" s="1"/>
      <c r="B2386" s="48" t="s">
        <v>47</v>
      </c>
      <c r="C2386" s="49"/>
      <c r="D2386" s="91">
        <f t="array" ref="D2386">iferror(vlookup(xlookup(B2375,'현황'!O:O,'현황'!O:O,,-1,-1),'현황'!O:S,4,false),0)</f>
        <v>0</v>
      </c>
      <c r="E2386" s="41"/>
      <c r="F2386" s="92" t="s">
        <v>40</v>
      </c>
      <c r="G2386" s="79"/>
      <c r="H2386" s="93"/>
      <c r="I2386" s="94"/>
      <c r="J2386" s="95"/>
      <c r="K2386" s="96"/>
      <c r="L2386" s="95"/>
      <c r="M2386" s="96"/>
      <c r="N2386" s="95"/>
      <c r="O2386" s="96"/>
      <c r="P2386" s="95"/>
      <c r="Q2386" s="96"/>
      <c r="R2386" s="95"/>
      <c r="S2386" s="96"/>
      <c r="T2386" s="95"/>
      <c r="U2386" s="96"/>
      <c r="V2386" s="95"/>
      <c r="W2386" s="96"/>
      <c r="X2386" s="95"/>
      <c r="Y2386" s="96"/>
      <c r="Z2386" s="97" t="b">
        <v>0</v>
      </c>
      <c r="AA2386" s="135">
        <f t="shared" si="949"/>
        <v>0</v>
      </c>
      <c r="AB2386" s="136">
        <f t="shared" si="950"/>
        <v>0</v>
      </c>
      <c r="AC2386" s="137">
        <f t="shared" si="951"/>
        <v>0</v>
      </c>
      <c r="AD2386" s="138">
        <f t="shared" si="952"/>
        <v>0</v>
      </c>
      <c r="AE2386" s="136">
        <f t="shared" si="953"/>
        <v>0</v>
      </c>
      <c r="AF2386" s="138">
        <f t="shared" si="954"/>
        <v>0</v>
      </c>
      <c r="AG2386" s="1"/>
    </row>
    <row r="2387" ht="21.0" customHeight="1">
      <c r="A2387" s="1"/>
      <c r="B2387" s="102" t="s">
        <v>48</v>
      </c>
      <c r="C2387" s="103"/>
      <c r="D2387" s="104">
        <f>iferror(D2386/D2384,0)</f>
        <v>0</v>
      </c>
      <c r="E2387" s="102" t="s">
        <v>49</v>
      </c>
      <c r="F2387" s="103"/>
      <c r="G2387" s="105"/>
      <c r="H2387" s="106" t="s">
        <v>50</v>
      </c>
      <c r="I2387" s="107"/>
      <c r="J2387" s="11"/>
      <c r="K2387" s="11"/>
      <c r="L2387" s="11"/>
      <c r="M2387" s="11"/>
      <c r="N2387" s="11"/>
      <c r="O2387" s="11"/>
      <c r="P2387" s="108" t="s">
        <v>51</v>
      </c>
      <c r="Q2387" s="12"/>
      <c r="R2387" s="109"/>
      <c r="S2387" s="11"/>
      <c r="T2387" s="11"/>
      <c r="U2387" s="11"/>
      <c r="V2387" s="11"/>
      <c r="W2387" s="11"/>
      <c r="X2387" s="11"/>
      <c r="Y2387" s="11"/>
      <c r="Z2387" s="12"/>
      <c r="AA2387" s="139">
        <f>SUM(AA2378:AA2386)</f>
        <v>0</v>
      </c>
      <c r="AB2387" s="140" t="s">
        <v>415</v>
      </c>
      <c r="AG2387" s="1"/>
    </row>
    <row r="2388" ht="21.0" customHeight="1">
      <c r="A2388" s="1"/>
      <c r="B2388" s="1"/>
      <c r="C2388" s="1"/>
      <c r="D2388" s="1"/>
      <c r="E2388" s="1"/>
      <c r="F2388" s="1"/>
      <c r="G2388" s="1"/>
      <c r="H2388" s="1"/>
      <c r="I2388" s="1"/>
      <c r="AA2388" s="1"/>
      <c r="AB2388" s="1"/>
      <c r="AC2388" s="3"/>
      <c r="AD2388" s="1"/>
      <c r="AE2388" s="1"/>
      <c r="AF2388" s="1"/>
      <c r="AG2388" s="1"/>
    </row>
    <row r="2389" ht="21.0" customHeight="1">
      <c r="A2389" s="1"/>
      <c r="B2389" s="4" t="s">
        <v>1</v>
      </c>
      <c r="C2389" s="5"/>
      <c r="D2389" s="6" t="s">
        <v>2</v>
      </c>
      <c r="E2389" s="7"/>
      <c r="F2389" s="7"/>
      <c r="G2389" s="5"/>
      <c r="H2389" s="8" t="s">
        <v>3</v>
      </c>
      <c r="I2389" s="8" t="s">
        <v>4</v>
      </c>
      <c r="J2389" s="9" t="s">
        <v>5</v>
      </c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5"/>
      <c r="AA2389" s="117" t="s">
        <v>6</v>
      </c>
      <c r="AB2389" s="11"/>
      <c r="AC2389" s="11"/>
      <c r="AD2389" s="11"/>
      <c r="AE2389" s="11"/>
      <c r="AF2389" s="12"/>
      <c r="AG2389" s="1"/>
    </row>
    <row r="2390" ht="21.0" customHeight="1">
      <c r="A2390" s="1"/>
      <c r="B2390" s="149" t="s">
        <v>138</v>
      </c>
      <c r="C2390" s="14" t="str">
        <f>if(B2390="0/0","",choose(weekday(B2390),"(일)","(월)","(화)","(수)","(목)","(금)","(토)"))</f>
        <v/>
      </c>
      <c r="D2390" s="15" t="s">
        <v>7</v>
      </c>
      <c r="E2390" s="16" t="s">
        <v>8</v>
      </c>
      <c r="F2390" s="17"/>
      <c r="G2390" s="18" t="s">
        <v>9</v>
      </c>
      <c r="H2390" s="150" t="s">
        <v>139</v>
      </c>
      <c r="I2390" s="151"/>
      <c r="J2390" s="21" t="s">
        <v>12</v>
      </c>
      <c r="K2390" s="22"/>
      <c r="L2390" s="21" t="s">
        <v>13</v>
      </c>
      <c r="M2390" s="22"/>
      <c r="N2390" s="21" t="s">
        <v>14</v>
      </c>
      <c r="O2390" s="22"/>
      <c r="P2390" s="21" t="s">
        <v>15</v>
      </c>
      <c r="Q2390" s="22"/>
      <c r="R2390" s="23" t="s">
        <v>16</v>
      </c>
      <c r="S2390" s="22"/>
      <c r="T2390" s="23" t="s">
        <v>17</v>
      </c>
      <c r="U2390" s="22"/>
      <c r="V2390" s="23" t="s">
        <v>18</v>
      </c>
      <c r="W2390" s="22"/>
      <c r="X2390" s="23" t="s">
        <v>19</v>
      </c>
      <c r="Y2390" s="22"/>
      <c r="Z2390" s="24" t="s">
        <v>416</v>
      </c>
      <c r="AA2390" s="118" t="s">
        <v>21</v>
      </c>
      <c r="AB2390" s="119" t="s">
        <v>22</v>
      </c>
      <c r="AC2390" s="7"/>
      <c r="AD2390" s="22"/>
      <c r="AE2390" s="120" t="s">
        <v>23</v>
      </c>
      <c r="AF2390" s="22"/>
      <c r="AG2390" s="1"/>
    </row>
    <row r="2391" ht="21.0" customHeight="1">
      <c r="A2391" s="1"/>
      <c r="B2391" s="27">
        <f>iferror(B2390-'현황'!$C$4+1,0)</f>
        <v>0</v>
      </c>
      <c r="C2391" s="28"/>
      <c r="D2391" s="29">
        <v>0.0</v>
      </c>
      <c r="E2391" s="30">
        <v>0.0</v>
      </c>
      <c r="F2391" s="31"/>
      <c r="G2391" s="32">
        <v>0.0</v>
      </c>
      <c r="H2391" s="33">
        <v>0.0</v>
      </c>
      <c r="I2391" s="34"/>
      <c r="J2391" s="35"/>
      <c r="K2391" s="36"/>
      <c r="L2391" s="35"/>
      <c r="M2391" s="36"/>
      <c r="N2391" s="35"/>
      <c r="O2391" s="36"/>
      <c r="P2391" s="35"/>
      <c r="Q2391" s="36"/>
      <c r="R2391" s="35"/>
      <c r="S2391" s="36"/>
      <c r="T2391" s="35"/>
      <c r="U2391" s="36"/>
      <c r="V2391" s="35"/>
      <c r="W2391" s="36"/>
      <c r="X2391" s="35"/>
      <c r="Y2391" s="36"/>
      <c r="Z2391" s="37"/>
      <c r="AA2391" s="37"/>
      <c r="AB2391" s="35"/>
      <c r="AC2391" s="38"/>
      <c r="AD2391" s="36"/>
      <c r="AE2391" s="35"/>
      <c r="AF2391" s="36"/>
      <c r="AG2391" s="1"/>
    </row>
    <row r="2392" ht="21.0" customHeight="1">
      <c r="A2392" s="1"/>
      <c r="B2392" s="39" t="s">
        <v>24</v>
      </c>
      <c r="C2392" s="40"/>
      <c r="D2392" s="41"/>
      <c r="E2392" s="42" t="s">
        <v>25</v>
      </c>
      <c r="F2392" s="40"/>
      <c r="G2392" s="41"/>
      <c r="H2392" s="43" t="s">
        <v>26</v>
      </c>
      <c r="J2392" s="44" t="s">
        <v>27</v>
      </c>
      <c r="K2392" s="45" t="s">
        <v>28</v>
      </c>
      <c r="L2392" s="44" t="s">
        <v>27</v>
      </c>
      <c r="M2392" s="45" t="s">
        <v>28</v>
      </c>
      <c r="N2392" s="44" t="s">
        <v>27</v>
      </c>
      <c r="O2392" s="45" t="s">
        <v>28</v>
      </c>
      <c r="P2392" s="44" t="s">
        <v>27</v>
      </c>
      <c r="Q2392" s="45" t="s">
        <v>28</v>
      </c>
      <c r="R2392" s="44" t="s">
        <v>27</v>
      </c>
      <c r="S2392" s="45" t="s">
        <v>28</v>
      </c>
      <c r="T2392" s="44" t="s">
        <v>27</v>
      </c>
      <c r="U2392" s="45" t="s">
        <v>28</v>
      </c>
      <c r="V2392" s="44" t="s">
        <v>27</v>
      </c>
      <c r="W2392" s="45" t="s">
        <v>28</v>
      </c>
      <c r="X2392" s="44" t="s">
        <v>27</v>
      </c>
      <c r="Y2392" s="45" t="s">
        <v>28</v>
      </c>
      <c r="Z2392" s="46"/>
      <c r="AA2392" s="46"/>
      <c r="AB2392" s="121" t="s">
        <v>29</v>
      </c>
      <c r="AC2392" s="122" t="s">
        <v>30</v>
      </c>
      <c r="AD2392" s="123" t="s">
        <v>31</v>
      </c>
      <c r="AE2392" s="121" t="s">
        <v>27</v>
      </c>
      <c r="AF2392" s="123" t="s">
        <v>28</v>
      </c>
      <c r="AG2392" s="1"/>
    </row>
    <row r="2393" ht="21.0" customHeight="1">
      <c r="A2393" s="1"/>
      <c r="B2393" s="48" t="s">
        <v>32</v>
      </c>
      <c r="C2393" s="49"/>
      <c r="D2393" s="50"/>
      <c r="E2393" s="51" t="s">
        <v>33</v>
      </c>
      <c r="F2393" s="52" t="s">
        <v>34</v>
      </c>
      <c r="G2393" s="53"/>
      <c r="H2393" s="148"/>
      <c r="I2393" s="55"/>
      <c r="J2393" s="58"/>
      <c r="K2393" s="59"/>
      <c r="L2393" s="58"/>
      <c r="M2393" s="59"/>
      <c r="N2393" s="58"/>
      <c r="O2393" s="59"/>
      <c r="P2393" s="58"/>
      <c r="Q2393" s="59"/>
      <c r="R2393" s="58"/>
      <c r="S2393" s="59"/>
      <c r="T2393" s="58"/>
      <c r="U2393" s="59"/>
      <c r="V2393" s="58"/>
      <c r="W2393" s="59"/>
      <c r="X2393" s="58"/>
      <c r="Y2393" s="59"/>
      <c r="Z2393" s="60" t="b">
        <v>0</v>
      </c>
      <c r="AA2393" s="125">
        <f t="shared" ref="AA2393:AA2401" si="955">(J2393*K2393+L2393*M2393+N2393*O2393+P2393*Q2393+R2393*S2393+T2393*U2393+V2393*W2393+X2393*Y2393)*if(Z2393=true,0.453592,1)</f>
        <v>0</v>
      </c>
      <c r="AB2393" s="126">
        <f t="shared" ref="AB2393:AB2401" si="956">SUM(AE2393*AF2393*0.025,AE2393)</f>
        <v>0</v>
      </c>
      <c r="AC2393" s="127">
        <f t="shared" ref="AC2393:AC2401" si="957">AB2393*87%</f>
        <v>0</v>
      </c>
      <c r="AD2393" s="128">
        <f t="shared" ref="AD2393:AD2401" si="958">AB2393*67%</f>
        <v>0</v>
      </c>
      <c r="AE2393" s="126">
        <f t="shared" ref="AE2393:AE2401" si="959">MAX(J2393,L2393,N2393,P2393,R2393,T2393,V2393,X2393)*if(Z2393=true,0.453592,1)</f>
        <v>0</v>
      </c>
      <c r="AF2393" s="128">
        <f t="shared" ref="AF2393:AF2401" si="960">MAX(IF(J2393*if(Z2393=true,0.453592,1)=$AE2393,K2393,0),IF(L2393*if(Z2393=true,0.453592,1)=$AE2393,M2393,0),IF(N2393*if(Z2393=true,0.453592,1)=$AE2393,O2393,0),IF(P2393*if(Z2393=true,0.453592,1)=$AE2393,Q2393,0),IF(R2393*if(Z2393=true,0.453592,1)=$AE2393,S2393,0),IF(T2393*if(Z2393=true,0.453592,1)=$AE2393,U2393,0),IF(V2393*if(Z2393=true,0.453592,1)=$AE2393,W2393,0),IF(X2393*if(Z2393=true,0.453592,1)=$AE2393,Y2393,0))</f>
        <v>0</v>
      </c>
      <c r="AG2393" s="1"/>
    </row>
    <row r="2394" ht="21.0" customHeight="1">
      <c r="A2394" s="1"/>
      <c r="B2394" s="48" t="s">
        <v>36</v>
      </c>
      <c r="C2394" s="49"/>
      <c r="D2394" s="65"/>
      <c r="E2394" s="66"/>
      <c r="F2394" s="52" t="s">
        <v>37</v>
      </c>
      <c r="G2394" s="67"/>
      <c r="H2394" s="129"/>
      <c r="I2394" s="69"/>
      <c r="J2394" s="72"/>
      <c r="K2394" s="73"/>
      <c r="L2394" s="72"/>
      <c r="M2394" s="73"/>
      <c r="N2394" s="72"/>
      <c r="O2394" s="73"/>
      <c r="P2394" s="72"/>
      <c r="Q2394" s="73"/>
      <c r="R2394" s="72"/>
      <c r="S2394" s="73"/>
      <c r="T2394" s="72"/>
      <c r="U2394" s="73"/>
      <c r="V2394" s="72"/>
      <c r="W2394" s="73"/>
      <c r="X2394" s="72"/>
      <c r="Y2394" s="73"/>
      <c r="Z2394" s="74" t="b">
        <v>0</v>
      </c>
      <c r="AA2394" s="130">
        <f t="shared" si="955"/>
        <v>0</v>
      </c>
      <c r="AB2394" s="131">
        <f t="shared" si="956"/>
        <v>0</v>
      </c>
      <c r="AC2394" s="132">
        <f t="shared" si="957"/>
        <v>0</v>
      </c>
      <c r="AD2394" s="133">
        <f t="shared" si="958"/>
        <v>0</v>
      </c>
      <c r="AE2394" s="131">
        <f t="shared" si="959"/>
        <v>0</v>
      </c>
      <c r="AF2394" s="133">
        <f t="shared" si="960"/>
        <v>0</v>
      </c>
      <c r="AG2394" s="1"/>
    </row>
    <row r="2395" ht="21.0" customHeight="1">
      <c r="A2395" s="1"/>
      <c r="B2395" s="48" t="s">
        <v>39</v>
      </c>
      <c r="C2395" s="49"/>
      <c r="D2395" s="65"/>
      <c r="E2395" s="41"/>
      <c r="F2395" s="52" t="s">
        <v>40</v>
      </c>
      <c r="G2395" s="79"/>
      <c r="H2395" s="80"/>
      <c r="I2395" s="69"/>
      <c r="J2395" s="72"/>
      <c r="K2395" s="73"/>
      <c r="L2395" s="72"/>
      <c r="M2395" s="73"/>
      <c r="N2395" s="72"/>
      <c r="O2395" s="73"/>
      <c r="P2395" s="72"/>
      <c r="Q2395" s="73"/>
      <c r="R2395" s="72"/>
      <c r="S2395" s="73"/>
      <c r="T2395" s="72"/>
      <c r="U2395" s="73"/>
      <c r="V2395" s="72"/>
      <c r="W2395" s="73"/>
      <c r="X2395" s="72"/>
      <c r="Y2395" s="73"/>
      <c r="Z2395" s="74" t="b">
        <v>0</v>
      </c>
      <c r="AA2395" s="130">
        <f t="shared" si="955"/>
        <v>0</v>
      </c>
      <c r="AB2395" s="131">
        <f t="shared" si="956"/>
        <v>0</v>
      </c>
      <c r="AC2395" s="132">
        <f t="shared" si="957"/>
        <v>0</v>
      </c>
      <c r="AD2395" s="133">
        <f t="shared" si="958"/>
        <v>0</v>
      </c>
      <c r="AE2395" s="131">
        <f t="shared" si="959"/>
        <v>0</v>
      </c>
      <c r="AF2395" s="133">
        <f t="shared" si="960"/>
        <v>0</v>
      </c>
      <c r="AG2395" s="1"/>
    </row>
    <row r="2396" ht="21.0" customHeight="1">
      <c r="A2396" s="1"/>
      <c r="B2396" s="48" t="s">
        <v>41</v>
      </c>
      <c r="C2396" s="81"/>
      <c r="D2396" s="82" t="b">
        <v>0</v>
      </c>
      <c r="E2396" s="51" t="s">
        <v>42</v>
      </c>
      <c r="F2396" s="52" t="s">
        <v>34</v>
      </c>
      <c r="G2396" s="83"/>
      <c r="H2396" s="84"/>
      <c r="I2396" s="85"/>
      <c r="J2396" s="72"/>
      <c r="K2396" s="73"/>
      <c r="L2396" s="72"/>
      <c r="M2396" s="73"/>
      <c r="N2396" s="72"/>
      <c r="O2396" s="73"/>
      <c r="P2396" s="72"/>
      <c r="Q2396" s="73"/>
      <c r="R2396" s="72"/>
      <c r="S2396" s="73"/>
      <c r="T2396" s="72"/>
      <c r="U2396" s="73"/>
      <c r="V2396" s="72"/>
      <c r="W2396" s="73"/>
      <c r="X2396" s="72"/>
      <c r="Y2396" s="73"/>
      <c r="Z2396" s="74" t="b">
        <v>0</v>
      </c>
      <c r="AA2396" s="130">
        <f t="shared" si="955"/>
        <v>0</v>
      </c>
      <c r="AB2396" s="131">
        <f t="shared" si="956"/>
        <v>0</v>
      </c>
      <c r="AC2396" s="132">
        <f t="shared" si="957"/>
        <v>0</v>
      </c>
      <c r="AD2396" s="133">
        <f t="shared" si="958"/>
        <v>0</v>
      </c>
      <c r="AE2396" s="131">
        <f t="shared" si="959"/>
        <v>0</v>
      </c>
      <c r="AF2396" s="133">
        <f t="shared" si="960"/>
        <v>0</v>
      </c>
      <c r="AG2396" s="1"/>
    </row>
    <row r="2397" ht="21.0" customHeight="1">
      <c r="A2397" s="1"/>
      <c r="B2397" s="48" t="s">
        <v>43</v>
      </c>
      <c r="C2397" s="49"/>
      <c r="D2397" s="86" t="b">
        <v>0</v>
      </c>
      <c r="E2397" s="66"/>
      <c r="F2397" s="52" t="s">
        <v>37</v>
      </c>
      <c r="G2397" s="67"/>
      <c r="H2397" s="80"/>
      <c r="I2397" s="69"/>
      <c r="J2397" s="72"/>
      <c r="K2397" s="73"/>
      <c r="L2397" s="72"/>
      <c r="M2397" s="73"/>
      <c r="N2397" s="72"/>
      <c r="O2397" s="73"/>
      <c r="P2397" s="72"/>
      <c r="Q2397" s="73"/>
      <c r="R2397" s="72"/>
      <c r="S2397" s="73"/>
      <c r="T2397" s="72"/>
      <c r="U2397" s="73"/>
      <c r="V2397" s="72"/>
      <c r="W2397" s="73"/>
      <c r="X2397" s="72"/>
      <c r="Y2397" s="73"/>
      <c r="Z2397" s="74" t="b">
        <v>0</v>
      </c>
      <c r="AA2397" s="130">
        <f t="shared" si="955"/>
        <v>0</v>
      </c>
      <c r="AB2397" s="131">
        <f t="shared" si="956"/>
        <v>0</v>
      </c>
      <c r="AC2397" s="132">
        <f t="shared" si="957"/>
        <v>0</v>
      </c>
      <c r="AD2397" s="133">
        <f t="shared" si="958"/>
        <v>0</v>
      </c>
      <c r="AE2397" s="131">
        <f t="shared" si="959"/>
        <v>0</v>
      </c>
      <c r="AF2397" s="133">
        <f t="shared" si="960"/>
        <v>0</v>
      </c>
      <c r="AG2397" s="1"/>
    </row>
    <row r="2398" ht="21.0" customHeight="1">
      <c r="A2398" s="1"/>
      <c r="B2398" s="87" t="str">
        <f t="array" ref="B2398">"📌최근 인바디 결과 : "&amp;text(xlookup(B2390,'현황'!O:O,'현황'!O:O,,-1,-1),"m/d(ddd)")</f>
        <v>#REF!</v>
      </c>
      <c r="C2398" s="88"/>
      <c r="D2398" s="49"/>
      <c r="E2398" s="41"/>
      <c r="F2398" s="52" t="s">
        <v>40</v>
      </c>
      <c r="G2398" s="79"/>
      <c r="H2398" s="80"/>
      <c r="I2398" s="69"/>
      <c r="J2398" s="72"/>
      <c r="K2398" s="73"/>
      <c r="L2398" s="72"/>
      <c r="M2398" s="73"/>
      <c r="N2398" s="72"/>
      <c r="O2398" s="73"/>
      <c r="P2398" s="72"/>
      <c r="Q2398" s="73"/>
      <c r="R2398" s="72"/>
      <c r="S2398" s="73"/>
      <c r="T2398" s="72"/>
      <c r="U2398" s="73"/>
      <c r="V2398" s="72"/>
      <c r="W2398" s="73"/>
      <c r="X2398" s="72"/>
      <c r="Y2398" s="73"/>
      <c r="Z2398" s="74" t="b">
        <v>0</v>
      </c>
      <c r="AA2398" s="130">
        <f t="shared" si="955"/>
        <v>0</v>
      </c>
      <c r="AB2398" s="131">
        <f t="shared" si="956"/>
        <v>0</v>
      </c>
      <c r="AC2398" s="132">
        <f t="shared" si="957"/>
        <v>0</v>
      </c>
      <c r="AD2398" s="133">
        <f t="shared" si="958"/>
        <v>0</v>
      </c>
      <c r="AE2398" s="131">
        <f t="shared" si="959"/>
        <v>0</v>
      </c>
      <c r="AF2398" s="133">
        <f t="shared" si="960"/>
        <v>0</v>
      </c>
      <c r="AG2398" s="1"/>
    </row>
    <row r="2399" ht="21.0" customHeight="1">
      <c r="A2399" s="1"/>
      <c r="B2399" s="89" t="s">
        <v>44</v>
      </c>
      <c r="C2399" s="49"/>
      <c r="D2399" s="90">
        <f t="array" ref="D2399">iferror(vlookup(xlookup(B2390,'현황'!O:O,'현황'!O:O,,-1,-1),'현황'!O:S,2,false),0)</f>
        <v>0</v>
      </c>
      <c r="E2399" s="51" t="s">
        <v>45</v>
      </c>
      <c r="F2399" s="52" t="s">
        <v>34</v>
      </c>
      <c r="G2399" s="83"/>
      <c r="H2399" s="84"/>
      <c r="I2399" s="85"/>
      <c r="J2399" s="72"/>
      <c r="K2399" s="73"/>
      <c r="L2399" s="72"/>
      <c r="M2399" s="73"/>
      <c r="N2399" s="72"/>
      <c r="O2399" s="73"/>
      <c r="P2399" s="72"/>
      <c r="Q2399" s="73"/>
      <c r="R2399" s="72"/>
      <c r="S2399" s="73"/>
      <c r="T2399" s="72"/>
      <c r="U2399" s="73"/>
      <c r="V2399" s="72"/>
      <c r="W2399" s="73"/>
      <c r="X2399" s="72"/>
      <c r="Y2399" s="73"/>
      <c r="Z2399" s="74" t="b">
        <v>0</v>
      </c>
      <c r="AA2399" s="130">
        <f t="shared" si="955"/>
        <v>0</v>
      </c>
      <c r="AB2399" s="131">
        <f t="shared" si="956"/>
        <v>0</v>
      </c>
      <c r="AC2399" s="132">
        <f t="shared" si="957"/>
        <v>0</v>
      </c>
      <c r="AD2399" s="133">
        <f t="shared" si="958"/>
        <v>0</v>
      </c>
      <c r="AE2399" s="131">
        <f t="shared" si="959"/>
        <v>0</v>
      </c>
      <c r="AF2399" s="133">
        <f t="shared" si="960"/>
        <v>0</v>
      </c>
      <c r="AG2399" s="1"/>
    </row>
    <row r="2400" ht="21.0" customHeight="1">
      <c r="A2400" s="1"/>
      <c r="B2400" s="48" t="s">
        <v>46</v>
      </c>
      <c r="C2400" s="49"/>
      <c r="D2400" s="91">
        <f t="array" ref="D2400">iferror(vlookup(xlookup(B2390,'현황'!O:O,'현황'!O:O,,-1,-1),'현황'!O:S,3,false),0)</f>
        <v>0</v>
      </c>
      <c r="E2400" s="66"/>
      <c r="F2400" s="52" t="s">
        <v>37</v>
      </c>
      <c r="G2400" s="67"/>
      <c r="H2400" s="80"/>
      <c r="I2400" s="69"/>
      <c r="J2400" s="72"/>
      <c r="K2400" s="73"/>
      <c r="L2400" s="72"/>
      <c r="M2400" s="73"/>
      <c r="N2400" s="72"/>
      <c r="O2400" s="73"/>
      <c r="P2400" s="72"/>
      <c r="Q2400" s="73"/>
      <c r="R2400" s="72"/>
      <c r="S2400" s="73"/>
      <c r="T2400" s="72"/>
      <c r="U2400" s="73"/>
      <c r="V2400" s="72"/>
      <c r="W2400" s="73"/>
      <c r="X2400" s="72"/>
      <c r="Y2400" s="73"/>
      <c r="Z2400" s="74" t="b">
        <v>0</v>
      </c>
      <c r="AA2400" s="130">
        <f t="shared" si="955"/>
        <v>0</v>
      </c>
      <c r="AB2400" s="131">
        <f t="shared" si="956"/>
        <v>0</v>
      </c>
      <c r="AC2400" s="132">
        <f t="shared" si="957"/>
        <v>0</v>
      </c>
      <c r="AD2400" s="133">
        <f t="shared" si="958"/>
        <v>0</v>
      </c>
      <c r="AE2400" s="131">
        <f t="shared" si="959"/>
        <v>0</v>
      </c>
      <c r="AF2400" s="133">
        <f t="shared" si="960"/>
        <v>0</v>
      </c>
      <c r="AG2400" s="1"/>
    </row>
    <row r="2401" ht="21.0" customHeight="1">
      <c r="A2401" s="1"/>
      <c r="B2401" s="48" t="s">
        <v>47</v>
      </c>
      <c r="C2401" s="49"/>
      <c r="D2401" s="91">
        <f t="array" ref="D2401">iferror(vlookup(xlookup(B2390,'현황'!O:O,'현황'!O:O,,-1,-1),'현황'!O:S,4,false),0)</f>
        <v>0</v>
      </c>
      <c r="E2401" s="41"/>
      <c r="F2401" s="92" t="s">
        <v>40</v>
      </c>
      <c r="G2401" s="79"/>
      <c r="H2401" s="93"/>
      <c r="I2401" s="94"/>
      <c r="J2401" s="95"/>
      <c r="K2401" s="96"/>
      <c r="L2401" s="95"/>
      <c r="M2401" s="96"/>
      <c r="N2401" s="95"/>
      <c r="O2401" s="96"/>
      <c r="P2401" s="95"/>
      <c r="Q2401" s="96"/>
      <c r="R2401" s="95"/>
      <c r="S2401" s="96"/>
      <c r="T2401" s="95"/>
      <c r="U2401" s="96"/>
      <c r="V2401" s="95"/>
      <c r="W2401" s="96"/>
      <c r="X2401" s="95"/>
      <c r="Y2401" s="96"/>
      <c r="Z2401" s="97" t="b">
        <v>0</v>
      </c>
      <c r="AA2401" s="135">
        <f t="shared" si="955"/>
        <v>0</v>
      </c>
      <c r="AB2401" s="136">
        <f t="shared" si="956"/>
        <v>0</v>
      </c>
      <c r="AC2401" s="137">
        <f t="shared" si="957"/>
        <v>0</v>
      </c>
      <c r="AD2401" s="138">
        <f t="shared" si="958"/>
        <v>0</v>
      </c>
      <c r="AE2401" s="136">
        <f t="shared" si="959"/>
        <v>0</v>
      </c>
      <c r="AF2401" s="138">
        <f t="shared" si="960"/>
        <v>0</v>
      </c>
      <c r="AG2401" s="1"/>
    </row>
    <row r="2402" ht="21.0" customHeight="1">
      <c r="A2402" s="1"/>
      <c r="B2402" s="102" t="s">
        <v>48</v>
      </c>
      <c r="C2402" s="103"/>
      <c r="D2402" s="104">
        <f>iferror(D2401/D2399,0)</f>
        <v>0</v>
      </c>
      <c r="E2402" s="102" t="s">
        <v>49</v>
      </c>
      <c r="F2402" s="103"/>
      <c r="G2402" s="105"/>
      <c r="H2402" s="143" t="s">
        <v>50</v>
      </c>
      <c r="I2402" s="144"/>
      <c r="J2402" s="11"/>
      <c r="K2402" s="11"/>
      <c r="L2402" s="11"/>
      <c r="M2402" s="11"/>
      <c r="N2402" s="11"/>
      <c r="O2402" s="11"/>
      <c r="P2402" s="145" t="s">
        <v>51</v>
      </c>
      <c r="Q2402" s="12"/>
      <c r="R2402" s="146"/>
      <c r="S2402" s="11"/>
      <c r="T2402" s="11"/>
      <c r="U2402" s="11"/>
      <c r="V2402" s="11"/>
      <c r="W2402" s="11"/>
      <c r="X2402" s="11"/>
      <c r="Y2402" s="11"/>
      <c r="Z2402" s="12"/>
      <c r="AA2402" s="139">
        <f>SUM(AA2393:AA2401)</f>
        <v>0</v>
      </c>
      <c r="AB2402" s="140" t="s">
        <v>417</v>
      </c>
      <c r="AG2402" s="1"/>
    </row>
    <row r="2403" ht="21.0" customHeight="1">
      <c r="A2403" s="1"/>
      <c r="B2403" s="1"/>
      <c r="C2403" s="1"/>
      <c r="D2403" s="1"/>
      <c r="E2403" s="1"/>
      <c r="F2403" s="1"/>
      <c r="G2403" s="1"/>
      <c r="H2403" s="1"/>
      <c r="I2403" s="1"/>
      <c r="AA2403" s="1"/>
      <c r="AB2403" s="1"/>
      <c r="AC2403" s="3"/>
      <c r="AD2403" s="1"/>
      <c r="AE2403" s="1"/>
      <c r="AF2403" s="1"/>
      <c r="AG2403" s="1"/>
    </row>
    <row r="2404" ht="21.0" customHeight="1">
      <c r="A2404" s="1"/>
      <c r="B2404" s="4" t="s">
        <v>1</v>
      </c>
      <c r="C2404" s="5"/>
      <c r="D2404" s="6" t="s">
        <v>2</v>
      </c>
      <c r="E2404" s="7"/>
      <c r="F2404" s="7"/>
      <c r="G2404" s="5"/>
      <c r="H2404" s="8" t="s">
        <v>3</v>
      </c>
      <c r="I2404" s="8" t="s">
        <v>4</v>
      </c>
      <c r="J2404" s="9" t="s">
        <v>5</v>
      </c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5"/>
      <c r="AA2404" s="117" t="s">
        <v>6</v>
      </c>
      <c r="AB2404" s="11"/>
      <c r="AC2404" s="11"/>
      <c r="AD2404" s="11"/>
      <c r="AE2404" s="11"/>
      <c r="AF2404" s="12"/>
      <c r="AG2404" s="1"/>
    </row>
    <row r="2405" ht="21.0" customHeight="1">
      <c r="A2405" s="1"/>
      <c r="B2405" s="149" t="s">
        <v>138</v>
      </c>
      <c r="C2405" s="14" t="str">
        <f>if(B2405="0/0","",choose(weekday(B2405),"(일)","(월)","(화)","(수)","(목)","(금)","(토)"))</f>
        <v/>
      </c>
      <c r="D2405" s="15" t="s">
        <v>7</v>
      </c>
      <c r="E2405" s="16" t="s">
        <v>8</v>
      </c>
      <c r="F2405" s="17"/>
      <c r="G2405" s="18" t="s">
        <v>9</v>
      </c>
      <c r="H2405" s="150" t="s">
        <v>139</v>
      </c>
      <c r="I2405" s="151"/>
      <c r="J2405" s="21" t="s">
        <v>12</v>
      </c>
      <c r="K2405" s="22"/>
      <c r="L2405" s="21" t="s">
        <v>13</v>
      </c>
      <c r="M2405" s="22"/>
      <c r="N2405" s="21" t="s">
        <v>14</v>
      </c>
      <c r="O2405" s="22"/>
      <c r="P2405" s="21" t="s">
        <v>15</v>
      </c>
      <c r="Q2405" s="22"/>
      <c r="R2405" s="23" t="s">
        <v>16</v>
      </c>
      <c r="S2405" s="22"/>
      <c r="T2405" s="23" t="s">
        <v>17</v>
      </c>
      <c r="U2405" s="22"/>
      <c r="V2405" s="23" t="s">
        <v>18</v>
      </c>
      <c r="W2405" s="22"/>
      <c r="X2405" s="23" t="s">
        <v>19</v>
      </c>
      <c r="Y2405" s="22"/>
      <c r="Z2405" s="24" t="s">
        <v>418</v>
      </c>
      <c r="AA2405" s="118" t="s">
        <v>21</v>
      </c>
      <c r="AB2405" s="119" t="s">
        <v>22</v>
      </c>
      <c r="AC2405" s="7"/>
      <c r="AD2405" s="22"/>
      <c r="AE2405" s="120" t="s">
        <v>23</v>
      </c>
      <c r="AF2405" s="22"/>
      <c r="AG2405" s="1"/>
    </row>
    <row r="2406" ht="21.0" customHeight="1">
      <c r="A2406" s="1"/>
      <c r="B2406" s="27">
        <f>iferror(B2405-'현황'!$C$4+1,0)</f>
        <v>0</v>
      </c>
      <c r="C2406" s="28"/>
      <c r="D2406" s="29">
        <v>0.0</v>
      </c>
      <c r="E2406" s="30">
        <v>0.0</v>
      </c>
      <c r="F2406" s="31"/>
      <c r="G2406" s="32">
        <v>0.0</v>
      </c>
      <c r="H2406" s="33">
        <v>0.0</v>
      </c>
      <c r="I2406" s="34"/>
      <c r="J2406" s="35"/>
      <c r="K2406" s="36"/>
      <c r="L2406" s="35"/>
      <c r="M2406" s="36"/>
      <c r="N2406" s="35"/>
      <c r="O2406" s="36"/>
      <c r="P2406" s="35"/>
      <c r="Q2406" s="36"/>
      <c r="R2406" s="35"/>
      <c r="S2406" s="36"/>
      <c r="T2406" s="35"/>
      <c r="U2406" s="36"/>
      <c r="V2406" s="35"/>
      <c r="W2406" s="36"/>
      <c r="X2406" s="35"/>
      <c r="Y2406" s="36"/>
      <c r="Z2406" s="37"/>
      <c r="AA2406" s="37"/>
      <c r="AB2406" s="35"/>
      <c r="AC2406" s="38"/>
      <c r="AD2406" s="36"/>
      <c r="AE2406" s="35"/>
      <c r="AF2406" s="36"/>
      <c r="AG2406" s="1"/>
    </row>
    <row r="2407" ht="21.0" customHeight="1">
      <c r="A2407" s="1"/>
      <c r="B2407" s="39" t="s">
        <v>24</v>
      </c>
      <c r="C2407" s="40"/>
      <c r="D2407" s="41"/>
      <c r="E2407" s="42" t="s">
        <v>25</v>
      </c>
      <c r="F2407" s="40"/>
      <c r="G2407" s="41"/>
      <c r="H2407" s="43" t="s">
        <v>26</v>
      </c>
      <c r="J2407" s="44" t="s">
        <v>27</v>
      </c>
      <c r="K2407" s="45" t="s">
        <v>28</v>
      </c>
      <c r="L2407" s="44" t="s">
        <v>27</v>
      </c>
      <c r="M2407" s="45" t="s">
        <v>28</v>
      </c>
      <c r="N2407" s="44" t="s">
        <v>27</v>
      </c>
      <c r="O2407" s="45" t="s">
        <v>28</v>
      </c>
      <c r="P2407" s="44" t="s">
        <v>27</v>
      </c>
      <c r="Q2407" s="45" t="s">
        <v>28</v>
      </c>
      <c r="R2407" s="44" t="s">
        <v>27</v>
      </c>
      <c r="S2407" s="45" t="s">
        <v>28</v>
      </c>
      <c r="T2407" s="44" t="s">
        <v>27</v>
      </c>
      <c r="U2407" s="45" t="s">
        <v>28</v>
      </c>
      <c r="V2407" s="44" t="s">
        <v>27</v>
      </c>
      <c r="W2407" s="45" t="s">
        <v>28</v>
      </c>
      <c r="X2407" s="44" t="s">
        <v>27</v>
      </c>
      <c r="Y2407" s="45" t="s">
        <v>28</v>
      </c>
      <c r="Z2407" s="46"/>
      <c r="AA2407" s="46"/>
      <c r="AB2407" s="121" t="s">
        <v>29</v>
      </c>
      <c r="AC2407" s="122" t="s">
        <v>30</v>
      </c>
      <c r="AD2407" s="123" t="s">
        <v>31</v>
      </c>
      <c r="AE2407" s="121" t="s">
        <v>27</v>
      </c>
      <c r="AF2407" s="123" t="s">
        <v>28</v>
      </c>
      <c r="AG2407" s="1"/>
    </row>
    <row r="2408" ht="21.0" customHeight="1">
      <c r="A2408" s="1"/>
      <c r="B2408" s="48" t="s">
        <v>32</v>
      </c>
      <c r="C2408" s="49"/>
      <c r="D2408" s="50"/>
      <c r="E2408" s="51" t="s">
        <v>33</v>
      </c>
      <c r="F2408" s="52" t="s">
        <v>34</v>
      </c>
      <c r="G2408" s="53"/>
      <c r="H2408" s="148"/>
      <c r="I2408" s="55"/>
      <c r="J2408" s="58"/>
      <c r="K2408" s="59"/>
      <c r="L2408" s="58"/>
      <c r="M2408" s="59"/>
      <c r="N2408" s="58"/>
      <c r="O2408" s="59"/>
      <c r="P2408" s="58"/>
      <c r="Q2408" s="59"/>
      <c r="R2408" s="58"/>
      <c r="S2408" s="59"/>
      <c r="T2408" s="58"/>
      <c r="U2408" s="59"/>
      <c r="V2408" s="58"/>
      <c r="W2408" s="59"/>
      <c r="X2408" s="58"/>
      <c r="Y2408" s="59"/>
      <c r="Z2408" s="60" t="b">
        <v>0</v>
      </c>
      <c r="AA2408" s="125">
        <f t="shared" ref="AA2408:AA2416" si="961">(J2408*K2408+L2408*M2408+N2408*O2408+P2408*Q2408+R2408*S2408+T2408*U2408+V2408*W2408+X2408*Y2408)*if(Z2408=true,0.453592,1)</f>
        <v>0</v>
      </c>
      <c r="AB2408" s="126">
        <f t="shared" ref="AB2408:AB2416" si="962">SUM(AE2408*AF2408*0.025,AE2408)</f>
        <v>0</v>
      </c>
      <c r="AC2408" s="127">
        <f t="shared" ref="AC2408:AC2416" si="963">AB2408*87%</f>
        <v>0</v>
      </c>
      <c r="AD2408" s="128">
        <f t="shared" ref="AD2408:AD2416" si="964">AB2408*67%</f>
        <v>0</v>
      </c>
      <c r="AE2408" s="126">
        <f t="shared" ref="AE2408:AE2416" si="965">MAX(J2408,L2408,N2408,P2408,R2408,T2408,V2408,X2408)*if(Z2408=true,0.453592,1)</f>
        <v>0</v>
      </c>
      <c r="AF2408" s="128">
        <f t="shared" ref="AF2408:AF2416" si="966">MAX(IF(J2408*if(Z2408=true,0.453592,1)=$AE2408,K2408,0),IF(L2408*if(Z2408=true,0.453592,1)=$AE2408,M2408,0),IF(N2408*if(Z2408=true,0.453592,1)=$AE2408,O2408,0),IF(P2408*if(Z2408=true,0.453592,1)=$AE2408,Q2408,0),IF(R2408*if(Z2408=true,0.453592,1)=$AE2408,S2408,0),IF(T2408*if(Z2408=true,0.453592,1)=$AE2408,U2408,0),IF(V2408*if(Z2408=true,0.453592,1)=$AE2408,W2408,0),IF(X2408*if(Z2408=true,0.453592,1)=$AE2408,Y2408,0))</f>
        <v>0</v>
      </c>
      <c r="AG2408" s="1"/>
    </row>
    <row r="2409" ht="21.0" customHeight="1">
      <c r="A2409" s="1"/>
      <c r="B2409" s="48" t="s">
        <v>36</v>
      </c>
      <c r="C2409" s="49"/>
      <c r="D2409" s="65"/>
      <c r="E2409" s="66"/>
      <c r="F2409" s="52" t="s">
        <v>37</v>
      </c>
      <c r="G2409" s="67"/>
      <c r="H2409" s="129"/>
      <c r="I2409" s="69"/>
      <c r="J2409" s="72"/>
      <c r="K2409" s="73"/>
      <c r="L2409" s="72"/>
      <c r="M2409" s="73"/>
      <c r="N2409" s="72"/>
      <c r="O2409" s="73"/>
      <c r="P2409" s="72"/>
      <c r="Q2409" s="73"/>
      <c r="R2409" s="72"/>
      <c r="S2409" s="73"/>
      <c r="T2409" s="72"/>
      <c r="U2409" s="73"/>
      <c r="V2409" s="72"/>
      <c r="W2409" s="73"/>
      <c r="X2409" s="72"/>
      <c r="Y2409" s="73"/>
      <c r="Z2409" s="74" t="b">
        <v>0</v>
      </c>
      <c r="AA2409" s="130">
        <f t="shared" si="961"/>
        <v>0</v>
      </c>
      <c r="AB2409" s="131">
        <f t="shared" si="962"/>
        <v>0</v>
      </c>
      <c r="AC2409" s="132">
        <f t="shared" si="963"/>
        <v>0</v>
      </c>
      <c r="AD2409" s="133">
        <f t="shared" si="964"/>
        <v>0</v>
      </c>
      <c r="AE2409" s="131">
        <f t="shared" si="965"/>
        <v>0</v>
      </c>
      <c r="AF2409" s="133">
        <f t="shared" si="966"/>
        <v>0</v>
      </c>
      <c r="AG2409" s="1"/>
    </row>
    <row r="2410" ht="21.0" customHeight="1">
      <c r="A2410" s="1"/>
      <c r="B2410" s="48" t="s">
        <v>39</v>
      </c>
      <c r="C2410" s="49"/>
      <c r="D2410" s="65"/>
      <c r="E2410" s="41"/>
      <c r="F2410" s="52" t="s">
        <v>40</v>
      </c>
      <c r="G2410" s="79"/>
      <c r="H2410" s="80"/>
      <c r="I2410" s="69"/>
      <c r="J2410" s="72"/>
      <c r="K2410" s="73"/>
      <c r="L2410" s="72"/>
      <c r="M2410" s="73"/>
      <c r="N2410" s="72"/>
      <c r="O2410" s="73"/>
      <c r="P2410" s="72"/>
      <c r="Q2410" s="73"/>
      <c r="R2410" s="72"/>
      <c r="S2410" s="73"/>
      <c r="T2410" s="72"/>
      <c r="U2410" s="73"/>
      <c r="V2410" s="72"/>
      <c r="W2410" s="73"/>
      <c r="X2410" s="72"/>
      <c r="Y2410" s="73"/>
      <c r="Z2410" s="74" t="b">
        <v>0</v>
      </c>
      <c r="AA2410" s="130">
        <f t="shared" si="961"/>
        <v>0</v>
      </c>
      <c r="AB2410" s="131">
        <f t="shared" si="962"/>
        <v>0</v>
      </c>
      <c r="AC2410" s="132">
        <f t="shared" si="963"/>
        <v>0</v>
      </c>
      <c r="AD2410" s="133">
        <f t="shared" si="964"/>
        <v>0</v>
      </c>
      <c r="AE2410" s="131">
        <f t="shared" si="965"/>
        <v>0</v>
      </c>
      <c r="AF2410" s="133">
        <f t="shared" si="966"/>
        <v>0</v>
      </c>
      <c r="AG2410" s="1"/>
    </row>
    <row r="2411" ht="21.0" customHeight="1">
      <c r="A2411" s="1"/>
      <c r="B2411" s="48" t="s">
        <v>41</v>
      </c>
      <c r="C2411" s="81"/>
      <c r="D2411" s="82" t="b">
        <v>0</v>
      </c>
      <c r="E2411" s="51" t="s">
        <v>42</v>
      </c>
      <c r="F2411" s="52" t="s">
        <v>34</v>
      </c>
      <c r="G2411" s="83"/>
      <c r="H2411" s="84"/>
      <c r="I2411" s="85"/>
      <c r="J2411" s="72"/>
      <c r="K2411" s="73"/>
      <c r="L2411" s="72"/>
      <c r="M2411" s="73"/>
      <c r="N2411" s="72"/>
      <c r="O2411" s="73"/>
      <c r="P2411" s="72"/>
      <c r="Q2411" s="73"/>
      <c r="R2411" s="72"/>
      <c r="S2411" s="73"/>
      <c r="T2411" s="72"/>
      <c r="U2411" s="73"/>
      <c r="V2411" s="72"/>
      <c r="W2411" s="73"/>
      <c r="X2411" s="72"/>
      <c r="Y2411" s="73"/>
      <c r="Z2411" s="74" t="b">
        <v>0</v>
      </c>
      <c r="AA2411" s="130">
        <f t="shared" si="961"/>
        <v>0</v>
      </c>
      <c r="AB2411" s="131">
        <f t="shared" si="962"/>
        <v>0</v>
      </c>
      <c r="AC2411" s="132">
        <f t="shared" si="963"/>
        <v>0</v>
      </c>
      <c r="AD2411" s="133">
        <f t="shared" si="964"/>
        <v>0</v>
      </c>
      <c r="AE2411" s="131">
        <f t="shared" si="965"/>
        <v>0</v>
      </c>
      <c r="AF2411" s="133">
        <f t="shared" si="966"/>
        <v>0</v>
      </c>
      <c r="AG2411" s="1"/>
    </row>
    <row r="2412" ht="21.0" customHeight="1">
      <c r="A2412" s="1"/>
      <c r="B2412" s="48" t="s">
        <v>43</v>
      </c>
      <c r="C2412" s="49"/>
      <c r="D2412" s="86" t="b">
        <v>0</v>
      </c>
      <c r="E2412" s="66"/>
      <c r="F2412" s="52" t="s">
        <v>37</v>
      </c>
      <c r="G2412" s="67"/>
      <c r="H2412" s="80"/>
      <c r="I2412" s="69"/>
      <c r="J2412" s="72"/>
      <c r="K2412" s="73"/>
      <c r="L2412" s="72"/>
      <c r="M2412" s="73"/>
      <c r="N2412" s="72"/>
      <c r="O2412" s="73"/>
      <c r="P2412" s="72"/>
      <c r="Q2412" s="73"/>
      <c r="R2412" s="72"/>
      <c r="S2412" s="73"/>
      <c r="T2412" s="72"/>
      <c r="U2412" s="73"/>
      <c r="V2412" s="72"/>
      <c r="W2412" s="73"/>
      <c r="X2412" s="72"/>
      <c r="Y2412" s="73"/>
      <c r="Z2412" s="74" t="b">
        <v>0</v>
      </c>
      <c r="AA2412" s="130">
        <f t="shared" si="961"/>
        <v>0</v>
      </c>
      <c r="AB2412" s="131">
        <f t="shared" si="962"/>
        <v>0</v>
      </c>
      <c r="AC2412" s="132">
        <f t="shared" si="963"/>
        <v>0</v>
      </c>
      <c r="AD2412" s="133">
        <f t="shared" si="964"/>
        <v>0</v>
      </c>
      <c r="AE2412" s="131">
        <f t="shared" si="965"/>
        <v>0</v>
      </c>
      <c r="AF2412" s="133">
        <f t="shared" si="966"/>
        <v>0</v>
      </c>
      <c r="AG2412" s="1"/>
    </row>
    <row r="2413" ht="21.0" customHeight="1">
      <c r="A2413" s="1"/>
      <c r="B2413" s="87" t="str">
        <f t="array" ref="B2413">"📌최근 인바디 결과 : "&amp;text(xlookup(B2405,'현황'!O:O,'현황'!O:O,,-1,-1),"m/d(ddd)")</f>
        <v>#REF!</v>
      </c>
      <c r="C2413" s="88"/>
      <c r="D2413" s="49"/>
      <c r="E2413" s="41"/>
      <c r="F2413" s="52" t="s">
        <v>40</v>
      </c>
      <c r="G2413" s="79"/>
      <c r="H2413" s="80"/>
      <c r="I2413" s="69"/>
      <c r="J2413" s="72"/>
      <c r="K2413" s="73"/>
      <c r="L2413" s="72"/>
      <c r="M2413" s="73"/>
      <c r="N2413" s="72"/>
      <c r="O2413" s="73"/>
      <c r="P2413" s="72"/>
      <c r="Q2413" s="73"/>
      <c r="R2413" s="72"/>
      <c r="S2413" s="73"/>
      <c r="T2413" s="72"/>
      <c r="U2413" s="73"/>
      <c r="V2413" s="72"/>
      <c r="W2413" s="73"/>
      <c r="X2413" s="72"/>
      <c r="Y2413" s="73"/>
      <c r="Z2413" s="74" t="b">
        <v>0</v>
      </c>
      <c r="AA2413" s="130">
        <f t="shared" si="961"/>
        <v>0</v>
      </c>
      <c r="AB2413" s="131">
        <f t="shared" si="962"/>
        <v>0</v>
      </c>
      <c r="AC2413" s="132">
        <f t="shared" si="963"/>
        <v>0</v>
      </c>
      <c r="AD2413" s="133">
        <f t="shared" si="964"/>
        <v>0</v>
      </c>
      <c r="AE2413" s="131">
        <f t="shared" si="965"/>
        <v>0</v>
      </c>
      <c r="AF2413" s="133">
        <f t="shared" si="966"/>
        <v>0</v>
      </c>
      <c r="AG2413" s="1"/>
    </row>
    <row r="2414" ht="21.0" customHeight="1">
      <c r="A2414" s="1"/>
      <c r="B2414" s="89" t="s">
        <v>44</v>
      </c>
      <c r="C2414" s="49"/>
      <c r="D2414" s="90">
        <f t="array" ref="D2414">iferror(vlookup(xlookup(B2405,'현황'!O:O,'현황'!O:O,,-1,-1),'현황'!O:S,2,false),0)</f>
        <v>0</v>
      </c>
      <c r="E2414" s="51" t="s">
        <v>45</v>
      </c>
      <c r="F2414" s="52" t="s">
        <v>34</v>
      </c>
      <c r="G2414" s="83"/>
      <c r="H2414" s="84"/>
      <c r="I2414" s="85"/>
      <c r="J2414" s="72"/>
      <c r="K2414" s="73"/>
      <c r="L2414" s="72"/>
      <c r="M2414" s="73"/>
      <c r="N2414" s="72"/>
      <c r="O2414" s="73"/>
      <c r="P2414" s="72"/>
      <c r="Q2414" s="73"/>
      <c r="R2414" s="72"/>
      <c r="S2414" s="73"/>
      <c r="T2414" s="72"/>
      <c r="U2414" s="73"/>
      <c r="V2414" s="72"/>
      <c r="W2414" s="73"/>
      <c r="X2414" s="72"/>
      <c r="Y2414" s="73"/>
      <c r="Z2414" s="74" t="b">
        <v>0</v>
      </c>
      <c r="AA2414" s="130">
        <f t="shared" si="961"/>
        <v>0</v>
      </c>
      <c r="AB2414" s="131">
        <f t="shared" si="962"/>
        <v>0</v>
      </c>
      <c r="AC2414" s="132">
        <f t="shared" si="963"/>
        <v>0</v>
      </c>
      <c r="AD2414" s="133">
        <f t="shared" si="964"/>
        <v>0</v>
      </c>
      <c r="AE2414" s="131">
        <f t="shared" si="965"/>
        <v>0</v>
      </c>
      <c r="AF2414" s="133">
        <f t="shared" si="966"/>
        <v>0</v>
      </c>
      <c r="AG2414" s="1"/>
    </row>
    <row r="2415" ht="21.0" customHeight="1">
      <c r="A2415" s="1"/>
      <c r="B2415" s="48" t="s">
        <v>46</v>
      </c>
      <c r="C2415" s="49"/>
      <c r="D2415" s="91">
        <f t="array" ref="D2415">iferror(vlookup(xlookup(B2405,'현황'!O:O,'현황'!O:O,,-1,-1),'현황'!O:S,3,false),0)</f>
        <v>0</v>
      </c>
      <c r="E2415" s="66"/>
      <c r="F2415" s="52" t="s">
        <v>37</v>
      </c>
      <c r="G2415" s="67"/>
      <c r="H2415" s="80"/>
      <c r="I2415" s="69"/>
      <c r="J2415" s="72"/>
      <c r="K2415" s="73"/>
      <c r="L2415" s="72"/>
      <c r="M2415" s="73"/>
      <c r="N2415" s="72"/>
      <c r="O2415" s="73"/>
      <c r="P2415" s="72"/>
      <c r="Q2415" s="73"/>
      <c r="R2415" s="72"/>
      <c r="S2415" s="73"/>
      <c r="T2415" s="72"/>
      <c r="U2415" s="73"/>
      <c r="V2415" s="72"/>
      <c r="W2415" s="73"/>
      <c r="X2415" s="72"/>
      <c r="Y2415" s="73"/>
      <c r="Z2415" s="74" t="b">
        <v>0</v>
      </c>
      <c r="AA2415" s="130">
        <f t="shared" si="961"/>
        <v>0</v>
      </c>
      <c r="AB2415" s="131">
        <f t="shared" si="962"/>
        <v>0</v>
      </c>
      <c r="AC2415" s="132">
        <f t="shared" si="963"/>
        <v>0</v>
      </c>
      <c r="AD2415" s="133">
        <f t="shared" si="964"/>
        <v>0</v>
      </c>
      <c r="AE2415" s="131">
        <f t="shared" si="965"/>
        <v>0</v>
      </c>
      <c r="AF2415" s="133">
        <f t="shared" si="966"/>
        <v>0</v>
      </c>
      <c r="AG2415" s="1"/>
    </row>
    <row r="2416" ht="21.0" customHeight="1">
      <c r="A2416" s="1"/>
      <c r="B2416" s="48" t="s">
        <v>47</v>
      </c>
      <c r="C2416" s="49"/>
      <c r="D2416" s="91">
        <f t="array" ref="D2416">iferror(vlookup(xlookup(B2405,'현황'!O:O,'현황'!O:O,,-1,-1),'현황'!O:S,4,false),0)</f>
        <v>0</v>
      </c>
      <c r="E2416" s="41"/>
      <c r="F2416" s="92" t="s">
        <v>40</v>
      </c>
      <c r="G2416" s="79"/>
      <c r="H2416" s="93"/>
      <c r="I2416" s="94"/>
      <c r="J2416" s="95"/>
      <c r="K2416" s="96"/>
      <c r="L2416" s="95"/>
      <c r="M2416" s="96"/>
      <c r="N2416" s="95"/>
      <c r="O2416" s="96"/>
      <c r="P2416" s="95"/>
      <c r="Q2416" s="96"/>
      <c r="R2416" s="95"/>
      <c r="S2416" s="96"/>
      <c r="T2416" s="95"/>
      <c r="U2416" s="96"/>
      <c r="V2416" s="95"/>
      <c r="W2416" s="96"/>
      <c r="X2416" s="95"/>
      <c r="Y2416" s="96"/>
      <c r="Z2416" s="97" t="b">
        <v>0</v>
      </c>
      <c r="AA2416" s="135">
        <f t="shared" si="961"/>
        <v>0</v>
      </c>
      <c r="AB2416" s="136">
        <f t="shared" si="962"/>
        <v>0</v>
      </c>
      <c r="AC2416" s="137">
        <f t="shared" si="963"/>
        <v>0</v>
      </c>
      <c r="AD2416" s="138">
        <f t="shared" si="964"/>
        <v>0</v>
      </c>
      <c r="AE2416" s="136">
        <f t="shared" si="965"/>
        <v>0</v>
      </c>
      <c r="AF2416" s="138">
        <f t="shared" si="966"/>
        <v>0</v>
      </c>
      <c r="AG2416" s="1"/>
    </row>
    <row r="2417" ht="21.0" customHeight="1">
      <c r="A2417" s="1"/>
      <c r="B2417" s="102" t="s">
        <v>48</v>
      </c>
      <c r="C2417" s="103"/>
      <c r="D2417" s="104">
        <f>iferror(D2416/D2414,0)</f>
        <v>0</v>
      </c>
      <c r="E2417" s="102" t="s">
        <v>49</v>
      </c>
      <c r="F2417" s="103"/>
      <c r="G2417" s="105"/>
      <c r="H2417" s="106" t="s">
        <v>50</v>
      </c>
      <c r="I2417" s="107"/>
      <c r="J2417" s="11"/>
      <c r="K2417" s="11"/>
      <c r="L2417" s="11"/>
      <c r="M2417" s="11"/>
      <c r="N2417" s="11"/>
      <c r="O2417" s="11"/>
      <c r="P2417" s="108" t="s">
        <v>51</v>
      </c>
      <c r="Q2417" s="12"/>
      <c r="R2417" s="109"/>
      <c r="S2417" s="11"/>
      <c r="T2417" s="11"/>
      <c r="U2417" s="11"/>
      <c r="V2417" s="11"/>
      <c r="W2417" s="11"/>
      <c r="X2417" s="11"/>
      <c r="Y2417" s="11"/>
      <c r="Z2417" s="12"/>
      <c r="AA2417" s="139">
        <f>SUM(AA2408:AA2416)</f>
        <v>0</v>
      </c>
      <c r="AB2417" s="140" t="s">
        <v>419</v>
      </c>
      <c r="AG2417" s="1"/>
    </row>
    <row r="2418" ht="21.0" customHeight="1">
      <c r="A2418" s="1"/>
      <c r="B2418" s="1"/>
      <c r="C2418" s="1"/>
      <c r="D2418" s="1"/>
      <c r="E2418" s="1"/>
      <c r="F2418" s="1"/>
      <c r="G2418" s="1"/>
      <c r="H2418" s="1"/>
      <c r="I2418" s="1"/>
      <c r="AA2418" s="1"/>
      <c r="AB2418" s="1"/>
      <c r="AC2418" s="3"/>
      <c r="AD2418" s="1"/>
      <c r="AE2418" s="1"/>
      <c r="AF2418" s="1"/>
      <c r="AG2418" s="1"/>
    </row>
    <row r="2419" ht="21.0" customHeight="1">
      <c r="A2419" s="1"/>
      <c r="B2419" s="4" t="s">
        <v>1</v>
      </c>
      <c r="C2419" s="5"/>
      <c r="D2419" s="6" t="s">
        <v>2</v>
      </c>
      <c r="E2419" s="7"/>
      <c r="F2419" s="7"/>
      <c r="G2419" s="5"/>
      <c r="H2419" s="8" t="s">
        <v>3</v>
      </c>
      <c r="I2419" s="8" t="s">
        <v>4</v>
      </c>
      <c r="J2419" s="9" t="s">
        <v>5</v>
      </c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5"/>
      <c r="AA2419" s="117" t="s">
        <v>6</v>
      </c>
      <c r="AB2419" s="11"/>
      <c r="AC2419" s="11"/>
      <c r="AD2419" s="11"/>
      <c r="AE2419" s="11"/>
      <c r="AF2419" s="12"/>
      <c r="AG2419" s="1"/>
    </row>
    <row r="2420" ht="21.0" customHeight="1">
      <c r="A2420" s="1"/>
      <c r="B2420" s="149" t="s">
        <v>138</v>
      </c>
      <c r="C2420" s="14" t="str">
        <f>if(B2420="0/0","",choose(weekday(B2420),"(일)","(월)","(화)","(수)","(목)","(금)","(토)"))</f>
        <v/>
      </c>
      <c r="D2420" s="15" t="s">
        <v>7</v>
      </c>
      <c r="E2420" s="16" t="s">
        <v>8</v>
      </c>
      <c r="F2420" s="17"/>
      <c r="G2420" s="18" t="s">
        <v>9</v>
      </c>
      <c r="H2420" s="150" t="s">
        <v>139</v>
      </c>
      <c r="I2420" s="151"/>
      <c r="J2420" s="21" t="s">
        <v>12</v>
      </c>
      <c r="K2420" s="22"/>
      <c r="L2420" s="21" t="s">
        <v>13</v>
      </c>
      <c r="M2420" s="22"/>
      <c r="N2420" s="21" t="s">
        <v>14</v>
      </c>
      <c r="O2420" s="22"/>
      <c r="P2420" s="21" t="s">
        <v>15</v>
      </c>
      <c r="Q2420" s="22"/>
      <c r="R2420" s="23" t="s">
        <v>16</v>
      </c>
      <c r="S2420" s="22"/>
      <c r="T2420" s="23" t="s">
        <v>17</v>
      </c>
      <c r="U2420" s="22"/>
      <c r="V2420" s="23" t="s">
        <v>18</v>
      </c>
      <c r="W2420" s="22"/>
      <c r="X2420" s="23" t="s">
        <v>19</v>
      </c>
      <c r="Y2420" s="22"/>
      <c r="Z2420" s="24" t="s">
        <v>420</v>
      </c>
      <c r="AA2420" s="118" t="s">
        <v>21</v>
      </c>
      <c r="AB2420" s="119" t="s">
        <v>22</v>
      </c>
      <c r="AC2420" s="7"/>
      <c r="AD2420" s="22"/>
      <c r="AE2420" s="120" t="s">
        <v>23</v>
      </c>
      <c r="AF2420" s="22"/>
      <c r="AG2420" s="1"/>
    </row>
    <row r="2421" ht="21.0" customHeight="1">
      <c r="A2421" s="1"/>
      <c r="B2421" s="27">
        <f>iferror(B2420-'현황'!$C$4+1,0)</f>
        <v>0</v>
      </c>
      <c r="C2421" s="28"/>
      <c r="D2421" s="29">
        <v>0.0</v>
      </c>
      <c r="E2421" s="30">
        <v>0.0</v>
      </c>
      <c r="F2421" s="31"/>
      <c r="G2421" s="32">
        <v>0.0</v>
      </c>
      <c r="H2421" s="33">
        <v>0.0</v>
      </c>
      <c r="I2421" s="34"/>
      <c r="J2421" s="35"/>
      <c r="K2421" s="36"/>
      <c r="L2421" s="35"/>
      <c r="M2421" s="36"/>
      <c r="N2421" s="35"/>
      <c r="O2421" s="36"/>
      <c r="P2421" s="35"/>
      <c r="Q2421" s="36"/>
      <c r="R2421" s="35"/>
      <c r="S2421" s="36"/>
      <c r="T2421" s="35"/>
      <c r="U2421" s="36"/>
      <c r="V2421" s="35"/>
      <c r="W2421" s="36"/>
      <c r="X2421" s="35"/>
      <c r="Y2421" s="36"/>
      <c r="Z2421" s="37"/>
      <c r="AA2421" s="37"/>
      <c r="AB2421" s="35"/>
      <c r="AC2421" s="38"/>
      <c r="AD2421" s="36"/>
      <c r="AE2421" s="35"/>
      <c r="AF2421" s="36"/>
      <c r="AG2421" s="1"/>
    </row>
    <row r="2422" ht="21.0" customHeight="1">
      <c r="A2422" s="1"/>
      <c r="B2422" s="39" t="s">
        <v>24</v>
      </c>
      <c r="C2422" s="40"/>
      <c r="D2422" s="41"/>
      <c r="E2422" s="42" t="s">
        <v>25</v>
      </c>
      <c r="F2422" s="40"/>
      <c r="G2422" s="41"/>
      <c r="H2422" s="43" t="s">
        <v>26</v>
      </c>
      <c r="J2422" s="44" t="s">
        <v>27</v>
      </c>
      <c r="K2422" s="45" t="s">
        <v>28</v>
      </c>
      <c r="L2422" s="44" t="s">
        <v>27</v>
      </c>
      <c r="M2422" s="45" t="s">
        <v>28</v>
      </c>
      <c r="N2422" s="44" t="s">
        <v>27</v>
      </c>
      <c r="O2422" s="45" t="s">
        <v>28</v>
      </c>
      <c r="P2422" s="44" t="s">
        <v>27</v>
      </c>
      <c r="Q2422" s="45" t="s">
        <v>28</v>
      </c>
      <c r="R2422" s="44" t="s">
        <v>27</v>
      </c>
      <c r="S2422" s="45" t="s">
        <v>28</v>
      </c>
      <c r="T2422" s="44" t="s">
        <v>27</v>
      </c>
      <c r="U2422" s="45" t="s">
        <v>28</v>
      </c>
      <c r="V2422" s="44" t="s">
        <v>27</v>
      </c>
      <c r="W2422" s="45" t="s">
        <v>28</v>
      </c>
      <c r="X2422" s="44" t="s">
        <v>27</v>
      </c>
      <c r="Y2422" s="45" t="s">
        <v>28</v>
      </c>
      <c r="Z2422" s="46"/>
      <c r="AA2422" s="46"/>
      <c r="AB2422" s="121" t="s">
        <v>29</v>
      </c>
      <c r="AC2422" s="122" t="s">
        <v>30</v>
      </c>
      <c r="AD2422" s="123" t="s">
        <v>31</v>
      </c>
      <c r="AE2422" s="121" t="s">
        <v>27</v>
      </c>
      <c r="AF2422" s="123" t="s">
        <v>28</v>
      </c>
      <c r="AG2422" s="1"/>
    </row>
    <row r="2423" ht="21.0" customHeight="1">
      <c r="A2423" s="1"/>
      <c r="B2423" s="48" t="s">
        <v>32</v>
      </c>
      <c r="C2423" s="49"/>
      <c r="D2423" s="50"/>
      <c r="E2423" s="51" t="s">
        <v>33</v>
      </c>
      <c r="F2423" s="52" t="s">
        <v>34</v>
      </c>
      <c r="G2423" s="53"/>
      <c r="H2423" s="148"/>
      <c r="I2423" s="55"/>
      <c r="J2423" s="58"/>
      <c r="K2423" s="59"/>
      <c r="L2423" s="58"/>
      <c r="M2423" s="59"/>
      <c r="N2423" s="58"/>
      <c r="O2423" s="59"/>
      <c r="P2423" s="58"/>
      <c r="Q2423" s="59"/>
      <c r="R2423" s="58"/>
      <c r="S2423" s="59"/>
      <c r="T2423" s="58"/>
      <c r="U2423" s="59"/>
      <c r="V2423" s="58"/>
      <c r="W2423" s="59"/>
      <c r="X2423" s="58"/>
      <c r="Y2423" s="59"/>
      <c r="Z2423" s="60" t="b">
        <v>0</v>
      </c>
      <c r="AA2423" s="125">
        <f t="shared" ref="AA2423:AA2431" si="967">(J2423*K2423+L2423*M2423+N2423*O2423+P2423*Q2423+R2423*S2423+T2423*U2423+V2423*W2423+X2423*Y2423)*if(Z2423=true,0.453592,1)</f>
        <v>0</v>
      </c>
      <c r="AB2423" s="126">
        <f t="shared" ref="AB2423:AB2431" si="968">SUM(AE2423*AF2423*0.025,AE2423)</f>
        <v>0</v>
      </c>
      <c r="AC2423" s="127">
        <f t="shared" ref="AC2423:AC2431" si="969">AB2423*87%</f>
        <v>0</v>
      </c>
      <c r="AD2423" s="128">
        <f t="shared" ref="AD2423:AD2431" si="970">AB2423*67%</f>
        <v>0</v>
      </c>
      <c r="AE2423" s="126">
        <f t="shared" ref="AE2423:AE2431" si="971">MAX(J2423,L2423,N2423,P2423,R2423,T2423,V2423,X2423)*if(Z2423=true,0.453592,1)</f>
        <v>0</v>
      </c>
      <c r="AF2423" s="128">
        <f t="shared" ref="AF2423:AF2431" si="972">MAX(IF(J2423*if(Z2423=true,0.453592,1)=$AE2423,K2423,0),IF(L2423*if(Z2423=true,0.453592,1)=$AE2423,M2423,0),IF(N2423*if(Z2423=true,0.453592,1)=$AE2423,O2423,0),IF(P2423*if(Z2423=true,0.453592,1)=$AE2423,Q2423,0),IF(R2423*if(Z2423=true,0.453592,1)=$AE2423,S2423,0),IF(T2423*if(Z2423=true,0.453592,1)=$AE2423,U2423,0),IF(V2423*if(Z2423=true,0.453592,1)=$AE2423,W2423,0),IF(X2423*if(Z2423=true,0.453592,1)=$AE2423,Y2423,0))</f>
        <v>0</v>
      </c>
      <c r="AG2423" s="1"/>
    </row>
    <row r="2424" ht="21.0" customHeight="1">
      <c r="A2424" s="1"/>
      <c r="B2424" s="48" t="s">
        <v>36</v>
      </c>
      <c r="C2424" s="49"/>
      <c r="D2424" s="65"/>
      <c r="E2424" s="66"/>
      <c r="F2424" s="52" t="s">
        <v>37</v>
      </c>
      <c r="G2424" s="67"/>
      <c r="H2424" s="129"/>
      <c r="I2424" s="69"/>
      <c r="J2424" s="72"/>
      <c r="K2424" s="73"/>
      <c r="L2424" s="72"/>
      <c r="M2424" s="73"/>
      <c r="N2424" s="72"/>
      <c r="O2424" s="73"/>
      <c r="P2424" s="72"/>
      <c r="Q2424" s="73"/>
      <c r="R2424" s="72"/>
      <c r="S2424" s="73"/>
      <c r="T2424" s="72"/>
      <c r="U2424" s="73"/>
      <c r="V2424" s="72"/>
      <c r="W2424" s="73"/>
      <c r="X2424" s="72"/>
      <c r="Y2424" s="73"/>
      <c r="Z2424" s="74" t="b">
        <v>0</v>
      </c>
      <c r="AA2424" s="130">
        <f t="shared" si="967"/>
        <v>0</v>
      </c>
      <c r="AB2424" s="131">
        <f t="shared" si="968"/>
        <v>0</v>
      </c>
      <c r="AC2424" s="132">
        <f t="shared" si="969"/>
        <v>0</v>
      </c>
      <c r="AD2424" s="133">
        <f t="shared" si="970"/>
        <v>0</v>
      </c>
      <c r="AE2424" s="131">
        <f t="shared" si="971"/>
        <v>0</v>
      </c>
      <c r="AF2424" s="133">
        <f t="shared" si="972"/>
        <v>0</v>
      </c>
      <c r="AG2424" s="1"/>
    </row>
    <row r="2425" ht="21.0" customHeight="1">
      <c r="A2425" s="1"/>
      <c r="B2425" s="48" t="s">
        <v>39</v>
      </c>
      <c r="C2425" s="49"/>
      <c r="D2425" s="65"/>
      <c r="E2425" s="41"/>
      <c r="F2425" s="52" t="s">
        <v>40</v>
      </c>
      <c r="G2425" s="79"/>
      <c r="H2425" s="80"/>
      <c r="I2425" s="69"/>
      <c r="J2425" s="72"/>
      <c r="K2425" s="73"/>
      <c r="L2425" s="72"/>
      <c r="M2425" s="73"/>
      <c r="N2425" s="72"/>
      <c r="O2425" s="73"/>
      <c r="P2425" s="72"/>
      <c r="Q2425" s="73"/>
      <c r="R2425" s="72"/>
      <c r="S2425" s="73"/>
      <c r="T2425" s="72"/>
      <c r="U2425" s="73"/>
      <c r="V2425" s="72"/>
      <c r="W2425" s="73"/>
      <c r="X2425" s="72"/>
      <c r="Y2425" s="73"/>
      <c r="Z2425" s="74" t="b">
        <v>0</v>
      </c>
      <c r="AA2425" s="130">
        <f t="shared" si="967"/>
        <v>0</v>
      </c>
      <c r="AB2425" s="131">
        <f t="shared" si="968"/>
        <v>0</v>
      </c>
      <c r="AC2425" s="132">
        <f t="shared" si="969"/>
        <v>0</v>
      </c>
      <c r="AD2425" s="133">
        <f t="shared" si="970"/>
        <v>0</v>
      </c>
      <c r="AE2425" s="131">
        <f t="shared" si="971"/>
        <v>0</v>
      </c>
      <c r="AF2425" s="133">
        <f t="shared" si="972"/>
        <v>0</v>
      </c>
      <c r="AG2425" s="1"/>
    </row>
    <row r="2426" ht="21.0" customHeight="1">
      <c r="A2426" s="1"/>
      <c r="B2426" s="48" t="s">
        <v>41</v>
      </c>
      <c r="C2426" s="81"/>
      <c r="D2426" s="82" t="b">
        <v>0</v>
      </c>
      <c r="E2426" s="51" t="s">
        <v>42</v>
      </c>
      <c r="F2426" s="52" t="s">
        <v>34</v>
      </c>
      <c r="G2426" s="83"/>
      <c r="H2426" s="84"/>
      <c r="I2426" s="85"/>
      <c r="J2426" s="72"/>
      <c r="K2426" s="73"/>
      <c r="L2426" s="72"/>
      <c r="M2426" s="73"/>
      <c r="N2426" s="72"/>
      <c r="O2426" s="73"/>
      <c r="P2426" s="72"/>
      <c r="Q2426" s="73"/>
      <c r="R2426" s="72"/>
      <c r="S2426" s="73"/>
      <c r="T2426" s="72"/>
      <c r="U2426" s="73"/>
      <c r="V2426" s="72"/>
      <c r="W2426" s="73"/>
      <c r="X2426" s="72"/>
      <c r="Y2426" s="73"/>
      <c r="Z2426" s="74" t="b">
        <v>0</v>
      </c>
      <c r="AA2426" s="130">
        <f t="shared" si="967"/>
        <v>0</v>
      </c>
      <c r="AB2426" s="131">
        <f t="shared" si="968"/>
        <v>0</v>
      </c>
      <c r="AC2426" s="132">
        <f t="shared" si="969"/>
        <v>0</v>
      </c>
      <c r="AD2426" s="133">
        <f t="shared" si="970"/>
        <v>0</v>
      </c>
      <c r="AE2426" s="131">
        <f t="shared" si="971"/>
        <v>0</v>
      </c>
      <c r="AF2426" s="133">
        <f t="shared" si="972"/>
        <v>0</v>
      </c>
      <c r="AG2426" s="1"/>
    </row>
    <row r="2427" ht="21.0" customHeight="1">
      <c r="A2427" s="1"/>
      <c r="B2427" s="48" t="s">
        <v>43</v>
      </c>
      <c r="C2427" s="49"/>
      <c r="D2427" s="86" t="b">
        <v>0</v>
      </c>
      <c r="E2427" s="66"/>
      <c r="F2427" s="52" t="s">
        <v>37</v>
      </c>
      <c r="G2427" s="67"/>
      <c r="H2427" s="80"/>
      <c r="I2427" s="69"/>
      <c r="J2427" s="72"/>
      <c r="K2427" s="73"/>
      <c r="L2427" s="72"/>
      <c r="M2427" s="73"/>
      <c r="N2427" s="72"/>
      <c r="O2427" s="73"/>
      <c r="P2427" s="72"/>
      <c r="Q2427" s="73"/>
      <c r="R2427" s="72"/>
      <c r="S2427" s="73"/>
      <c r="T2427" s="72"/>
      <c r="U2427" s="73"/>
      <c r="V2427" s="72"/>
      <c r="W2427" s="73"/>
      <c r="X2427" s="72"/>
      <c r="Y2427" s="73"/>
      <c r="Z2427" s="74" t="b">
        <v>0</v>
      </c>
      <c r="AA2427" s="130">
        <f t="shared" si="967"/>
        <v>0</v>
      </c>
      <c r="AB2427" s="131">
        <f t="shared" si="968"/>
        <v>0</v>
      </c>
      <c r="AC2427" s="132">
        <f t="shared" si="969"/>
        <v>0</v>
      </c>
      <c r="AD2427" s="133">
        <f t="shared" si="970"/>
        <v>0</v>
      </c>
      <c r="AE2427" s="131">
        <f t="shared" si="971"/>
        <v>0</v>
      </c>
      <c r="AF2427" s="133">
        <f t="shared" si="972"/>
        <v>0</v>
      </c>
      <c r="AG2427" s="1"/>
    </row>
    <row r="2428" ht="21.0" customHeight="1">
      <c r="A2428" s="1"/>
      <c r="B2428" s="87" t="str">
        <f t="array" ref="B2428">"📌최근 인바디 결과 : "&amp;text(xlookup(B2420,'현황'!O:O,'현황'!O:O,,-1,-1),"m/d(ddd)")</f>
        <v>#REF!</v>
      </c>
      <c r="C2428" s="88"/>
      <c r="D2428" s="49"/>
      <c r="E2428" s="41"/>
      <c r="F2428" s="52" t="s">
        <v>40</v>
      </c>
      <c r="G2428" s="79"/>
      <c r="H2428" s="80"/>
      <c r="I2428" s="69"/>
      <c r="J2428" s="72"/>
      <c r="K2428" s="73"/>
      <c r="L2428" s="72"/>
      <c r="M2428" s="73"/>
      <c r="N2428" s="72"/>
      <c r="O2428" s="73"/>
      <c r="P2428" s="72"/>
      <c r="Q2428" s="73"/>
      <c r="R2428" s="72"/>
      <c r="S2428" s="73"/>
      <c r="T2428" s="72"/>
      <c r="U2428" s="73"/>
      <c r="V2428" s="72"/>
      <c r="W2428" s="73"/>
      <c r="X2428" s="72"/>
      <c r="Y2428" s="73"/>
      <c r="Z2428" s="74" t="b">
        <v>0</v>
      </c>
      <c r="AA2428" s="130">
        <f t="shared" si="967"/>
        <v>0</v>
      </c>
      <c r="AB2428" s="131">
        <f t="shared" si="968"/>
        <v>0</v>
      </c>
      <c r="AC2428" s="132">
        <f t="shared" si="969"/>
        <v>0</v>
      </c>
      <c r="AD2428" s="133">
        <f t="shared" si="970"/>
        <v>0</v>
      </c>
      <c r="AE2428" s="131">
        <f t="shared" si="971"/>
        <v>0</v>
      </c>
      <c r="AF2428" s="133">
        <f t="shared" si="972"/>
        <v>0</v>
      </c>
      <c r="AG2428" s="1"/>
    </row>
    <row r="2429" ht="21.0" customHeight="1">
      <c r="A2429" s="1"/>
      <c r="B2429" s="89" t="s">
        <v>44</v>
      </c>
      <c r="C2429" s="49"/>
      <c r="D2429" s="90">
        <f t="array" ref="D2429">iferror(vlookup(xlookup(B2420,'현황'!O:O,'현황'!O:O,,-1,-1),'현황'!O:S,2,false),0)</f>
        <v>0</v>
      </c>
      <c r="E2429" s="51" t="s">
        <v>45</v>
      </c>
      <c r="F2429" s="52" t="s">
        <v>34</v>
      </c>
      <c r="G2429" s="83"/>
      <c r="H2429" s="84"/>
      <c r="I2429" s="85"/>
      <c r="J2429" s="72"/>
      <c r="K2429" s="73"/>
      <c r="L2429" s="72"/>
      <c r="M2429" s="73"/>
      <c r="N2429" s="72"/>
      <c r="O2429" s="73"/>
      <c r="P2429" s="72"/>
      <c r="Q2429" s="73"/>
      <c r="R2429" s="72"/>
      <c r="S2429" s="73"/>
      <c r="T2429" s="72"/>
      <c r="U2429" s="73"/>
      <c r="V2429" s="72"/>
      <c r="W2429" s="73"/>
      <c r="X2429" s="72"/>
      <c r="Y2429" s="73"/>
      <c r="Z2429" s="74" t="b">
        <v>0</v>
      </c>
      <c r="AA2429" s="130">
        <f t="shared" si="967"/>
        <v>0</v>
      </c>
      <c r="AB2429" s="131">
        <f t="shared" si="968"/>
        <v>0</v>
      </c>
      <c r="AC2429" s="132">
        <f t="shared" si="969"/>
        <v>0</v>
      </c>
      <c r="AD2429" s="133">
        <f t="shared" si="970"/>
        <v>0</v>
      </c>
      <c r="AE2429" s="131">
        <f t="shared" si="971"/>
        <v>0</v>
      </c>
      <c r="AF2429" s="133">
        <f t="shared" si="972"/>
        <v>0</v>
      </c>
      <c r="AG2429" s="1"/>
    </row>
    <row r="2430" ht="21.0" customHeight="1">
      <c r="A2430" s="1"/>
      <c r="B2430" s="48" t="s">
        <v>46</v>
      </c>
      <c r="C2430" s="49"/>
      <c r="D2430" s="91">
        <f t="array" ref="D2430">iferror(vlookup(xlookup(B2420,'현황'!O:O,'현황'!O:O,,-1,-1),'현황'!O:S,3,false),0)</f>
        <v>0</v>
      </c>
      <c r="E2430" s="66"/>
      <c r="F2430" s="52" t="s">
        <v>37</v>
      </c>
      <c r="G2430" s="67"/>
      <c r="H2430" s="80"/>
      <c r="I2430" s="69"/>
      <c r="J2430" s="72"/>
      <c r="K2430" s="73"/>
      <c r="L2430" s="72"/>
      <c r="M2430" s="73"/>
      <c r="N2430" s="72"/>
      <c r="O2430" s="73"/>
      <c r="P2430" s="72"/>
      <c r="Q2430" s="73"/>
      <c r="R2430" s="72"/>
      <c r="S2430" s="73"/>
      <c r="T2430" s="72"/>
      <c r="U2430" s="73"/>
      <c r="V2430" s="72"/>
      <c r="W2430" s="73"/>
      <c r="X2430" s="72"/>
      <c r="Y2430" s="73"/>
      <c r="Z2430" s="74" t="b">
        <v>0</v>
      </c>
      <c r="AA2430" s="130">
        <f t="shared" si="967"/>
        <v>0</v>
      </c>
      <c r="AB2430" s="131">
        <f t="shared" si="968"/>
        <v>0</v>
      </c>
      <c r="AC2430" s="132">
        <f t="shared" si="969"/>
        <v>0</v>
      </c>
      <c r="AD2430" s="133">
        <f t="shared" si="970"/>
        <v>0</v>
      </c>
      <c r="AE2430" s="131">
        <f t="shared" si="971"/>
        <v>0</v>
      </c>
      <c r="AF2430" s="133">
        <f t="shared" si="972"/>
        <v>0</v>
      </c>
      <c r="AG2430" s="1"/>
    </row>
    <row r="2431" ht="21.0" customHeight="1">
      <c r="A2431" s="1"/>
      <c r="B2431" s="48" t="s">
        <v>47</v>
      </c>
      <c r="C2431" s="49"/>
      <c r="D2431" s="91">
        <f t="array" ref="D2431">iferror(vlookup(xlookup(B2420,'현황'!O:O,'현황'!O:O,,-1,-1),'현황'!O:S,4,false),0)</f>
        <v>0</v>
      </c>
      <c r="E2431" s="41"/>
      <c r="F2431" s="92" t="s">
        <v>40</v>
      </c>
      <c r="G2431" s="79"/>
      <c r="H2431" s="93"/>
      <c r="I2431" s="94"/>
      <c r="J2431" s="95"/>
      <c r="K2431" s="96"/>
      <c r="L2431" s="95"/>
      <c r="M2431" s="96"/>
      <c r="N2431" s="95"/>
      <c r="O2431" s="96"/>
      <c r="P2431" s="95"/>
      <c r="Q2431" s="96"/>
      <c r="R2431" s="95"/>
      <c r="S2431" s="96"/>
      <c r="T2431" s="95"/>
      <c r="U2431" s="96"/>
      <c r="V2431" s="95"/>
      <c r="W2431" s="96"/>
      <c r="X2431" s="95"/>
      <c r="Y2431" s="96"/>
      <c r="Z2431" s="97" t="b">
        <v>0</v>
      </c>
      <c r="AA2431" s="135">
        <f t="shared" si="967"/>
        <v>0</v>
      </c>
      <c r="AB2431" s="136">
        <f t="shared" si="968"/>
        <v>0</v>
      </c>
      <c r="AC2431" s="137">
        <f t="shared" si="969"/>
        <v>0</v>
      </c>
      <c r="AD2431" s="138">
        <f t="shared" si="970"/>
        <v>0</v>
      </c>
      <c r="AE2431" s="136">
        <f t="shared" si="971"/>
        <v>0</v>
      </c>
      <c r="AF2431" s="138">
        <f t="shared" si="972"/>
        <v>0</v>
      </c>
      <c r="AG2431" s="1"/>
    </row>
    <row r="2432" ht="21.0" customHeight="1">
      <c r="A2432" s="1"/>
      <c r="B2432" s="102" t="s">
        <v>48</v>
      </c>
      <c r="C2432" s="103"/>
      <c r="D2432" s="104">
        <f>iferror(D2431/D2429,0)</f>
        <v>0</v>
      </c>
      <c r="E2432" s="102" t="s">
        <v>49</v>
      </c>
      <c r="F2432" s="103"/>
      <c r="G2432" s="105"/>
      <c r="H2432" s="106" t="s">
        <v>50</v>
      </c>
      <c r="I2432" s="107"/>
      <c r="J2432" s="11"/>
      <c r="K2432" s="11"/>
      <c r="L2432" s="11"/>
      <c r="M2432" s="11"/>
      <c r="N2432" s="11"/>
      <c r="O2432" s="11"/>
      <c r="P2432" s="108" t="s">
        <v>51</v>
      </c>
      <c r="Q2432" s="12"/>
      <c r="R2432" s="109"/>
      <c r="S2432" s="11"/>
      <c r="T2432" s="11"/>
      <c r="U2432" s="11"/>
      <c r="V2432" s="11"/>
      <c r="W2432" s="11"/>
      <c r="X2432" s="11"/>
      <c r="Y2432" s="11"/>
      <c r="Z2432" s="12"/>
      <c r="AA2432" s="139">
        <f>SUM(AA2423:AA2431)</f>
        <v>0</v>
      </c>
      <c r="AB2432" s="140" t="s">
        <v>421</v>
      </c>
      <c r="AG2432" s="1"/>
    </row>
    <row r="2433" ht="21.0" customHeight="1">
      <c r="A2433" s="1"/>
      <c r="B2433" s="1"/>
      <c r="C2433" s="1"/>
      <c r="D2433" s="1"/>
      <c r="E2433" s="1"/>
      <c r="F2433" s="1"/>
      <c r="G2433" s="1"/>
      <c r="H2433" s="1"/>
      <c r="I2433" s="1"/>
      <c r="AA2433" s="1"/>
      <c r="AB2433" s="1"/>
      <c r="AC2433" s="3"/>
      <c r="AD2433" s="1"/>
      <c r="AE2433" s="1"/>
      <c r="AF2433" s="1"/>
      <c r="AG2433" s="1"/>
    </row>
    <row r="2434" ht="21.0" customHeight="1">
      <c r="A2434" s="1"/>
      <c r="B2434" s="4" t="s">
        <v>1</v>
      </c>
      <c r="C2434" s="5"/>
      <c r="D2434" s="6" t="s">
        <v>2</v>
      </c>
      <c r="E2434" s="7"/>
      <c r="F2434" s="7"/>
      <c r="G2434" s="5"/>
      <c r="H2434" s="8" t="s">
        <v>3</v>
      </c>
      <c r="I2434" s="8" t="s">
        <v>4</v>
      </c>
      <c r="J2434" s="9" t="s">
        <v>5</v>
      </c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5"/>
      <c r="AA2434" s="117" t="s">
        <v>6</v>
      </c>
      <c r="AB2434" s="11"/>
      <c r="AC2434" s="11"/>
      <c r="AD2434" s="11"/>
      <c r="AE2434" s="11"/>
      <c r="AF2434" s="12"/>
      <c r="AG2434" s="1"/>
    </row>
    <row r="2435" ht="21.0" customHeight="1">
      <c r="A2435" s="1"/>
      <c r="B2435" s="149" t="s">
        <v>138</v>
      </c>
      <c r="C2435" s="14" t="str">
        <f>if(B2435="0/0","",choose(weekday(B2435),"(일)","(월)","(화)","(수)","(목)","(금)","(토)"))</f>
        <v/>
      </c>
      <c r="D2435" s="15" t="s">
        <v>7</v>
      </c>
      <c r="E2435" s="16" t="s">
        <v>8</v>
      </c>
      <c r="F2435" s="17"/>
      <c r="G2435" s="18" t="s">
        <v>9</v>
      </c>
      <c r="H2435" s="150" t="s">
        <v>139</v>
      </c>
      <c r="I2435" s="151"/>
      <c r="J2435" s="21" t="s">
        <v>12</v>
      </c>
      <c r="K2435" s="22"/>
      <c r="L2435" s="21" t="s">
        <v>13</v>
      </c>
      <c r="M2435" s="22"/>
      <c r="N2435" s="21" t="s">
        <v>14</v>
      </c>
      <c r="O2435" s="22"/>
      <c r="P2435" s="21" t="s">
        <v>15</v>
      </c>
      <c r="Q2435" s="22"/>
      <c r="R2435" s="23" t="s">
        <v>16</v>
      </c>
      <c r="S2435" s="22"/>
      <c r="T2435" s="23" t="s">
        <v>17</v>
      </c>
      <c r="U2435" s="22"/>
      <c r="V2435" s="23" t="s">
        <v>18</v>
      </c>
      <c r="W2435" s="22"/>
      <c r="X2435" s="23" t="s">
        <v>19</v>
      </c>
      <c r="Y2435" s="22"/>
      <c r="Z2435" s="24" t="s">
        <v>422</v>
      </c>
      <c r="AA2435" s="118" t="s">
        <v>21</v>
      </c>
      <c r="AB2435" s="119" t="s">
        <v>22</v>
      </c>
      <c r="AC2435" s="7"/>
      <c r="AD2435" s="22"/>
      <c r="AE2435" s="120" t="s">
        <v>23</v>
      </c>
      <c r="AF2435" s="22"/>
      <c r="AG2435" s="1"/>
    </row>
    <row r="2436" ht="21.0" customHeight="1">
      <c r="A2436" s="1"/>
      <c r="B2436" s="27">
        <f>iferror(B2435-'현황'!$C$4+1,0)</f>
        <v>0</v>
      </c>
      <c r="C2436" s="28"/>
      <c r="D2436" s="29">
        <v>0.0</v>
      </c>
      <c r="E2436" s="30">
        <v>0.0</v>
      </c>
      <c r="F2436" s="31"/>
      <c r="G2436" s="32">
        <v>0.0</v>
      </c>
      <c r="H2436" s="33">
        <v>0.0</v>
      </c>
      <c r="I2436" s="34"/>
      <c r="J2436" s="35"/>
      <c r="K2436" s="36"/>
      <c r="L2436" s="35"/>
      <c r="M2436" s="36"/>
      <c r="N2436" s="35"/>
      <c r="O2436" s="36"/>
      <c r="P2436" s="35"/>
      <c r="Q2436" s="36"/>
      <c r="R2436" s="35"/>
      <c r="S2436" s="36"/>
      <c r="T2436" s="35"/>
      <c r="U2436" s="36"/>
      <c r="V2436" s="35"/>
      <c r="W2436" s="36"/>
      <c r="X2436" s="35"/>
      <c r="Y2436" s="36"/>
      <c r="Z2436" s="37"/>
      <c r="AA2436" s="37"/>
      <c r="AB2436" s="35"/>
      <c r="AC2436" s="38"/>
      <c r="AD2436" s="36"/>
      <c r="AE2436" s="35"/>
      <c r="AF2436" s="36"/>
      <c r="AG2436" s="1"/>
    </row>
    <row r="2437" ht="21.0" customHeight="1">
      <c r="A2437" s="1"/>
      <c r="B2437" s="39" t="s">
        <v>24</v>
      </c>
      <c r="C2437" s="40"/>
      <c r="D2437" s="41"/>
      <c r="E2437" s="42" t="s">
        <v>25</v>
      </c>
      <c r="F2437" s="40"/>
      <c r="G2437" s="41"/>
      <c r="H2437" s="43" t="s">
        <v>26</v>
      </c>
      <c r="J2437" s="44" t="s">
        <v>27</v>
      </c>
      <c r="K2437" s="45" t="s">
        <v>28</v>
      </c>
      <c r="L2437" s="44" t="s">
        <v>27</v>
      </c>
      <c r="M2437" s="45" t="s">
        <v>28</v>
      </c>
      <c r="N2437" s="44" t="s">
        <v>27</v>
      </c>
      <c r="O2437" s="45" t="s">
        <v>28</v>
      </c>
      <c r="P2437" s="44" t="s">
        <v>27</v>
      </c>
      <c r="Q2437" s="45" t="s">
        <v>28</v>
      </c>
      <c r="R2437" s="44" t="s">
        <v>27</v>
      </c>
      <c r="S2437" s="45" t="s">
        <v>28</v>
      </c>
      <c r="T2437" s="44" t="s">
        <v>27</v>
      </c>
      <c r="U2437" s="45" t="s">
        <v>28</v>
      </c>
      <c r="V2437" s="44" t="s">
        <v>27</v>
      </c>
      <c r="W2437" s="45" t="s">
        <v>28</v>
      </c>
      <c r="X2437" s="44" t="s">
        <v>27</v>
      </c>
      <c r="Y2437" s="45" t="s">
        <v>28</v>
      </c>
      <c r="Z2437" s="46"/>
      <c r="AA2437" s="46"/>
      <c r="AB2437" s="121" t="s">
        <v>29</v>
      </c>
      <c r="AC2437" s="122" t="s">
        <v>30</v>
      </c>
      <c r="AD2437" s="123" t="s">
        <v>31</v>
      </c>
      <c r="AE2437" s="121" t="s">
        <v>27</v>
      </c>
      <c r="AF2437" s="123" t="s">
        <v>28</v>
      </c>
      <c r="AG2437" s="1"/>
    </row>
    <row r="2438" ht="21.0" customHeight="1">
      <c r="A2438" s="1"/>
      <c r="B2438" s="48" t="s">
        <v>32</v>
      </c>
      <c r="C2438" s="49"/>
      <c r="D2438" s="50"/>
      <c r="E2438" s="51" t="s">
        <v>33</v>
      </c>
      <c r="F2438" s="52" t="s">
        <v>34</v>
      </c>
      <c r="G2438" s="53"/>
      <c r="H2438" s="148"/>
      <c r="I2438" s="55"/>
      <c r="J2438" s="58"/>
      <c r="K2438" s="59"/>
      <c r="L2438" s="58"/>
      <c r="M2438" s="59"/>
      <c r="N2438" s="58"/>
      <c r="O2438" s="59"/>
      <c r="P2438" s="58"/>
      <c r="Q2438" s="59"/>
      <c r="R2438" s="58"/>
      <c r="S2438" s="59"/>
      <c r="T2438" s="58"/>
      <c r="U2438" s="59"/>
      <c r="V2438" s="58"/>
      <c r="W2438" s="59"/>
      <c r="X2438" s="58"/>
      <c r="Y2438" s="59"/>
      <c r="Z2438" s="60" t="b">
        <v>0</v>
      </c>
      <c r="AA2438" s="125">
        <f t="shared" ref="AA2438:AA2446" si="973">(J2438*K2438+L2438*M2438+N2438*O2438+P2438*Q2438+R2438*S2438+T2438*U2438+V2438*W2438+X2438*Y2438)*if(Z2438=true,0.453592,1)</f>
        <v>0</v>
      </c>
      <c r="AB2438" s="126">
        <f t="shared" ref="AB2438:AB2446" si="974">SUM(AE2438*AF2438*0.025,AE2438)</f>
        <v>0</v>
      </c>
      <c r="AC2438" s="127">
        <f t="shared" ref="AC2438:AC2446" si="975">AB2438*87%</f>
        <v>0</v>
      </c>
      <c r="AD2438" s="128">
        <f t="shared" ref="AD2438:AD2446" si="976">AB2438*67%</f>
        <v>0</v>
      </c>
      <c r="AE2438" s="126">
        <f t="shared" ref="AE2438:AE2446" si="977">MAX(J2438,L2438,N2438,P2438,R2438,T2438,V2438,X2438)*if(Z2438=true,0.453592,1)</f>
        <v>0</v>
      </c>
      <c r="AF2438" s="128">
        <f t="shared" ref="AF2438:AF2446" si="978">MAX(IF(J2438*if(Z2438=true,0.453592,1)=$AE2438,K2438,0),IF(L2438*if(Z2438=true,0.453592,1)=$AE2438,M2438,0),IF(N2438*if(Z2438=true,0.453592,1)=$AE2438,O2438,0),IF(P2438*if(Z2438=true,0.453592,1)=$AE2438,Q2438,0),IF(R2438*if(Z2438=true,0.453592,1)=$AE2438,S2438,0),IF(T2438*if(Z2438=true,0.453592,1)=$AE2438,U2438,0),IF(V2438*if(Z2438=true,0.453592,1)=$AE2438,W2438,0),IF(X2438*if(Z2438=true,0.453592,1)=$AE2438,Y2438,0))</f>
        <v>0</v>
      </c>
      <c r="AG2438" s="1"/>
    </row>
    <row r="2439" ht="21.0" customHeight="1">
      <c r="A2439" s="1"/>
      <c r="B2439" s="48" t="s">
        <v>36</v>
      </c>
      <c r="C2439" s="49"/>
      <c r="D2439" s="65"/>
      <c r="E2439" s="66"/>
      <c r="F2439" s="52" t="s">
        <v>37</v>
      </c>
      <c r="G2439" s="67"/>
      <c r="H2439" s="129"/>
      <c r="I2439" s="69"/>
      <c r="J2439" s="72"/>
      <c r="K2439" s="73"/>
      <c r="L2439" s="72"/>
      <c r="M2439" s="73"/>
      <c r="N2439" s="72"/>
      <c r="O2439" s="73"/>
      <c r="P2439" s="72"/>
      <c r="Q2439" s="73"/>
      <c r="R2439" s="72"/>
      <c r="S2439" s="73"/>
      <c r="T2439" s="72"/>
      <c r="U2439" s="73"/>
      <c r="V2439" s="72"/>
      <c r="W2439" s="73"/>
      <c r="X2439" s="72"/>
      <c r="Y2439" s="73"/>
      <c r="Z2439" s="74" t="b">
        <v>0</v>
      </c>
      <c r="AA2439" s="130">
        <f t="shared" si="973"/>
        <v>0</v>
      </c>
      <c r="AB2439" s="131">
        <f t="shared" si="974"/>
        <v>0</v>
      </c>
      <c r="AC2439" s="132">
        <f t="shared" si="975"/>
        <v>0</v>
      </c>
      <c r="AD2439" s="133">
        <f t="shared" si="976"/>
        <v>0</v>
      </c>
      <c r="AE2439" s="131">
        <f t="shared" si="977"/>
        <v>0</v>
      </c>
      <c r="AF2439" s="133">
        <f t="shared" si="978"/>
        <v>0</v>
      </c>
      <c r="AG2439" s="1"/>
    </row>
    <row r="2440" ht="21.0" customHeight="1">
      <c r="A2440" s="1"/>
      <c r="B2440" s="48" t="s">
        <v>39</v>
      </c>
      <c r="C2440" s="49"/>
      <c r="D2440" s="65"/>
      <c r="E2440" s="41"/>
      <c r="F2440" s="52" t="s">
        <v>40</v>
      </c>
      <c r="G2440" s="79"/>
      <c r="H2440" s="80"/>
      <c r="I2440" s="69"/>
      <c r="J2440" s="72"/>
      <c r="K2440" s="73"/>
      <c r="L2440" s="72"/>
      <c r="M2440" s="73"/>
      <c r="N2440" s="72"/>
      <c r="O2440" s="73"/>
      <c r="P2440" s="72"/>
      <c r="Q2440" s="73"/>
      <c r="R2440" s="72"/>
      <c r="S2440" s="73"/>
      <c r="T2440" s="72"/>
      <c r="U2440" s="73"/>
      <c r="V2440" s="72"/>
      <c r="W2440" s="73"/>
      <c r="X2440" s="72"/>
      <c r="Y2440" s="73"/>
      <c r="Z2440" s="74" t="b">
        <v>0</v>
      </c>
      <c r="AA2440" s="130">
        <f t="shared" si="973"/>
        <v>0</v>
      </c>
      <c r="AB2440" s="131">
        <f t="shared" si="974"/>
        <v>0</v>
      </c>
      <c r="AC2440" s="132">
        <f t="shared" si="975"/>
        <v>0</v>
      </c>
      <c r="AD2440" s="133">
        <f t="shared" si="976"/>
        <v>0</v>
      </c>
      <c r="AE2440" s="131">
        <f t="shared" si="977"/>
        <v>0</v>
      </c>
      <c r="AF2440" s="133">
        <f t="shared" si="978"/>
        <v>0</v>
      </c>
      <c r="AG2440" s="1"/>
    </row>
    <row r="2441" ht="21.0" customHeight="1">
      <c r="A2441" s="1"/>
      <c r="B2441" s="48" t="s">
        <v>41</v>
      </c>
      <c r="C2441" s="81"/>
      <c r="D2441" s="82" t="b">
        <v>0</v>
      </c>
      <c r="E2441" s="51" t="s">
        <v>42</v>
      </c>
      <c r="F2441" s="52" t="s">
        <v>34</v>
      </c>
      <c r="G2441" s="83"/>
      <c r="H2441" s="84"/>
      <c r="I2441" s="85"/>
      <c r="J2441" s="72"/>
      <c r="K2441" s="73"/>
      <c r="L2441" s="72"/>
      <c r="M2441" s="73"/>
      <c r="N2441" s="72"/>
      <c r="O2441" s="73"/>
      <c r="P2441" s="72"/>
      <c r="Q2441" s="73"/>
      <c r="R2441" s="72"/>
      <c r="S2441" s="73"/>
      <c r="T2441" s="72"/>
      <c r="U2441" s="73"/>
      <c r="V2441" s="72"/>
      <c r="W2441" s="73"/>
      <c r="X2441" s="72"/>
      <c r="Y2441" s="73"/>
      <c r="Z2441" s="74" t="b">
        <v>0</v>
      </c>
      <c r="AA2441" s="130">
        <f t="shared" si="973"/>
        <v>0</v>
      </c>
      <c r="AB2441" s="131">
        <f t="shared" si="974"/>
        <v>0</v>
      </c>
      <c r="AC2441" s="132">
        <f t="shared" si="975"/>
        <v>0</v>
      </c>
      <c r="AD2441" s="133">
        <f t="shared" si="976"/>
        <v>0</v>
      </c>
      <c r="AE2441" s="131">
        <f t="shared" si="977"/>
        <v>0</v>
      </c>
      <c r="AF2441" s="133">
        <f t="shared" si="978"/>
        <v>0</v>
      </c>
      <c r="AG2441" s="1"/>
    </row>
    <row r="2442" ht="21.0" customHeight="1">
      <c r="A2442" s="1"/>
      <c r="B2442" s="48" t="s">
        <v>43</v>
      </c>
      <c r="C2442" s="49"/>
      <c r="D2442" s="86" t="b">
        <v>0</v>
      </c>
      <c r="E2442" s="66"/>
      <c r="F2442" s="52" t="s">
        <v>37</v>
      </c>
      <c r="G2442" s="67"/>
      <c r="H2442" s="80"/>
      <c r="I2442" s="69"/>
      <c r="J2442" s="72"/>
      <c r="K2442" s="73"/>
      <c r="L2442" s="72"/>
      <c r="M2442" s="73"/>
      <c r="N2442" s="72"/>
      <c r="O2442" s="73"/>
      <c r="P2442" s="72"/>
      <c r="Q2442" s="73"/>
      <c r="R2442" s="72"/>
      <c r="S2442" s="73"/>
      <c r="T2442" s="72"/>
      <c r="U2442" s="73"/>
      <c r="V2442" s="72"/>
      <c r="W2442" s="73"/>
      <c r="X2442" s="72"/>
      <c r="Y2442" s="73"/>
      <c r="Z2442" s="74" t="b">
        <v>0</v>
      </c>
      <c r="AA2442" s="130">
        <f t="shared" si="973"/>
        <v>0</v>
      </c>
      <c r="AB2442" s="131">
        <f t="shared" si="974"/>
        <v>0</v>
      </c>
      <c r="AC2442" s="132">
        <f t="shared" si="975"/>
        <v>0</v>
      </c>
      <c r="AD2442" s="133">
        <f t="shared" si="976"/>
        <v>0</v>
      </c>
      <c r="AE2442" s="131">
        <f t="shared" si="977"/>
        <v>0</v>
      </c>
      <c r="AF2442" s="133">
        <f t="shared" si="978"/>
        <v>0</v>
      </c>
      <c r="AG2442" s="1"/>
    </row>
    <row r="2443" ht="21.0" customHeight="1">
      <c r="A2443" s="1"/>
      <c r="B2443" s="87" t="str">
        <f t="array" ref="B2443">"📌최근 인바디 결과 : "&amp;text(xlookup(B2435,'현황'!O:O,'현황'!O:O,,-1,-1),"m/d(ddd)")</f>
        <v>#REF!</v>
      </c>
      <c r="C2443" s="88"/>
      <c r="D2443" s="49"/>
      <c r="E2443" s="41"/>
      <c r="F2443" s="52" t="s">
        <v>40</v>
      </c>
      <c r="G2443" s="79"/>
      <c r="H2443" s="80"/>
      <c r="I2443" s="69"/>
      <c r="J2443" s="72"/>
      <c r="K2443" s="73"/>
      <c r="L2443" s="72"/>
      <c r="M2443" s="73"/>
      <c r="N2443" s="72"/>
      <c r="O2443" s="73"/>
      <c r="P2443" s="72"/>
      <c r="Q2443" s="73"/>
      <c r="R2443" s="72"/>
      <c r="S2443" s="73"/>
      <c r="T2443" s="72"/>
      <c r="U2443" s="73"/>
      <c r="V2443" s="72"/>
      <c r="W2443" s="73"/>
      <c r="X2443" s="72"/>
      <c r="Y2443" s="73"/>
      <c r="Z2443" s="74" t="b">
        <v>0</v>
      </c>
      <c r="AA2443" s="130">
        <f t="shared" si="973"/>
        <v>0</v>
      </c>
      <c r="AB2443" s="131">
        <f t="shared" si="974"/>
        <v>0</v>
      </c>
      <c r="AC2443" s="132">
        <f t="shared" si="975"/>
        <v>0</v>
      </c>
      <c r="AD2443" s="133">
        <f t="shared" si="976"/>
        <v>0</v>
      </c>
      <c r="AE2443" s="131">
        <f t="shared" si="977"/>
        <v>0</v>
      </c>
      <c r="AF2443" s="133">
        <f t="shared" si="978"/>
        <v>0</v>
      </c>
      <c r="AG2443" s="1"/>
    </row>
    <row r="2444" ht="21.0" customHeight="1">
      <c r="A2444" s="1"/>
      <c r="B2444" s="89" t="s">
        <v>44</v>
      </c>
      <c r="C2444" s="49"/>
      <c r="D2444" s="90">
        <f t="array" ref="D2444">iferror(vlookup(xlookup(B2435,'현황'!O:O,'현황'!O:O,,-1,-1),'현황'!O:S,2,false),0)</f>
        <v>0</v>
      </c>
      <c r="E2444" s="51" t="s">
        <v>45</v>
      </c>
      <c r="F2444" s="52" t="s">
        <v>34</v>
      </c>
      <c r="G2444" s="83"/>
      <c r="H2444" s="84"/>
      <c r="I2444" s="85"/>
      <c r="J2444" s="72"/>
      <c r="K2444" s="73"/>
      <c r="L2444" s="72"/>
      <c r="M2444" s="73"/>
      <c r="N2444" s="72"/>
      <c r="O2444" s="73"/>
      <c r="P2444" s="72"/>
      <c r="Q2444" s="73"/>
      <c r="R2444" s="72"/>
      <c r="S2444" s="73"/>
      <c r="T2444" s="72"/>
      <c r="U2444" s="73"/>
      <c r="V2444" s="72"/>
      <c r="W2444" s="73"/>
      <c r="X2444" s="72"/>
      <c r="Y2444" s="73"/>
      <c r="Z2444" s="74" t="b">
        <v>0</v>
      </c>
      <c r="AA2444" s="130">
        <f t="shared" si="973"/>
        <v>0</v>
      </c>
      <c r="AB2444" s="131">
        <f t="shared" si="974"/>
        <v>0</v>
      </c>
      <c r="AC2444" s="132">
        <f t="shared" si="975"/>
        <v>0</v>
      </c>
      <c r="AD2444" s="133">
        <f t="shared" si="976"/>
        <v>0</v>
      </c>
      <c r="AE2444" s="131">
        <f t="shared" si="977"/>
        <v>0</v>
      </c>
      <c r="AF2444" s="133">
        <f t="shared" si="978"/>
        <v>0</v>
      </c>
      <c r="AG2444" s="1"/>
    </row>
    <row r="2445" ht="21.0" customHeight="1">
      <c r="A2445" s="1"/>
      <c r="B2445" s="48" t="s">
        <v>46</v>
      </c>
      <c r="C2445" s="49"/>
      <c r="D2445" s="91">
        <f t="array" ref="D2445">iferror(vlookup(xlookup(B2435,'현황'!O:O,'현황'!O:O,,-1,-1),'현황'!O:S,3,false),0)</f>
        <v>0</v>
      </c>
      <c r="E2445" s="66"/>
      <c r="F2445" s="52" t="s">
        <v>37</v>
      </c>
      <c r="G2445" s="67"/>
      <c r="H2445" s="80"/>
      <c r="I2445" s="69"/>
      <c r="J2445" s="72"/>
      <c r="K2445" s="73"/>
      <c r="L2445" s="72"/>
      <c r="M2445" s="73"/>
      <c r="N2445" s="72"/>
      <c r="O2445" s="73"/>
      <c r="P2445" s="72"/>
      <c r="Q2445" s="73"/>
      <c r="R2445" s="72"/>
      <c r="S2445" s="73"/>
      <c r="T2445" s="72"/>
      <c r="U2445" s="73"/>
      <c r="V2445" s="72"/>
      <c r="W2445" s="73"/>
      <c r="X2445" s="72"/>
      <c r="Y2445" s="73"/>
      <c r="Z2445" s="74" t="b">
        <v>0</v>
      </c>
      <c r="AA2445" s="130">
        <f t="shared" si="973"/>
        <v>0</v>
      </c>
      <c r="AB2445" s="131">
        <f t="shared" si="974"/>
        <v>0</v>
      </c>
      <c r="AC2445" s="132">
        <f t="shared" si="975"/>
        <v>0</v>
      </c>
      <c r="AD2445" s="133">
        <f t="shared" si="976"/>
        <v>0</v>
      </c>
      <c r="AE2445" s="131">
        <f t="shared" si="977"/>
        <v>0</v>
      </c>
      <c r="AF2445" s="133">
        <f t="shared" si="978"/>
        <v>0</v>
      </c>
      <c r="AG2445" s="1"/>
    </row>
    <row r="2446" ht="21.0" customHeight="1">
      <c r="A2446" s="1"/>
      <c r="B2446" s="48" t="s">
        <v>47</v>
      </c>
      <c r="C2446" s="49"/>
      <c r="D2446" s="91">
        <f t="array" ref="D2446">iferror(vlookup(xlookup(B2435,'현황'!O:O,'현황'!O:O,,-1,-1),'현황'!O:S,4,false),0)</f>
        <v>0</v>
      </c>
      <c r="E2446" s="41"/>
      <c r="F2446" s="92" t="s">
        <v>40</v>
      </c>
      <c r="G2446" s="79"/>
      <c r="H2446" s="93"/>
      <c r="I2446" s="94"/>
      <c r="J2446" s="95"/>
      <c r="K2446" s="96"/>
      <c r="L2446" s="95"/>
      <c r="M2446" s="96"/>
      <c r="N2446" s="95"/>
      <c r="O2446" s="96"/>
      <c r="P2446" s="95"/>
      <c r="Q2446" s="96"/>
      <c r="R2446" s="95"/>
      <c r="S2446" s="96"/>
      <c r="T2446" s="95"/>
      <c r="U2446" s="96"/>
      <c r="V2446" s="95"/>
      <c r="W2446" s="96"/>
      <c r="X2446" s="95"/>
      <c r="Y2446" s="96"/>
      <c r="Z2446" s="97" t="b">
        <v>0</v>
      </c>
      <c r="AA2446" s="135">
        <f t="shared" si="973"/>
        <v>0</v>
      </c>
      <c r="AB2446" s="136">
        <f t="shared" si="974"/>
        <v>0</v>
      </c>
      <c r="AC2446" s="137">
        <f t="shared" si="975"/>
        <v>0</v>
      </c>
      <c r="AD2446" s="138">
        <f t="shared" si="976"/>
        <v>0</v>
      </c>
      <c r="AE2446" s="136">
        <f t="shared" si="977"/>
        <v>0</v>
      </c>
      <c r="AF2446" s="138">
        <f t="shared" si="978"/>
        <v>0</v>
      </c>
      <c r="AG2446" s="1"/>
    </row>
    <row r="2447" ht="21.0" customHeight="1">
      <c r="A2447" s="1"/>
      <c r="B2447" s="102" t="s">
        <v>48</v>
      </c>
      <c r="C2447" s="103"/>
      <c r="D2447" s="104">
        <f>iferror(D2446/D2444,0)</f>
        <v>0</v>
      </c>
      <c r="E2447" s="102" t="s">
        <v>49</v>
      </c>
      <c r="F2447" s="103"/>
      <c r="G2447" s="105"/>
      <c r="H2447" s="106" t="s">
        <v>50</v>
      </c>
      <c r="I2447" s="107"/>
      <c r="J2447" s="11"/>
      <c r="K2447" s="11"/>
      <c r="L2447" s="11"/>
      <c r="M2447" s="11"/>
      <c r="N2447" s="11"/>
      <c r="O2447" s="11"/>
      <c r="P2447" s="108" t="s">
        <v>51</v>
      </c>
      <c r="Q2447" s="12"/>
      <c r="R2447" s="109"/>
      <c r="S2447" s="11"/>
      <c r="T2447" s="11"/>
      <c r="U2447" s="11"/>
      <c r="V2447" s="11"/>
      <c r="W2447" s="11"/>
      <c r="X2447" s="11"/>
      <c r="Y2447" s="11"/>
      <c r="Z2447" s="12"/>
      <c r="AA2447" s="139">
        <f>SUM(AA2438:AA2446)</f>
        <v>0</v>
      </c>
      <c r="AB2447" s="140" t="s">
        <v>423</v>
      </c>
      <c r="AG2447" s="1"/>
    </row>
    <row r="2448" ht="21.0" customHeight="1">
      <c r="A2448" s="1"/>
      <c r="B2448" s="1"/>
      <c r="C2448" s="1"/>
      <c r="D2448" s="1"/>
      <c r="E2448" s="1"/>
      <c r="F2448" s="1"/>
      <c r="G2448" s="1"/>
      <c r="H2448" s="1"/>
      <c r="I2448" s="1"/>
      <c r="AA2448" s="1"/>
      <c r="AB2448" s="1"/>
      <c r="AC2448" s="3"/>
      <c r="AD2448" s="1"/>
      <c r="AE2448" s="1"/>
      <c r="AF2448" s="1"/>
      <c r="AG2448" s="1"/>
    </row>
    <row r="2449" ht="21.0" customHeight="1">
      <c r="A2449" s="1"/>
      <c r="B2449" s="4" t="s">
        <v>1</v>
      </c>
      <c r="C2449" s="5"/>
      <c r="D2449" s="6" t="s">
        <v>2</v>
      </c>
      <c r="E2449" s="7"/>
      <c r="F2449" s="7"/>
      <c r="G2449" s="5"/>
      <c r="H2449" s="8" t="s">
        <v>3</v>
      </c>
      <c r="I2449" s="8" t="s">
        <v>4</v>
      </c>
      <c r="J2449" s="9" t="s">
        <v>5</v>
      </c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5"/>
      <c r="AA2449" s="117" t="s">
        <v>6</v>
      </c>
      <c r="AB2449" s="11"/>
      <c r="AC2449" s="11"/>
      <c r="AD2449" s="11"/>
      <c r="AE2449" s="11"/>
      <c r="AF2449" s="12"/>
      <c r="AG2449" s="1"/>
    </row>
    <row r="2450" ht="21.0" customHeight="1">
      <c r="A2450" s="1"/>
      <c r="B2450" s="149" t="s">
        <v>138</v>
      </c>
      <c r="C2450" s="14" t="str">
        <f>if(B2450="0/0","",choose(weekday(B2450),"(일)","(월)","(화)","(수)","(목)","(금)","(토)"))</f>
        <v/>
      </c>
      <c r="D2450" s="15" t="s">
        <v>7</v>
      </c>
      <c r="E2450" s="16" t="s">
        <v>8</v>
      </c>
      <c r="F2450" s="17"/>
      <c r="G2450" s="18" t="s">
        <v>9</v>
      </c>
      <c r="H2450" s="150" t="s">
        <v>139</v>
      </c>
      <c r="I2450" s="151"/>
      <c r="J2450" s="21" t="s">
        <v>12</v>
      </c>
      <c r="K2450" s="22"/>
      <c r="L2450" s="21" t="s">
        <v>13</v>
      </c>
      <c r="M2450" s="22"/>
      <c r="N2450" s="21" t="s">
        <v>14</v>
      </c>
      <c r="O2450" s="22"/>
      <c r="P2450" s="21" t="s">
        <v>15</v>
      </c>
      <c r="Q2450" s="22"/>
      <c r="R2450" s="23" t="s">
        <v>16</v>
      </c>
      <c r="S2450" s="22"/>
      <c r="T2450" s="23" t="s">
        <v>17</v>
      </c>
      <c r="U2450" s="22"/>
      <c r="V2450" s="23" t="s">
        <v>18</v>
      </c>
      <c r="W2450" s="22"/>
      <c r="X2450" s="23" t="s">
        <v>19</v>
      </c>
      <c r="Y2450" s="22"/>
      <c r="Z2450" s="24" t="s">
        <v>424</v>
      </c>
      <c r="AA2450" s="118" t="s">
        <v>21</v>
      </c>
      <c r="AB2450" s="119" t="s">
        <v>22</v>
      </c>
      <c r="AC2450" s="7"/>
      <c r="AD2450" s="22"/>
      <c r="AE2450" s="120" t="s">
        <v>23</v>
      </c>
      <c r="AF2450" s="22"/>
      <c r="AG2450" s="1"/>
    </row>
    <row r="2451" ht="21.0" customHeight="1">
      <c r="A2451" s="1"/>
      <c r="B2451" s="27">
        <f>iferror(B2450-'현황'!$C$4+1,0)</f>
        <v>0</v>
      </c>
      <c r="C2451" s="28"/>
      <c r="D2451" s="29">
        <v>0.0</v>
      </c>
      <c r="E2451" s="30">
        <v>0.0</v>
      </c>
      <c r="F2451" s="31"/>
      <c r="G2451" s="32">
        <v>0.0</v>
      </c>
      <c r="H2451" s="33">
        <v>0.0</v>
      </c>
      <c r="I2451" s="34"/>
      <c r="J2451" s="35"/>
      <c r="K2451" s="36"/>
      <c r="L2451" s="35"/>
      <c r="M2451" s="36"/>
      <c r="N2451" s="35"/>
      <c r="O2451" s="36"/>
      <c r="P2451" s="35"/>
      <c r="Q2451" s="36"/>
      <c r="R2451" s="35"/>
      <c r="S2451" s="36"/>
      <c r="T2451" s="35"/>
      <c r="U2451" s="36"/>
      <c r="V2451" s="35"/>
      <c r="W2451" s="36"/>
      <c r="X2451" s="35"/>
      <c r="Y2451" s="36"/>
      <c r="Z2451" s="37"/>
      <c r="AA2451" s="37"/>
      <c r="AB2451" s="35"/>
      <c r="AC2451" s="38"/>
      <c r="AD2451" s="36"/>
      <c r="AE2451" s="35"/>
      <c r="AF2451" s="36"/>
      <c r="AG2451" s="1"/>
    </row>
    <row r="2452" ht="21.0" customHeight="1">
      <c r="A2452" s="1"/>
      <c r="B2452" s="39" t="s">
        <v>24</v>
      </c>
      <c r="C2452" s="40"/>
      <c r="D2452" s="41"/>
      <c r="E2452" s="42" t="s">
        <v>25</v>
      </c>
      <c r="F2452" s="40"/>
      <c r="G2452" s="41"/>
      <c r="H2452" s="43" t="s">
        <v>26</v>
      </c>
      <c r="J2452" s="44" t="s">
        <v>27</v>
      </c>
      <c r="K2452" s="45" t="s">
        <v>28</v>
      </c>
      <c r="L2452" s="44" t="s">
        <v>27</v>
      </c>
      <c r="M2452" s="45" t="s">
        <v>28</v>
      </c>
      <c r="N2452" s="44" t="s">
        <v>27</v>
      </c>
      <c r="O2452" s="45" t="s">
        <v>28</v>
      </c>
      <c r="P2452" s="44" t="s">
        <v>27</v>
      </c>
      <c r="Q2452" s="45" t="s">
        <v>28</v>
      </c>
      <c r="R2452" s="44" t="s">
        <v>27</v>
      </c>
      <c r="S2452" s="45" t="s">
        <v>28</v>
      </c>
      <c r="T2452" s="44" t="s">
        <v>27</v>
      </c>
      <c r="U2452" s="45" t="s">
        <v>28</v>
      </c>
      <c r="V2452" s="44" t="s">
        <v>27</v>
      </c>
      <c r="W2452" s="45" t="s">
        <v>28</v>
      </c>
      <c r="X2452" s="44" t="s">
        <v>27</v>
      </c>
      <c r="Y2452" s="45" t="s">
        <v>28</v>
      </c>
      <c r="Z2452" s="46"/>
      <c r="AA2452" s="46"/>
      <c r="AB2452" s="121" t="s">
        <v>29</v>
      </c>
      <c r="AC2452" s="122" t="s">
        <v>30</v>
      </c>
      <c r="AD2452" s="123" t="s">
        <v>31</v>
      </c>
      <c r="AE2452" s="121" t="s">
        <v>27</v>
      </c>
      <c r="AF2452" s="123" t="s">
        <v>28</v>
      </c>
      <c r="AG2452" s="1"/>
    </row>
    <row r="2453" ht="21.0" customHeight="1">
      <c r="A2453" s="1"/>
      <c r="B2453" s="48" t="s">
        <v>32</v>
      </c>
      <c r="C2453" s="49"/>
      <c r="D2453" s="50"/>
      <c r="E2453" s="51" t="s">
        <v>33</v>
      </c>
      <c r="F2453" s="52" t="s">
        <v>34</v>
      </c>
      <c r="G2453" s="53"/>
      <c r="H2453" s="148"/>
      <c r="I2453" s="55"/>
      <c r="J2453" s="58"/>
      <c r="K2453" s="59"/>
      <c r="L2453" s="58"/>
      <c r="M2453" s="59"/>
      <c r="N2453" s="58"/>
      <c r="O2453" s="59"/>
      <c r="P2453" s="58"/>
      <c r="Q2453" s="59"/>
      <c r="R2453" s="58"/>
      <c r="S2453" s="59"/>
      <c r="T2453" s="58"/>
      <c r="U2453" s="59"/>
      <c r="V2453" s="58"/>
      <c r="W2453" s="59"/>
      <c r="X2453" s="58"/>
      <c r="Y2453" s="59"/>
      <c r="Z2453" s="60" t="b">
        <v>0</v>
      </c>
      <c r="AA2453" s="125">
        <f t="shared" ref="AA2453:AA2461" si="979">(J2453*K2453+L2453*M2453+N2453*O2453+P2453*Q2453+R2453*S2453+T2453*U2453+V2453*W2453+X2453*Y2453)*if(Z2453=true,0.453592,1)</f>
        <v>0</v>
      </c>
      <c r="AB2453" s="126">
        <f t="shared" ref="AB2453:AB2461" si="980">SUM(AE2453*AF2453*0.025,AE2453)</f>
        <v>0</v>
      </c>
      <c r="AC2453" s="127">
        <f t="shared" ref="AC2453:AC2461" si="981">AB2453*87%</f>
        <v>0</v>
      </c>
      <c r="AD2453" s="128">
        <f t="shared" ref="AD2453:AD2461" si="982">AB2453*67%</f>
        <v>0</v>
      </c>
      <c r="AE2453" s="126">
        <f t="shared" ref="AE2453:AE2461" si="983">MAX(J2453,L2453,N2453,P2453,R2453,T2453,V2453,X2453)*if(Z2453=true,0.453592,1)</f>
        <v>0</v>
      </c>
      <c r="AF2453" s="128">
        <f t="shared" ref="AF2453:AF2461" si="984">MAX(IF(J2453*if(Z2453=true,0.453592,1)=$AE2453,K2453,0),IF(L2453*if(Z2453=true,0.453592,1)=$AE2453,M2453,0),IF(N2453*if(Z2453=true,0.453592,1)=$AE2453,O2453,0),IF(P2453*if(Z2453=true,0.453592,1)=$AE2453,Q2453,0),IF(R2453*if(Z2453=true,0.453592,1)=$AE2453,S2453,0),IF(T2453*if(Z2453=true,0.453592,1)=$AE2453,U2453,0),IF(V2453*if(Z2453=true,0.453592,1)=$AE2453,W2453,0),IF(X2453*if(Z2453=true,0.453592,1)=$AE2453,Y2453,0))</f>
        <v>0</v>
      </c>
      <c r="AG2453" s="1"/>
    </row>
    <row r="2454" ht="21.0" customHeight="1">
      <c r="A2454" s="1"/>
      <c r="B2454" s="48" t="s">
        <v>36</v>
      </c>
      <c r="C2454" s="49"/>
      <c r="D2454" s="65"/>
      <c r="E2454" s="66"/>
      <c r="F2454" s="52" t="s">
        <v>37</v>
      </c>
      <c r="G2454" s="67"/>
      <c r="H2454" s="129"/>
      <c r="I2454" s="69"/>
      <c r="J2454" s="72"/>
      <c r="K2454" s="73"/>
      <c r="L2454" s="72"/>
      <c r="M2454" s="73"/>
      <c r="N2454" s="72"/>
      <c r="O2454" s="73"/>
      <c r="P2454" s="72"/>
      <c r="Q2454" s="73"/>
      <c r="R2454" s="72"/>
      <c r="S2454" s="73"/>
      <c r="T2454" s="72"/>
      <c r="U2454" s="73"/>
      <c r="V2454" s="72"/>
      <c r="W2454" s="73"/>
      <c r="X2454" s="72"/>
      <c r="Y2454" s="73"/>
      <c r="Z2454" s="74" t="b">
        <v>0</v>
      </c>
      <c r="AA2454" s="130">
        <f t="shared" si="979"/>
        <v>0</v>
      </c>
      <c r="AB2454" s="131">
        <f t="shared" si="980"/>
        <v>0</v>
      </c>
      <c r="AC2454" s="132">
        <f t="shared" si="981"/>
        <v>0</v>
      </c>
      <c r="AD2454" s="133">
        <f t="shared" si="982"/>
        <v>0</v>
      </c>
      <c r="AE2454" s="131">
        <f t="shared" si="983"/>
        <v>0</v>
      </c>
      <c r="AF2454" s="133">
        <f t="shared" si="984"/>
        <v>0</v>
      </c>
      <c r="AG2454" s="1"/>
    </row>
    <row r="2455" ht="21.0" customHeight="1">
      <c r="A2455" s="1"/>
      <c r="B2455" s="48" t="s">
        <v>39</v>
      </c>
      <c r="C2455" s="49"/>
      <c r="D2455" s="65"/>
      <c r="E2455" s="41"/>
      <c r="F2455" s="52" t="s">
        <v>40</v>
      </c>
      <c r="G2455" s="79"/>
      <c r="H2455" s="80"/>
      <c r="I2455" s="69"/>
      <c r="J2455" s="72"/>
      <c r="K2455" s="73"/>
      <c r="L2455" s="72"/>
      <c r="M2455" s="73"/>
      <c r="N2455" s="72"/>
      <c r="O2455" s="73"/>
      <c r="P2455" s="72"/>
      <c r="Q2455" s="73"/>
      <c r="R2455" s="72"/>
      <c r="S2455" s="73"/>
      <c r="T2455" s="72"/>
      <c r="U2455" s="73"/>
      <c r="V2455" s="72"/>
      <c r="W2455" s="73"/>
      <c r="X2455" s="72"/>
      <c r="Y2455" s="73"/>
      <c r="Z2455" s="74" t="b">
        <v>0</v>
      </c>
      <c r="AA2455" s="130">
        <f t="shared" si="979"/>
        <v>0</v>
      </c>
      <c r="AB2455" s="131">
        <f t="shared" si="980"/>
        <v>0</v>
      </c>
      <c r="AC2455" s="132">
        <f t="shared" si="981"/>
        <v>0</v>
      </c>
      <c r="AD2455" s="133">
        <f t="shared" si="982"/>
        <v>0</v>
      </c>
      <c r="AE2455" s="131">
        <f t="shared" si="983"/>
        <v>0</v>
      </c>
      <c r="AF2455" s="133">
        <f t="shared" si="984"/>
        <v>0</v>
      </c>
      <c r="AG2455" s="1"/>
    </row>
    <row r="2456" ht="21.0" customHeight="1">
      <c r="A2456" s="1"/>
      <c r="B2456" s="48" t="s">
        <v>41</v>
      </c>
      <c r="C2456" s="81"/>
      <c r="D2456" s="82" t="b">
        <v>0</v>
      </c>
      <c r="E2456" s="51" t="s">
        <v>42</v>
      </c>
      <c r="F2456" s="52" t="s">
        <v>34</v>
      </c>
      <c r="G2456" s="83"/>
      <c r="H2456" s="84"/>
      <c r="I2456" s="85"/>
      <c r="J2456" s="72"/>
      <c r="K2456" s="73"/>
      <c r="L2456" s="72"/>
      <c r="M2456" s="73"/>
      <c r="N2456" s="72"/>
      <c r="O2456" s="73"/>
      <c r="P2456" s="72"/>
      <c r="Q2456" s="73"/>
      <c r="R2456" s="72"/>
      <c r="S2456" s="73"/>
      <c r="T2456" s="72"/>
      <c r="U2456" s="73"/>
      <c r="V2456" s="72"/>
      <c r="W2456" s="73"/>
      <c r="X2456" s="72"/>
      <c r="Y2456" s="73"/>
      <c r="Z2456" s="74" t="b">
        <v>0</v>
      </c>
      <c r="AA2456" s="130">
        <f t="shared" si="979"/>
        <v>0</v>
      </c>
      <c r="AB2456" s="131">
        <f t="shared" si="980"/>
        <v>0</v>
      </c>
      <c r="AC2456" s="132">
        <f t="shared" si="981"/>
        <v>0</v>
      </c>
      <c r="AD2456" s="133">
        <f t="shared" si="982"/>
        <v>0</v>
      </c>
      <c r="AE2456" s="131">
        <f t="shared" si="983"/>
        <v>0</v>
      </c>
      <c r="AF2456" s="133">
        <f t="shared" si="984"/>
        <v>0</v>
      </c>
      <c r="AG2456" s="1"/>
    </row>
    <row r="2457" ht="21.0" customHeight="1">
      <c r="A2457" s="1"/>
      <c r="B2457" s="48" t="s">
        <v>43</v>
      </c>
      <c r="C2457" s="49"/>
      <c r="D2457" s="86" t="b">
        <v>0</v>
      </c>
      <c r="E2457" s="66"/>
      <c r="F2457" s="52" t="s">
        <v>37</v>
      </c>
      <c r="G2457" s="67"/>
      <c r="H2457" s="80"/>
      <c r="I2457" s="69"/>
      <c r="J2457" s="72"/>
      <c r="K2457" s="73"/>
      <c r="L2457" s="72"/>
      <c r="M2457" s="73"/>
      <c r="N2457" s="72"/>
      <c r="O2457" s="73"/>
      <c r="P2457" s="72"/>
      <c r="Q2457" s="73"/>
      <c r="R2457" s="72"/>
      <c r="S2457" s="73"/>
      <c r="T2457" s="72"/>
      <c r="U2457" s="73"/>
      <c r="V2457" s="72"/>
      <c r="W2457" s="73"/>
      <c r="X2457" s="72"/>
      <c r="Y2457" s="73"/>
      <c r="Z2457" s="74" t="b">
        <v>0</v>
      </c>
      <c r="AA2457" s="130">
        <f t="shared" si="979"/>
        <v>0</v>
      </c>
      <c r="AB2457" s="131">
        <f t="shared" si="980"/>
        <v>0</v>
      </c>
      <c r="AC2457" s="132">
        <f t="shared" si="981"/>
        <v>0</v>
      </c>
      <c r="AD2457" s="133">
        <f t="shared" si="982"/>
        <v>0</v>
      </c>
      <c r="AE2457" s="131">
        <f t="shared" si="983"/>
        <v>0</v>
      </c>
      <c r="AF2457" s="133">
        <f t="shared" si="984"/>
        <v>0</v>
      </c>
      <c r="AG2457" s="1"/>
    </row>
    <row r="2458" ht="21.0" customHeight="1">
      <c r="A2458" s="1"/>
      <c r="B2458" s="87" t="str">
        <f t="array" ref="B2458">"📌최근 인바디 결과 : "&amp;text(xlookup(B2450,'현황'!O:O,'현황'!O:O,,-1,-1),"m/d(ddd)")</f>
        <v>#REF!</v>
      </c>
      <c r="C2458" s="88"/>
      <c r="D2458" s="49"/>
      <c r="E2458" s="41"/>
      <c r="F2458" s="52" t="s">
        <v>40</v>
      </c>
      <c r="G2458" s="79"/>
      <c r="H2458" s="80"/>
      <c r="I2458" s="69"/>
      <c r="J2458" s="72"/>
      <c r="K2458" s="73"/>
      <c r="L2458" s="72"/>
      <c r="M2458" s="73"/>
      <c r="N2458" s="72"/>
      <c r="O2458" s="73"/>
      <c r="P2458" s="72"/>
      <c r="Q2458" s="73"/>
      <c r="R2458" s="72"/>
      <c r="S2458" s="73"/>
      <c r="T2458" s="72"/>
      <c r="U2458" s="73"/>
      <c r="V2458" s="72"/>
      <c r="W2458" s="73"/>
      <c r="X2458" s="72"/>
      <c r="Y2458" s="73"/>
      <c r="Z2458" s="74" t="b">
        <v>0</v>
      </c>
      <c r="AA2458" s="130">
        <f t="shared" si="979"/>
        <v>0</v>
      </c>
      <c r="AB2458" s="131">
        <f t="shared" si="980"/>
        <v>0</v>
      </c>
      <c r="AC2458" s="132">
        <f t="shared" si="981"/>
        <v>0</v>
      </c>
      <c r="AD2458" s="133">
        <f t="shared" si="982"/>
        <v>0</v>
      </c>
      <c r="AE2458" s="131">
        <f t="shared" si="983"/>
        <v>0</v>
      </c>
      <c r="AF2458" s="133">
        <f t="shared" si="984"/>
        <v>0</v>
      </c>
      <c r="AG2458" s="1"/>
    </row>
    <row r="2459" ht="21.0" customHeight="1">
      <c r="A2459" s="1"/>
      <c r="B2459" s="89" t="s">
        <v>44</v>
      </c>
      <c r="C2459" s="49"/>
      <c r="D2459" s="90">
        <f t="array" ref="D2459">iferror(vlookup(xlookup(B2450,'현황'!O:O,'현황'!O:O,,-1,-1),'현황'!O:S,2,false),0)</f>
        <v>0</v>
      </c>
      <c r="E2459" s="51" t="s">
        <v>45</v>
      </c>
      <c r="F2459" s="52" t="s">
        <v>34</v>
      </c>
      <c r="G2459" s="83"/>
      <c r="H2459" s="84"/>
      <c r="I2459" s="85"/>
      <c r="J2459" s="72"/>
      <c r="K2459" s="73"/>
      <c r="L2459" s="72"/>
      <c r="M2459" s="73"/>
      <c r="N2459" s="72"/>
      <c r="O2459" s="73"/>
      <c r="P2459" s="72"/>
      <c r="Q2459" s="73"/>
      <c r="R2459" s="72"/>
      <c r="S2459" s="73"/>
      <c r="T2459" s="72"/>
      <c r="U2459" s="73"/>
      <c r="V2459" s="72"/>
      <c r="W2459" s="73"/>
      <c r="X2459" s="72"/>
      <c r="Y2459" s="73"/>
      <c r="Z2459" s="74" t="b">
        <v>0</v>
      </c>
      <c r="AA2459" s="130">
        <f t="shared" si="979"/>
        <v>0</v>
      </c>
      <c r="AB2459" s="131">
        <f t="shared" si="980"/>
        <v>0</v>
      </c>
      <c r="AC2459" s="132">
        <f t="shared" si="981"/>
        <v>0</v>
      </c>
      <c r="AD2459" s="133">
        <f t="shared" si="982"/>
        <v>0</v>
      </c>
      <c r="AE2459" s="131">
        <f t="shared" si="983"/>
        <v>0</v>
      </c>
      <c r="AF2459" s="133">
        <f t="shared" si="984"/>
        <v>0</v>
      </c>
      <c r="AG2459" s="1"/>
    </row>
    <row r="2460" ht="21.0" customHeight="1">
      <c r="A2460" s="1"/>
      <c r="B2460" s="48" t="s">
        <v>46</v>
      </c>
      <c r="C2460" s="49"/>
      <c r="D2460" s="91">
        <f t="array" ref="D2460">iferror(vlookup(xlookup(B2450,'현황'!O:O,'현황'!O:O,,-1,-1),'현황'!O:S,3,false),0)</f>
        <v>0</v>
      </c>
      <c r="E2460" s="66"/>
      <c r="F2460" s="52" t="s">
        <v>37</v>
      </c>
      <c r="G2460" s="67"/>
      <c r="H2460" s="80"/>
      <c r="I2460" s="69"/>
      <c r="J2460" s="72"/>
      <c r="K2460" s="73"/>
      <c r="L2460" s="72"/>
      <c r="M2460" s="73"/>
      <c r="N2460" s="72"/>
      <c r="O2460" s="73"/>
      <c r="P2460" s="72"/>
      <c r="Q2460" s="73"/>
      <c r="R2460" s="72"/>
      <c r="S2460" s="73"/>
      <c r="T2460" s="72"/>
      <c r="U2460" s="73"/>
      <c r="V2460" s="72"/>
      <c r="W2460" s="73"/>
      <c r="X2460" s="72"/>
      <c r="Y2460" s="73"/>
      <c r="Z2460" s="74" t="b">
        <v>0</v>
      </c>
      <c r="AA2460" s="130">
        <f t="shared" si="979"/>
        <v>0</v>
      </c>
      <c r="AB2460" s="131">
        <f t="shared" si="980"/>
        <v>0</v>
      </c>
      <c r="AC2460" s="132">
        <f t="shared" si="981"/>
        <v>0</v>
      </c>
      <c r="AD2460" s="133">
        <f t="shared" si="982"/>
        <v>0</v>
      </c>
      <c r="AE2460" s="131">
        <f t="shared" si="983"/>
        <v>0</v>
      </c>
      <c r="AF2460" s="133">
        <f t="shared" si="984"/>
        <v>0</v>
      </c>
      <c r="AG2460" s="1"/>
    </row>
    <row r="2461" ht="21.0" customHeight="1">
      <c r="A2461" s="1"/>
      <c r="B2461" s="48" t="s">
        <v>47</v>
      </c>
      <c r="C2461" s="49"/>
      <c r="D2461" s="91">
        <f t="array" ref="D2461">iferror(vlookup(xlookup(B2450,'현황'!O:O,'현황'!O:O,,-1,-1),'현황'!O:S,4,false),0)</f>
        <v>0</v>
      </c>
      <c r="E2461" s="41"/>
      <c r="F2461" s="92" t="s">
        <v>40</v>
      </c>
      <c r="G2461" s="79"/>
      <c r="H2461" s="93"/>
      <c r="I2461" s="94"/>
      <c r="J2461" s="95"/>
      <c r="K2461" s="96"/>
      <c r="L2461" s="95"/>
      <c r="M2461" s="96"/>
      <c r="N2461" s="95"/>
      <c r="O2461" s="96"/>
      <c r="P2461" s="95"/>
      <c r="Q2461" s="96"/>
      <c r="R2461" s="95"/>
      <c r="S2461" s="96"/>
      <c r="T2461" s="95"/>
      <c r="U2461" s="96"/>
      <c r="V2461" s="95"/>
      <c r="W2461" s="96"/>
      <c r="X2461" s="95"/>
      <c r="Y2461" s="96"/>
      <c r="Z2461" s="97" t="b">
        <v>0</v>
      </c>
      <c r="AA2461" s="135">
        <f t="shared" si="979"/>
        <v>0</v>
      </c>
      <c r="AB2461" s="136">
        <f t="shared" si="980"/>
        <v>0</v>
      </c>
      <c r="AC2461" s="137">
        <f t="shared" si="981"/>
        <v>0</v>
      </c>
      <c r="AD2461" s="138">
        <f t="shared" si="982"/>
        <v>0</v>
      </c>
      <c r="AE2461" s="136">
        <f t="shared" si="983"/>
        <v>0</v>
      </c>
      <c r="AF2461" s="138">
        <f t="shared" si="984"/>
        <v>0</v>
      </c>
      <c r="AG2461" s="1"/>
    </row>
    <row r="2462" ht="21.0" customHeight="1">
      <c r="A2462" s="1"/>
      <c r="B2462" s="102" t="s">
        <v>48</v>
      </c>
      <c r="C2462" s="103"/>
      <c r="D2462" s="104">
        <f>iferror(D2461/D2459,0)</f>
        <v>0</v>
      </c>
      <c r="E2462" s="102" t="s">
        <v>49</v>
      </c>
      <c r="F2462" s="103"/>
      <c r="G2462" s="105"/>
      <c r="H2462" s="143" t="s">
        <v>50</v>
      </c>
      <c r="I2462" s="144"/>
      <c r="J2462" s="11"/>
      <c r="K2462" s="11"/>
      <c r="L2462" s="11"/>
      <c r="M2462" s="11"/>
      <c r="N2462" s="11"/>
      <c r="O2462" s="11"/>
      <c r="P2462" s="145" t="s">
        <v>51</v>
      </c>
      <c r="Q2462" s="12"/>
      <c r="R2462" s="146"/>
      <c r="S2462" s="11"/>
      <c r="T2462" s="11"/>
      <c r="U2462" s="11"/>
      <c r="V2462" s="11"/>
      <c r="W2462" s="11"/>
      <c r="X2462" s="11"/>
      <c r="Y2462" s="11"/>
      <c r="Z2462" s="12"/>
      <c r="AA2462" s="139">
        <f>SUM(AA2453:AA2461)</f>
        <v>0</v>
      </c>
      <c r="AB2462" s="140" t="s">
        <v>425</v>
      </c>
      <c r="AG2462" s="1"/>
    </row>
    <row r="2463" ht="21.0" customHeight="1">
      <c r="A2463" s="1"/>
      <c r="B2463" s="1"/>
      <c r="C2463" s="1"/>
      <c r="D2463" s="1"/>
      <c r="E2463" s="1"/>
      <c r="F2463" s="1"/>
      <c r="G2463" s="1"/>
      <c r="H2463" s="1"/>
      <c r="I2463" s="1"/>
      <c r="AA2463" s="1"/>
      <c r="AB2463" s="1"/>
      <c r="AC2463" s="3"/>
      <c r="AD2463" s="1"/>
      <c r="AE2463" s="1"/>
      <c r="AF2463" s="1"/>
      <c r="AG2463" s="1"/>
    </row>
    <row r="2464" ht="21.0" customHeight="1">
      <c r="A2464" s="1"/>
      <c r="B2464" s="4" t="s">
        <v>1</v>
      </c>
      <c r="C2464" s="5"/>
      <c r="D2464" s="6" t="s">
        <v>2</v>
      </c>
      <c r="E2464" s="7"/>
      <c r="F2464" s="7"/>
      <c r="G2464" s="5"/>
      <c r="H2464" s="8" t="s">
        <v>3</v>
      </c>
      <c r="I2464" s="8" t="s">
        <v>4</v>
      </c>
      <c r="J2464" s="9" t="s">
        <v>5</v>
      </c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5"/>
      <c r="AA2464" s="117" t="s">
        <v>6</v>
      </c>
      <c r="AB2464" s="11"/>
      <c r="AC2464" s="11"/>
      <c r="AD2464" s="11"/>
      <c r="AE2464" s="11"/>
      <c r="AF2464" s="12"/>
      <c r="AG2464" s="1"/>
    </row>
    <row r="2465" ht="21.0" customHeight="1">
      <c r="A2465" s="1"/>
      <c r="B2465" s="149" t="s">
        <v>138</v>
      </c>
      <c r="C2465" s="14" t="str">
        <f>if(B2465="0/0","",choose(weekday(B2465),"(일)","(월)","(화)","(수)","(목)","(금)","(토)"))</f>
        <v/>
      </c>
      <c r="D2465" s="15" t="s">
        <v>7</v>
      </c>
      <c r="E2465" s="16" t="s">
        <v>8</v>
      </c>
      <c r="F2465" s="17"/>
      <c r="G2465" s="18" t="s">
        <v>9</v>
      </c>
      <c r="H2465" s="150" t="s">
        <v>139</v>
      </c>
      <c r="I2465" s="151"/>
      <c r="J2465" s="21" t="s">
        <v>12</v>
      </c>
      <c r="K2465" s="22"/>
      <c r="L2465" s="21" t="s">
        <v>13</v>
      </c>
      <c r="M2465" s="22"/>
      <c r="N2465" s="21" t="s">
        <v>14</v>
      </c>
      <c r="O2465" s="22"/>
      <c r="P2465" s="21" t="s">
        <v>15</v>
      </c>
      <c r="Q2465" s="22"/>
      <c r="R2465" s="23" t="s">
        <v>16</v>
      </c>
      <c r="S2465" s="22"/>
      <c r="T2465" s="23" t="s">
        <v>17</v>
      </c>
      <c r="U2465" s="22"/>
      <c r="V2465" s="23" t="s">
        <v>18</v>
      </c>
      <c r="W2465" s="22"/>
      <c r="X2465" s="23" t="s">
        <v>19</v>
      </c>
      <c r="Y2465" s="22"/>
      <c r="Z2465" s="24" t="s">
        <v>426</v>
      </c>
      <c r="AA2465" s="118" t="s">
        <v>21</v>
      </c>
      <c r="AB2465" s="119" t="s">
        <v>22</v>
      </c>
      <c r="AC2465" s="7"/>
      <c r="AD2465" s="22"/>
      <c r="AE2465" s="120" t="s">
        <v>23</v>
      </c>
      <c r="AF2465" s="22"/>
      <c r="AG2465" s="1"/>
    </row>
    <row r="2466" ht="21.0" customHeight="1">
      <c r="A2466" s="1"/>
      <c r="B2466" s="27">
        <f>iferror(B2465-'현황'!$C$4+1,0)</f>
        <v>0</v>
      </c>
      <c r="C2466" s="28"/>
      <c r="D2466" s="29">
        <v>0.0</v>
      </c>
      <c r="E2466" s="30">
        <v>0.0</v>
      </c>
      <c r="F2466" s="31"/>
      <c r="G2466" s="32">
        <v>0.0</v>
      </c>
      <c r="H2466" s="33">
        <v>0.0</v>
      </c>
      <c r="I2466" s="34"/>
      <c r="J2466" s="35"/>
      <c r="K2466" s="36"/>
      <c r="L2466" s="35"/>
      <c r="M2466" s="36"/>
      <c r="N2466" s="35"/>
      <c r="O2466" s="36"/>
      <c r="P2466" s="35"/>
      <c r="Q2466" s="36"/>
      <c r="R2466" s="35"/>
      <c r="S2466" s="36"/>
      <c r="T2466" s="35"/>
      <c r="U2466" s="36"/>
      <c r="V2466" s="35"/>
      <c r="W2466" s="36"/>
      <c r="X2466" s="35"/>
      <c r="Y2466" s="36"/>
      <c r="Z2466" s="37"/>
      <c r="AA2466" s="37"/>
      <c r="AB2466" s="35"/>
      <c r="AC2466" s="38"/>
      <c r="AD2466" s="36"/>
      <c r="AE2466" s="35"/>
      <c r="AF2466" s="36"/>
      <c r="AG2466" s="1"/>
    </row>
    <row r="2467" ht="21.0" customHeight="1">
      <c r="A2467" s="1"/>
      <c r="B2467" s="39" t="s">
        <v>24</v>
      </c>
      <c r="C2467" s="40"/>
      <c r="D2467" s="41"/>
      <c r="E2467" s="42" t="s">
        <v>25</v>
      </c>
      <c r="F2467" s="40"/>
      <c r="G2467" s="41"/>
      <c r="H2467" s="43" t="s">
        <v>26</v>
      </c>
      <c r="J2467" s="44" t="s">
        <v>27</v>
      </c>
      <c r="K2467" s="45" t="s">
        <v>28</v>
      </c>
      <c r="L2467" s="44" t="s">
        <v>27</v>
      </c>
      <c r="M2467" s="45" t="s">
        <v>28</v>
      </c>
      <c r="N2467" s="44" t="s">
        <v>27</v>
      </c>
      <c r="O2467" s="45" t="s">
        <v>28</v>
      </c>
      <c r="P2467" s="44" t="s">
        <v>27</v>
      </c>
      <c r="Q2467" s="45" t="s">
        <v>28</v>
      </c>
      <c r="R2467" s="44" t="s">
        <v>27</v>
      </c>
      <c r="S2467" s="45" t="s">
        <v>28</v>
      </c>
      <c r="T2467" s="44" t="s">
        <v>27</v>
      </c>
      <c r="U2467" s="45" t="s">
        <v>28</v>
      </c>
      <c r="V2467" s="44" t="s">
        <v>27</v>
      </c>
      <c r="W2467" s="45" t="s">
        <v>28</v>
      </c>
      <c r="X2467" s="44" t="s">
        <v>27</v>
      </c>
      <c r="Y2467" s="45" t="s">
        <v>28</v>
      </c>
      <c r="Z2467" s="46"/>
      <c r="AA2467" s="46"/>
      <c r="AB2467" s="121" t="s">
        <v>29</v>
      </c>
      <c r="AC2467" s="122" t="s">
        <v>30</v>
      </c>
      <c r="AD2467" s="123" t="s">
        <v>31</v>
      </c>
      <c r="AE2467" s="121" t="s">
        <v>27</v>
      </c>
      <c r="AF2467" s="123" t="s">
        <v>28</v>
      </c>
      <c r="AG2467" s="1"/>
    </row>
    <row r="2468" ht="21.0" customHeight="1">
      <c r="A2468" s="1"/>
      <c r="B2468" s="48" t="s">
        <v>32</v>
      </c>
      <c r="C2468" s="49"/>
      <c r="D2468" s="50"/>
      <c r="E2468" s="51" t="s">
        <v>33</v>
      </c>
      <c r="F2468" s="52" t="s">
        <v>34</v>
      </c>
      <c r="G2468" s="53"/>
      <c r="H2468" s="148"/>
      <c r="I2468" s="55"/>
      <c r="J2468" s="58"/>
      <c r="K2468" s="59"/>
      <c r="L2468" s="58"/>
      <c r="M2468" s="59"/>
      <c r="N2468" s="58"/>
      <c r="O2468" s="59"/>
      <c r="P2468" s="58"/>
      <c r="Q2468" s="59"/>
      <c r="R2468" s="58"/>
      <c r="S2468" s="59"/>
      <c r="T2468" s="58"/>
      <c r="U2468" s="59"/>
      <c r="V2468" s="58"/>
      <c r="W2468" s="59"/>
      <c r="X2468" s="58"/>
      <c r="Y2468" s="59"/>
      <c r="Z2468" s="60" t="b">
        <v>0</v>
      </c>
      <c r="AA2468" s="125">
        <f t="shared" ref="AA2468:AA2476" si="985">(J2468*K2468+L2468*M2468+N2468*O2468+P2468*Q2468+R2468*S2468+T2468*U2468+V2468*W2468+X2468*Y2468)*if(Z2468=true,0.453592,1)</f>
        <v>0</v>
      </c>
      <c r="AB2468" s="126">
        <f t="shared" ref="AB2468:AB2476" si="986">SUM(AE2468*AF2468*0.025,AE2468)</f>
        <v>0</v>
      </c>
      <c r="AC2468" s="127">
        <f t="shared" ref="AC2468:AC2476" si="987">AB2468*87%</f>
        <v>0</v>
      </c>
      <c r="AD2468" s="128">
        <f t="shared" ref="AD2468:AD2476" si="988">AB2468*67%</f>
        <v>0</v>
      </c>
      <c r="AE2468" s="126">
        <f t="shared" ref="AE2468:AE2476" si="989">MAX(J2468,L2468,N2468,P2468,R2468,T2468,V2468,X2468)*if(Z2468=true,0.453592,1)</f>
        <v>0</v>
      </c>
      <c r="AF2468" s="128">
        <f t="shared" ref="AF2468:AF2476" si="990">MAX(IF(J2468*if(Z2468=true,0.453592,1)=$AE2468,K2468,0),IF(L2468*if(Z2468=true,0.453592,1)=$AE2468,M2468,0),IF(N2468*if(Z2468=true,0.453592,1)=$AE2468,O2468,0),IF(P2468*if(Z2468=true,0.453592,1)=$AE2468,Q2468,0),IF(R2468*if(Z2468=true,0.453592,1)=$AE2468,S2468,0),IF(T2468*if(Z2468=true,0.453592,1)=$AE2468,U2468,0),IF(V2468*if(Z2468=true,0.453592,1)=$AE2468,W2468,0),IF(X2468*if(Z2468=true,0.453592,1)=$AE2468,Y2468,0))</f>
        <v>0</v>
      </c>
      <c r="AG2468" s="1"/>
    </row>
    <row r="2469" ht="21.0" customHeight="1">
      <c r="A2469" s="1"/>
      <c r="B2469" s="48" t="s">
        <v>36</v>
      </c>
      <c r="C2469" s="49"/>
      <c r="D2469" s="65"/>
      <c r="E2469" s="66"/>
      <c r="F2469" s="52" t="s">
        <v>37</v>
      </c>
      <c r="G2469" s="67"/>
      <c r="H2469" s="129"/>
      <c r="I2469" s="69"/>
      <c r="J2469" s="72"/>
      <c r="K2469" s="73"/>
      <c r="L2469" s="72"/>
      <c r="M2469" s="73"/>
      <c r="N2469" s="72"/>
      <c r="O2469" s="73"/>
      <c r="P2469" s="72"/>
      <c r="Q2469" s="73"/>
      <c r="R2469" s="72"/>
      <c r="S2469" s="73"/>
      <c r="T2469" s="72"/>
      <c r="U2469" s="73"/>
      <c r="V2469" s="72"/>
      <c r="W2469" s="73"/>
      <c r="X2469" s="72"/>
      <c r="Y2469" s="73"/>
      <c r="Z2469" s="74" t="b">
        <v>0</v>
      </c>
      <c r="AA2469" s="130">
        <f t="shared" si="985"/>
        <v>0</v>
      </c>
      <c r="AB2469" s="131">
        <f t="shared" si="986"/>
        <v>0</v>
      </c>
      <c r="AC2469" s="132">
        <f t="shared" si="987"/>
        <v>0</v>
      </c>
      <c r="AD2469" s="133">
        <f t="shared" si="988"/>
        <v>0</v>
      </c>
      <c r="AE2469" s="131">
        <f t="shared" si="989"/>
        <v>0</v>
      </c>
      <c r="AF2469" s="133">
        <f t="shared" si="990"/>
        <v>0</v>
      </c>
      <c r="AG2469" s="1"/>
    </row>
    <row r="2470" ht="21.0" customHeight="1">
      <c r="A2470" s="1"/>
      <c r="B2470" s="48" t="s">
        <v>39</v>
      </c>
      <c r="C2470" s="49"/>
      <c r="D2470" s="65"/>
      <c r="E2470" s="41"/>
      <c r="F2470" s="52" t="s">
        <v>40</v>
      </c>
      <c r="G2470" s="79"/>
      <c r="H2470" s="80"/>
      <c r="I2470" s="69"/>
      <c r="J2470" s="72"/>
      <c r="K2470" s="73"/>
      <c r="L2470" s="72"/>
      <c r="M2470" s="73"/>
      <c r="N2470" s="72"/>
      <c r="O2470" s="73"/>
      <c r="P2470" s="72"/>
      <c r="Q2470" s="73"/>
      <c r="R2470" s="72"/>
      <c r="S2470" s="73"/>
      <c r="T2470" s="72"/>
      <c r="U2470" s="73"/>
      <c r="V2470" s="72"/>
      <c r="W2470" s="73"/>
      <c r="X2470" s="72"/>
      <c r="Y2470" s="73"/>
      <c r="Z2470" s="74" t="b">
        <v>0</v>
      </c>
      <c r="AA2470" s="130">
        <f t="shared" si="985"/>
        <v>0</v>
      </c>
      <c r="AB2470" s="131">
        <f t="shared" si="986"/>
        <v>0</v>
      </c>
      <c r="AC2470" s="132">
        <f t="shared" si="987"/>
        <v>0</v>
      </c>
      <c r="AD2470" s="133">
        <f t="shared" si="988"/>
        <v>0</v>
      </c>
      <c r="AE2470" s="131">
        <f t="shared" si="989"/>
        <v>0</v>
      </c>
      <c r="AF2470" s="133">
        <f t="shared" si="990"/>
        <v>0</v>
      </c>
      <c r="AG2470" s="1"/>
    </row>
    <row r="2471" ht="21.0" customHeight="1">
      <c r="A2471" s="1"/>
      <c r="B2471" s="48" t="s">
        <v>41</v>
      </c>
      <c r="C2471" s="81"/>
      <c r="D2471" s="82" t="b">
        <v>0</v>
      </c>
      <c r="E2471" s="51" t="s">
        <v>42</v>
      </c>
      <c r="F2471" s="52" t="s">
        <v>34</v>
      </c>
      <c r="G2471" s="83"/>
      <c r="H2471" s="84"/>
      <c r="I2471" s="85"/>
      <c r="J2471" s="72"/>
      <c r="K2471" s="73"/>
      <c r="L2471" s="72"/>
      <c r="M2471" s="73"/>
      <c r="N2471" s="72"/>
      <c r="O2471" s="73"/>
      <c r="P2471" s="72"/>
      <c r="Q2471" s="73"/>
      <c r="R2471" s="72"/>
      <c r="S2471" s="73"/>
      <c r="T2471" s="72"/>
      <c r="U2471" s="73"/>
      <c r="V2471" s="72"/>
      <c r="W2471" s="73"/>
      <c r="X2471" s="72"/>
      <c r="Y2471" s="73"/>
      <c r="Z2471" s="74" t="b">
        <v>0</v>
      </c>
      <c r="AA2471" s="130">
        <f t="shared" si="985"/>
        <v>0</v>
      </c>
      <c r="AB2471" s="131">
        <f t="shared" si="986"/>
        <v>0</v>
      </c>
      <c r="AC2471" s="132">
        <f t="shared" si="987"/>
        <v>0</v>
      </c>
      <c r="AD2471" s="133">
        <f t="shared" si="988"/>
        <v>0</v>
      </c>
      <c r="AE2471" s="131">
        <f t="shared" si="989"/>
        <v>0</v>
      </c>
      <c r="AF2471" s="133">
        <f t="shared" si="990"/>
        <v>0</v>
      </c>
      <c r="AG2471" s="1"/>
    </row>
    <row r="2472" ht="21.0" customHeight="1">
      <c r="A2472" s="1"/>
      <c r="B2472" s="48" t="s">
        <v>43</v>
      </c>
      <c r="C2472" s="49"/>
      <c r="D2472" s="86" t="b">
        <v>0</v>
      </c>
      <c r="E2472" s="66"/>
      <c r="F2472" s="52" t="s">
        <v>37</v>
      </c>
      <c r="G2472" s="67"/>
      <c r="H2472" s="80"/>
      <c r="I2472" s="69"/>
      <c r="J2472" s="72"/>
      <c r="K2472" s="73"/>
      <c r="L2472" s="72"/>
      <c r="M2472" s="73"/>
      <c r="N2472" s="72"/>
      <c r="O2472" s="73"/>
      <c r="P2472" s="72"/>
      <c r="Q2472" s="73"/>
      <c r="R2472" s="72"/>
      <c r="S2472" s="73"/>
      <c r="T2472" s="72"/>
      <c r="U2472" s="73"/>
      <c r="V2472" s="72"/>
      <c r="W2472" s="73"/>
      <c r="X2472" s="72"/>
      <c r="Y2472" s="73"/>
      <c r="Z2472" s="74" t="b">
        <v>0</v>
      </c>
      <c r="AA2472" s="130">
        <f t="shared" si="985"/>
        <v>0</v>
      </c>
      <c r="AB2472" s="131">
        <f t="shared" si="986"/>
        <v>0</v>
      </c>
      <c r="AC2472" s="132">
        <f t="shared" si="987"/>
        <v>0</v>
      </c>
      <c r="AD2472" s="133">
        <f t="shared" si="988"/>
        <v>0</v>
      </c>
      <c r="AE2472" s="131">
        <f t="shared" si="989"/>
        <v>0</v>
      </c>
      <c r="AF2472" s="133">
        <f t="shared" si="990"/>
        <v>0</v>
      </c>
      <c r="AG2472" s="1"/>
    </row>
    <row r="2473" ht="21.0" customHeight="1">
      <c r="A2473" s="1"/>
      <c r="B2473" s="87" t="str">
        <f t="array" ref="B2473">"📌최근 인바디 결과 : "&amp;text(xlookup(B2465,'현황'!O:O,'현황'!O:O,,-1,-1),"m/d(ddd)")</f>
        <v>#REF!</v>
      </c>
      <c r="C2473" s="88"/>
      <c r="D2473" s="49"/>
      <c r="E2473" s="41"/>
      <c r="F2473" s="52" t="s">
        <v>40</v>
      </c>
      <c r="G2473" s="79"/>
      <c r="H2473" s="80"/>
      <c r="I2473" s="69"/>
      <c r="J2473" s="72"/>
      <c r="K2473" s="73"/>
      <c r="L2473" s="72"/>
      <c r="M2473" s="73"/>
      <c r="N2473" s="72"/>
      <c r="O2473" s="73"/>
      <c r="P2473" s="72"/>
      <c r="Q2473" s="73"/>
      <c r="R2473" s="72"/>
      <c r="S2473" s="73"/>
      <c r="T2473" s="72"/>
      <c r="U2473" s="73"/>
      <c r="V2473" s="72"/>
      <c r="W2473" s="73"/>
      <c r="X2473" s="72"/>
      <c r="Y2473" s="73"/>
      <c r="Z2473" s="74" t="b">
        <v>0</v>
      </c>
      <c r="AA2473" s="130">
        <f t="shared" si="985"/>
        <v>0</v>
      </c>
      <c r="AB2473" s="131">
        <f t="shared" si="986"/>
        <v>0</v>
      </c>
      <c r="AC2473" s="132">
        <f t="shared" si="987"/>
        <v>0</v>
      </c>
      <c r="AD2473" s="133">
        <f t="shared" si="988"/>
        <v>0</v>
      </c>
      <c r="AE2473" s="131">
        <f t="shared" si="989"/>
        <v>0</v>
      </c>
      <c r="AF2473" s="133">
        <f t="shared" si="990"/>
        <v>0</v>
      </c>
      <c r="AG2473" s="1"/>
    </row>
    <row r="2474" ht="21.0" customHeight="1">
      <c r="A2474" s="1"/>
      <c r="B2474" s="89" t="s">
        <v>44</v>
      </c>
      <c r="C2474" s="49"/>
      <c r="D2474" s="90">
        <f t="array" ref="D2474">iferror(vlookup(xlookup(B2465,'현황'!O:O,'현황'!O:O,,-1,-1),'현황'!O:S,2,false),0)</f>
        <v>0</v>
      </c>
      <c r="E2474" s="51" t="s">
        <v>45</v>
      </c>
      <c r="F2474" s="52" t="s">
        <v>34</v>
      </c>
      <c r="G2474" s="83"/>
      <c r="H2474" s="84"/>
      <c r="I2474" s="85"/>
      <c r="J2474" s="72"/>
      <c r="K2474" s="73"/>
      <c r="L2474" s="72"/>
      <c r="M2474" s="73"/>
      <c r="N2474" s="72"/>
      <c r="O2474" s="73"/>
      <c r="P2474" s="72"/>
      <c r="Q2474" s="73"/>
      <c r="R2474" s="72"/>
      <c r="S2474" s="73"/>
      <c r="T2474" s="72"/>
      <c r="U2474" s="73"/>
      <c r="V2474" s="72"/>
      <c r="W2474" s="73"/>
      <c r="X2474" s="72"/>
      <c r="Y2474" s="73"/>
      <c r="Z2474" s="74" t="b">
        <v>0</v>
      </c>
      <c r="AA2474" s="130">
        <f t="shared" si="985"/>
        <v>0</v>
      </c>
      <c r="AB2474" s="131">
        <f t="shared" si="986"/>
        <v>0</v>
      </c>
      <c r="AC2474" s="132">
        <f t="shared" si="987"/>
        <v>0</v>
      </c>
      <c r="AD2474" s="133">
        <f t="shared" si="988"/>
        <v>0</v>
      </c>
      <c r="AE2474" s="131">
        <f t="shared" si="989"/>
        <v>0</v>
      </c>
      <c r="AF2474" s="133">
        <f t="shared" si="990"/>
        <v>0</v>
      </c>
      <c r="AG2474" s="1"/>
    </row>
    <row r="2475" ht="21.0" customHeight="1">
      <c r="A2475" s="1"/>
      <c r="B2475" s="48" t="s">
        <v>46</v>
      </c>
      <c r="C2475" s="49"/>
      <c r="D2475" s="91">
        <f t="array" ref="D2475">iferror(vlookup(xlookup(B2465,'현황'!O:O,'현황'!O:O,,-1,-1),'현황'!O:S,3,false),0)</f>
        <v>0</v>
      </c>
      <c r="E2475" s="66"/>
      <c r="F2475" s="52" t="s">
        <v>37</v>
      </c>
      <c r="G2475" s="67"/>
      <c r="H2475" s="80"/>
      <c r="I2475" s="69"/>
      <c r="J2475" s="72"/>
      <c r="K2475" s="73"/>
      <c r="L2475" s="72"/>
      <c r="M2475" s="73"/>
      <c r="N2475" s="72"/>
      <c r="O2475" s="73"/>
      <c r="P2475" s="72"/>
      <c r="Q2475" s="73"/>
      <c r="R2475" s="72"/>
      <c r="S2475" s="73"/>
      <c r="T2475" s="72"/>
      <c r="U2475" s="73"/>
      <c r="V2475" s="72"/>
      <c r="W2475" s="73"/>
      <c r="X2475" s="72"/>
      <c r="Y2475" s="73"/>
      <c r="Z2475" s="74" t="b">
        <v>0</v>
      </c>
      <c r="AA2475" s="130">
        <f t="shared" si="985"/>
        <v>0</v>
      </c>
      <c r="AB2475" s="131">
        <f t="shared" si="986"/>
        <v>0</v>
      </c>
      <c r="AC2475" s="132">
        <f t="shared" si="987"/>
        <v>0</v>
      </c>
      <c r="AD2475" s="133">
        <f t="shared" si="988"/>
        <v>0</v>
      </c>
      <c r="AE2475" s="131">
        <f t="shared" si="989"/>
        <v>0</v>
      </c>
      <c r="AF2475" s="133">
        <f t="shared" si="990"/>
        <v>0</v>
      </c>
      <c r="AG2475" s="1"/>
    </row>
    <row r="2476" ht="21.0" customHeight="1">
      <c r="A2476" s="1"/>
      <c r="B2476" s="48" t="s">
        <v>47</v>
      </c>
      <c r="C2476" s="49"/>
      <c r="D2476" s="91">
        <f t="array" ref="D2476">iferror(vlookup(xlookup(B2465,'현황'!O:O,'현황'!O:O,,-1,-1),'현황'!O:S,4,false),0)</f>
        <v>0</v>
      </c>
      <c r="E2476" s="41"/>
      <c r="F2476" s="92" t="s">
        <v>40</v>
      </c>
      <c r="G2476" s="79"/>
      <c r="H2476" s="93"/>
      <c r="I2476" s="94"/>
      <c r="J2476" s="95"/>
      <c r="K2476" s="96"/>
      <c r="L2476" s="95"/>
      <c r="M2476" s="96"/>
      <c r="N2476" s="95"/>
      <c r="O2476" s="96"/>
      <c r="P2476" s="95"/>
      <c r="Q2476" s="96"/>
      <c r="R2476" s="95"/>
      <c r="S2476" s="96"/>
      <c r="T2476" s="95"/>
      <c r="U2476" s="96"/>
      <c r="V2476" s="95"/>
      <c r="W2476" s="96"/>
      <c r="X2476" s="95"/>
      <c r="Y2476" s="96"/>
      <c r="Z2476" s="97" t="b">
        <v>0</v>
      </c>
      <c r="AA2476" s="135">
        <f t="shared" si="985"/>
        <v>0</v>
      </c>
      <c r="AB2476" s="136">
        <f t="shared" si="986"/>
        <v>0</v>
      </c>
      <c r="AC2476" s="137">
        <f t="shared" si="987"/>
        <v>0</v>
      </c>
      <c r="AD2476" s="138">
        <f t="shared" si="988"/>
        <v>0</v>
      </c>
      <c r="AE2476" s="136">
        <f t="shared" si="989"/>
        <v>0</v>
      </c>
      <c r="AF2476" s="138">
        <f t="shared" si="990"/>
        <v>0</v>
      </c>
      <c r="AG2476" s="1"/>
    </row>
    <row r="2477" ht="21.0" customHeight="1">
      <c r="A2477" s="1"/>
      <c r="B2477" s="102" t="s">
        <v>48</v>
      </c>
      <c r="C2477" s="103"/>
      <c r="D2477" s="104">
        <f>iferror(D2476/D2474,0)</f>
        <v>0</v>
      </c>
      <c r="E2477" s="102" t="s">
        <v>49</v>
      </c>
      <c r="F2477" s="103"/>
      <c r="G2477" s="105"/>
      <c r="H2477" s="106" t="s">
        <v>50</v>
      </c>
      <c r="I2477" s="107"/>
      <c r="J2477" s="11"/>
      <c r="K2477" s="11"/>
      <c r="L2477" s="11"/>
      <c r="M2477" s="11"/>
      <c r="N2477" s="11"/>
      <c r="O2477" s="11"/>
      <c r="P2477" s="108" t="s">
        <v>51</v>
      </c>
      <c r="Q2477" s="12"/>
      <c r="R2477" s="109"/>
      <c r="S2477" s="11"/>
      <c r="T2477" s="11"/>
      <c r="U2477" s="11"/>
      <c r="V2477" s="11"/>
      <c r="W2477" s="11"/>
      <c r="X2477" s="11"/>
      <c r="Y2477" s="11"/>
      <c r="Z2477" s="12"/>
      <c r="AA2477" s="139">
        <f>SUM(AA2468:AA2476)</f>
        <v>0</v>
      </c>
      <c r="AB2477" s="140" t="s">
        <v>427</v>
      </c>
      <c r="AG2477" s="1"/>
    </row>
    <row r="2478" ht="21.0" customHeight="1">
      <c r="A2478" s="1"/>
      <c r="B2478" s="1"/>
      <c r="C2478" s="1"/>
      <c r="D2478" s="1"/>
      <c r="E2478" s="1"/>
      <c r="F2478" s="1"/>
      <c r="G2478" s="1"/>
      <c r="H2478" s="1"/>
      <c r="I2478" s="1"/>
      <c r="AA2478" s="1"/>
      <c r="AB2478" s="1"/>
      <c r="AC2478" s="3"/>
      <c r="AD2478" s="1"/>
      <c r="AE2478" s="1"/>
      <c r="AF2478" s="1"/>
      <c r="AG2478" s="1"/>
    </row>
    <row r="2479" ht="21.0" customHeight="1">
      <c r="A2479" s="1"/>
      <c r="B2479" s="4" t="s">
        <v>1</v>
      </c>
      <c r="C2479" s="5"/>
      <c r="D2479" s="6" t="s">
        <v>2</v>
      </c>
      <c r="E2479" s="7"/>
      <c r="F2479" s="7"/>
      <c r="G2479" s="5"/>
      <c r="H2479" s="8" t="s">
        <v>3</v>
      </c>
      <c r="I2479" s="8" t="s">
        <v>4</v>
      </c>
      <c r="J2479" s="9" t="s">
        <v>5</v>
      </c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5"/>
      <c r="AA2479" s="117" t="s">
        <v>6</v>
      </c>
      <c r="AB2479" s="11"/>
      <c r="AC2479" s="11"/>
      <c r="AD2479" s="11"/>
      <c r="AE2479" s="11"/>
      <c r="AF2479" s="12"/>
      <c r="AG2479" s="1"/>
    </row>
    <row r="2480" ht="21.0" customHeight="1">
      <c r="A2480" s="1"/>
      <c r="B2480" s="149" t="s">
        <v>138</v>
      </c>
      <c r="C2480" s="14" t="str">
        <f>if(B2480="0/0","",choose(weekday(B2480),"(일)","(월)","(화)","(수)","(목)","(금)","(토)"))</f>
        <v/>
      </c>
      <c r="D2480" s="15" t="s">
        <v>7</v>
      </c>
      <c r="E2480" s="16" t="s">
        <v>8</v>
      </c>
      <c r="F2480" s="17"/>
      <c r="G2480" s="18" t="s">
        <v>9</v>
      </c>
      <c r="H2480" s="150" t="s">
        <v>139</v>
      </c>
      <c r="I2480" s="151"/>
      <c r="J2480" s="21" t="s">
        <v>12</v>
      </c>
      <c r="K2480" s="22"/>
      <c r="L2480" s="21" t="s">
        <v>13</v>
      </c>
      <c r="M2480" s="22"/>
      <c r="N2480" s="21" t="s">
        <v>14</v>
      </c>
      <c r="O2480" s="22"/>
      <c r="P2480" s="21" t="s">
        <v>15</v>
      </c>
      <c r="Q2480" s="22"/>
      <c r="R2480" s="23" t="s">
        <v>16</v>
      </c>
      <c r="S2480" s="22"/>
      <c r="T2480" s="23" t="s">
        <v>17</v>
      </c>
      <c r="U2480" s="22"/>
      <c r="V2480" s="23" t="s">
        <v>18</v>
      </c>
      <c r="W2480" s="22"/>
      <c r="X2480" s="23" t="s">
        <v>19</v>
      </c>
      <c r="Y2480" s="22"/>
      <c r="Z2480" s="24" t="s">
        <v>428</v>
      </c>
      <c r="AA2480" s="118" t="s">
        <v>21</v>
      </c>
      <c r="AB2480" s="119" t="s">
        <v>22</v>
      </c>
      <c r="AC2480" s="7"/>
      <c r="AD2480" s="22"/>
      <c r="AE2480" s="120" t="s">
        <v>23</v>
      </c>
      <c r="AF2480" s="22"/>
      <c r="AG2480" s="1"/>
    </row>
    <row r="2481" ht="21.0" customHeight="1">
      <c r="A2481" s="1"/>
      <c r="B2481" s="27">
        <f>iferror(B2480-'현황'!$C$4+1,0)</f>
        <v>0</v>
      </c>
      <c r="C2481" s="28"/>
      <c r="D2481" s="29">
        <v>0.0</v>
      </c>
      <c r="E2481" s="30">
        <v>0.0</v>
      </c>
      <c r="F2481" s="31"/>
      <c r="G2481" s="32">
        <v>0.0</v>
      </c>
      <c r="H2481" s="33">
        <v>0.0</v>
      </c>
      <c r="I2481" s="34"/>
      <c r="J2481" s="35"/>
      <c r="K2481" s="36"/>
      <c r="L2481" s="35"/>
      <c r="M2481" s="36"/>
      <c r="N2481" s="35"/>
      <c r="O2481" s="36"/>
      <c r="P2481" s="35"/>
      <c r="Q2481" s="36"/>
      <c r="R2481" s="35"/>
      <c r="S2481" s="36"/>
      <c r="T2481" s="35"/>
      <c r="U2481" s="36"/>
      <c r="V2481" s="35"/>
      <c r="W2481" s="36"/>
      <c r="X2481" s="35"/>
      <c r="Y2481" s="36"/>
      <c r="Z2481" s="37"/>
      <c r="AA2481" s="37"/>
      <c r="AB2481" s="35"/>
      <c r="AC2481" s="38"/>
      <c r="AD2481" s="36"/>
      <c r="AE2481" s="35"/>
      <c r="AF2481" s="36"/>
      <c r="AG2481" s="1"/>
    </row>
    <row r="2482" ht="21.0" customHeight="1">
      <c r="A2482" s="1"/>
      <c r="B2482" s="39" t="s">
        <v>24</v>
      </c>
      <c r="C2482" s="40"/>
      <c r="D2482" s="41"/>
      <c r="E2482" s="42" t="s">
        <v>25</v>
      </c>
      <c r="F2482" s="40"/>
      <c r="G2482" s="41"/>
      <c r="H2482" s="43" t="s">
        <v>26</v>
      </c>
      <c r="J2482" s="44" t="s">
        <v>27</v>
      </c>
      <c r="K2482" s="45" t="s">
        <v>28</v>
      </c>
      <c r="L2482" s="44" t="s">
        <v>27</v>
      </c>
      <c r="M2482" s="45" t="s">
        <v>28</v>
      </c>
      <c r="N2482" s="44" t="s">
        <v>27</v>
      </c>
      <c r="O2482" s="45" t="s">
        <v>28</v>
      </c>
      <c r="P2482" s="44" t="s">
        <v>27</v>
      </c>
      <c r="Q2482" s="45" t="s">
        <v>28</v>
      </c>
      <c r="R2482" s="44" t="s">
        <v>27</v>
      </c>
      <c r="S2482" s="45" t="s">
        <v>28</v>
      </c>
      <c r="T2482" s="44" t="s">
        <v>27</v>
      </c>
      <c r="U2482" s="45" t="s">
        <v>28</v>
      </c>
      <c r="V2482" s="44" t="s">
        <v>27</v>
      </c>
      <c r="W2482" s="45" t="s">
        <v>28</v>
      </c>
      <c r="X2482" s="44" t="s">
        <v>27</v>
      </c>
      <c r="Y2482" s="45" t="s">
        <v>28</v>
      </c>
      <c r="Z2482" s="46"/>
      <c r="AA2482" s="46"/>
      <c r="AB2482" s="121" t="s">
        <v>29</v>
      </c>
      <c r="AC2482" s="122" t="s">
        <v>30</v>
      </c>
      <c r="AD2482" s="123" t="s">
        <v>31</v>
      </c>
      <c r="AE2482" s="121" t="s">
        <v>27</v>
      </c>
      <c r="AF2482" s="123" t="s">
        <v>28</v>
      </c>
      <c r="AG2482" s="1"/>
    </row>
    <row r="2483" ht="21.0" customHeight="1">
      <c r="A2483" s="1"/>
      <c r="B2483" s="48" t="s">
        <v>32</v>
      </c>
      <c r="C2483" s="49"/>
      <c r="D2483" s="50"/>
      <c r="E2483" s="51" t="s">
        <v>33</v>
      </c>
      <c r="F2483" s="52" t="s">
        <v>34</v>
      </c>
      <c r="G2483" s="53"/>
      <c r="H2483" s="148"/>
      <c r="I2483" s="55"/>
      <c r="J2483" s="58"/>
      <c r="K2483" s="59"/>
      <c r="L2483" s="58"/>
      <c r="M2483" s="59"/>
      <c r="N2483" s="58"/>
      <c r="O2483" s="59"/>
      <c r="P2483" s="58"/>
      <c r="Q2483" s="59"/>
      <c r="R2483" s="58"/>
      <c r="S2483" s="59"/>
      <c r="T2483" s="58"/>
      <c r="U2483" s="59"/>
      <c r="V2483" s="58"/>
      <c r="W2483" s="59"/>
      <c r="X2483" s="58"/>
      <c r="Y2483" s="59"/>
      <c r="Z2483" s="60" t="b">
        <v>0</v>
      </c>
      <c r="AA2483" s="125">
        <f t="shared" ref="AA2483:AA2491" si="991">(J2483*K2483+L2483*M2483+N2483*O2483+P2483*Q2483+R2483*S2483+T2483*U2483+V2483*W2483+X2483*Y2483)*if(Z2483=true,0.453592,1)</f>
        <v>0</v>
      </c>
      <c r="AB2483" s="126">
        <f t="shared" ref="AB2483:AB2491" si="992">SUM(AE2483*AF2483*0.025,AE2483)</f>
        <v>0</v>
      </c>
      <c r="AC2483" s="127">
        <f t="shared" ref="AC2483:AC2491" si="993">AB2483*87%</f>
        <v>0</v>
      </c>
      <c r="AD2483" s="128">
        <f t="shared" ref="AD2483:AD2491" si="994">AB2483*67%</f>
        <v>0</v>
      </c>
      <c r="AE2483" s="126">
        <f t="shared" ref="AE2483:AE2491" si="995">MAX(J2483,L2483,N2483,P2483,R2483,T2483,V2483,X2483)*if(Z2483=true,0.453592,1)</f>
        <v>0</v>
      </c>
      <c r="AF2483" s="128">
        <f t="shared" ref="AF2483:AF2491" si="996">MAX(IF(J2483*if(Z2483=true,0.453592,1)=$AE2483,K2483,0),IF(L2483*if(Z2483=true,0.453592,1)=$AE2483,M2483,0),IF(N2483*if(Z2483=true,0.453592,1)=$AE2483,O2483,0),IF(P2483*if(Z2483=true,0.453592,1)=$AE2483,Q2483,0),IF(R2483*if(Z2483=true,0.453592,1)=$AE2483,S2483,0),IF(T2483*if(Z2483=true,0.453592,1)=$AE2483,U2483,0),IF(V2483*if(Z2483=true,0.453592,1)=$AE2483,W2483,0),IF(X2483*if(Z2483=true,0.453592,1)=$AE2483,Y2483,0))</f>
        <v>0</v>
      </c>
      <c r="AG2483" s="1"/>
    </row>
    <row r="2484" ht="21.0" customHeight="1">
      <c r="A2484" s="1"/>
      <c r="B2484" s="48" t="s">
        <v>36</v>
      </c>
      <c r="C2484" s="49"/>
      <c r="D2484" s="65"/>
      <c r="E2484" s="66"/>
      <c r="F2484" s="52" t="s">
        <v>37</v>
      </c>
      <c r="G2484" s="67"/>
      <c r="H2484" s="129"/>
      <c r="I2484" s="69"/>
      <c r="J2484" s="72"/>
      <c r="K2484" s="73"/>
      <c r="L2484" s="72"/>
      <c r="M2484" s="73"/>
      <c r="N2484" s="72"/>
      <c r="O2484" s="73"/>
      <c r="P2484" s="72"/>
      <c r="Q2484" s="73"/>
      <c r="R2484" s="72"/>
      <c r="S2484" s="73"/>
      <c r="T2484" s="72"/>
      <c r="U2484" s="73"/>
      <c r="V2484" s="72"/>
      <c r="W2484" s="73"/>
      <c r="X2484" s="72"/>
      <c r="Y2484" s="73"/>
      <c r="Z2484" s="74" t="b">
        <v>0</v>
      </c>
      <c r="AA2484" s="130">
        <f t="shared" si="991"/>
        <v>0</v>
      </c>
      <c r="AB2484" s="131">
        <f t="shared" si="992"/>
        <v>0</v>
      </c>
      <c r="AC2484" s="132">
        <f t="shared" si="993"/>
        <v>0</v>
      </c>
      <c r="AD2484" s="133">
        <f t="shared" si="994"/>
        <v>0</v>
      </c>
      <c r="AE2484" s="131">
        <f t="shared" si="995"/>
        <v>0</v>
      </c>
      <c r="AF2484" s="133">
        <f t="shared" si="996"/>
        <v>0</v>
      </c>
      <c r="AG2484" s="1"/>
    </row>
    <row r="2485" ht="21.0" customHeight="1">
      <c r="A2485" s="1"/>
      <c r="B2485" s="48" t="s">
        <v>39</v>
      </c>
      <c r="C2485" s="49"/>
      <c r="D2485" s="65"/>
      <c r="E2485" s="41"/>
      <c r="F2485" s="52" t="s">
        <v>40</v>
      </c>
      <c r="G2485" s="79"/>
      <c r="H2485" s="80"/>
      <c r="I2485" s="69"/>
      <c r="J2485" s="72"/>
      <c r="K2485" s="73"/>
      <c r="L2485" s="72"/>
      <c r="M2485" s="73"/>
      <c r="N2485" s="72"/>
      <c r="O2485" s="73"/>
      <c r="P2485" s="72"/>
      <c r="Q2485" s="73"/>
      <c r="R2485" s="72"/>
      <c r="S2485" s="73"/>
      <c r="T2485" s="72"/>
      <c r="U2485" s="73"/>
      <c r="V2485" s="72"/>
      <c r="W2485" s="73"/>
      <c r="X2485" s="72"/>
      <c r="Y2485" s="73"/>
      <c r="Z2485" s="74" t="b">
        <v>0</v>
      </c>
      <c r="AA2485" s="130">
        <f t="shared" si="991"/>
        <v>0</v>
      </c>
      <c r="AB2485" s="131">
        <f t="shared" si="992"/>
        <v>0</v>
      </c>
      <c r="AC2485" s="132">
        <f t="shared" si="993"/>
        <v>0</v>
      </c>
      <c r="AD2485" s="133">
        <f t="shared" si="994"/>
        <v>0</v>
      </c>
      <c r="AE2485" s="131">
        <f t="shared" si="995"/>
        <v>0</v>
      </c>
      <c r="AF2485" s="133">
        <f t="shared" si="996"/>
        <v>0</v>
      </c>
      <c r="AG2485" s="1"/>
    </row>
    <row r="2486" ht="21.0" customHeight="1">
      <c r="A2486" s="1"/>
      <c r="B2486" s="48" t="s">
        <v>41</v>
      </c>
      <c r="C2486" s="81"/>
      <c r="D2486" s="82" t="b">
        <v>0</v>
      </c>
      <c r="E2486" s="51" t="s">
        <v>42</v>
      </c>
      <c r="F2486" s="52" t="s">
        <v>34</v>
      </c>
      <c r="G2486" s="83"/>
      <c r="H2486" s="84"/>
      <c r="I2486" s="85"/>
      <c r="J2486" s="72"/>
      <c r="K2486" s="73"/>
      <c r="L2486" s="72"/>
      <c r="M2486" s="73"/>
      <c r="N2486" s="72"/>
      <c r="O2486" s="73"/>
      <c r="P2486" s="72"/>
      <c r="Q2486" s="73"/>
      <c r="R2486" s="72"/>
      <c r="S2486" s="73"/>
      <c r="T2486" s="72"/>
      <c r="U2486" s="73"/>
      <c r="V2486" s="72"/>
      <c r="W2486" s="73"/>
      <c r="X2486" s="72"/>
      <c r="Y2486" s="73"/>
      <c r="Z2486" s="74" t="b">
        <v>0</v>
      </c>
      <c r="AA2486" s="130">
        <f t="shared" si="991"/>
        <v>0</v>
      </c>
      <c r="AB2486" s="131">
        <f t="shared" si="992"/>
        <v>0</v>
      </c>
      <c r="AC2486" s="132">
        <f t="shared" si="993"/>
        <v>0</v>
      </c>
      <c r="AD2486" s="133">
        <f t="shared" si="994"/>
        <v>0</v>
      </c>
      <c r="AE2486" s="131">
        <f t="shared" si="995"/>
        <v>0</v>
      </c>
      <c r="AF2486" s="133">
        <f t="shared" si="996"/>
        <v>0</v>
      </c>
      <c r="AG2486" s="1"/>
    </row>
    <row r="2487" ht="21.0" customHeight="1">
      <c r="A2487" s="1"/>
      <c r="B2487" s="48" t="s">
        <v>43</v>
      </c>
      <c r="C2487" s="49"/>
      <c r="D2487" s="86" t="b">
        <v>0</v>
      </c>
      <c r="E2487" s="66"/>
      <c r="F2487" s="52" t="s">
        <v>37</v>
      </c>
      <c r="G2487" s="67"/>
      <c r="H2487" s="80"/>
      <c r="I2487" s="69"/>
      <c r="J2487" s="72"/>
      <c r="K2487" s="73"/>
      <c r="L2487" s="72"/>
      <c r="M2487" s="73"/>
      <c r="N2487" s="72"/>
      <c r="O2487" s="73"/>
      <c r="P2487" s="72"/>
      <c r="Q2487" s="73"/>
      <c r="R2487" s="72"/>
      <c r="S2487" s="73"/>
      <c r="T2487" s="72"/>
      <c r="U2487" s="73"/>
      <c r="V2487" s="72"/>
      <c r="W2487" s="73"/>
      <c r="X2487" s="72"/>
      <c r="Y2487" s="73"/>
      <c r="Z2487" s="74" t="b">
        <v>0</v>
      </c>
      <c r="AA2487" s="130">
        <f t="shared" si="991"/>
        <v>0</v>
      </c>
      <c r="AB2487" s="131">
        <f t="shared" si="992"/>
        <v>0</v>
      </c>
      <c r="AC2487" s="132">
        <f t="shared" si="993"/>
        <v>0</v>
      </c>
      <c r="AD2487" s="133">
        <f t="shared" si="994"/>
        <v>0</v>
      </c>
      <c r="AE2487" s="131">
        <f t="shared" si="995"/>
        <v>0</v>
      </c>
      <c r="AF2487" s="133">
        <f t="shared" si="996"/>
        <v>0</v>
      </c>
      <c r="AG2487" s="1"/>
    </row>
    <row r="2488" ht="21.0" customHeight="1">
      <c r="A2488" s="1"/>
      <c r="B2488" s="87" t="str">
        <f t="array" ref="B2488">"📌최근 인바디 결과 : "&amp;text(xlookup(B2480,'현황'!O:O,'현황'!O:O,,-1,-1),"m/d(ddd)")</f>
        <v>#REF!</v>
      </c>
      <c r="C2488" s="88"/>
      <c r="D2488" s="49"/>
      <c r="E2488" s="41"/>
      <c r="F2488" s="52" t="s">
        <v>40</v>
      </c>
      <c r="G2488" s="79"/>
      <c r="H2488" s="80"/>
      <c r="I2488" s="69"/>
      <c r="J2488" s="72"/>
      <c r="K2488" s="73"/>
      <c r="L2488" s="72"/>
      <c r="M2488" s="73"/>
      <c r="N2488" s="72"/>
      <c r="O2488" s="73"/>
      <c r="P2488" s="72"/>
      <c r="Q2488" s="73"/>
      <c r="R2488" s="72"/>
      <c r="S2488" s="73"/>
      <c r="T2488" s="72"/>
      <c r="U2488" s="73"/>
      <c r="V2488" s="72"/>
      <c r="W2488" s="73"/>
      <c r="X2488" s="72"/>
      <c r="Y2488" s="73"/>
      <c r="Z2488" s="74" t="b">
        <v>0</v>
      </c>
      <c r="AA2488" s="130">
        <f t="shared" si="991"/>
        <v>0</v>
      </c>
      <c r="AB2488" s="131">
        <f t="shared" si="992"/>
        <v>0</v>
      </c>
      <c r="AC2488" s="132">
        <f t="shared" si="993"/>
        <v>0</v>
      </c>
      <c r="AD2488" s="133">
        <f t="shared" si="994"/>
        <v>0</v>
      </c>
      <c r="AE2488" s="131">
        <f t="shared" si="995"/>
        <v>0</v>
      </c>
      <c r="AF2488" s="133">
        <f t="shared" si="996"/>
        <v>0</v>
      </c>
      <c r="AG2488" s="1"/>
    </row>
    <row r="2489" ht="21.0" customHeight="1">
      <c r="A2489" s="1"/>
      <c r="B2489" s="89" t="s">
        <v>44</v>
      </c>
      <c r="C2489" s="49"/>
      <c r="D2489" s="90">
        <f t="array" ref="D2489">iferror(vlookup(xlookup(B2480,'현황'!O:O,'현황'!O:O,,-1,-1),'현황'!O:S,2,false),0)</f>
        <v>0</v>
      </c>
      <c r="E2489" s="51" t="s">
        <v>45</v>
      </c>
      <c r="F2489" s="52" t="s">
        <v>34</v>
      </c>
      <c r="G2489" s="83"/>
      <c r="H2489" s="84"/>
      <c r="I2489" s="85"/>
      <c r="J2489" s="72"/>
      <c r="K2489" s="73"/>
      <c r="L2489" s="72"/>
      <c r="M2489" s="73"/>
      <c r="N2489" s="72"/>
      <c r="O2489" s="73"/>
      <c r="P2489" s="72"/>
      <c r="Q2489" s="73"/>
      <c r="R2489" s="72"/>
      <c r="S2489" s="73"/>
      <c r="T2489" s="72"/>
      <c r="U2489" s="73"/>
      <c r="V2489" s="72"/>
      <c r="W2489" s="73"/>
      <c r="X2489" s="72"/>
      <c r="Y2489" s="73"/>
      <c r="Z2489" s="74" t="b">
        <v>0</v>
      </c>
      <c r="AA2489" s="130">
        <f t="shared" si="991"/>
        <v>0</v>
      </c>
      <c r="AB2489" s="131">
        <f t="shared" si="992"/>
        <v>0</v>
      </c>
      <c r="AC2489" s="132">
        <f t="shared" si="993"/>
        <v>0</v>
      </c>
      <c r="AD2489" s="133">
        <f t="shared" si="994"/>
        <v>0</v>
      </c>
      <c r="AE2489" s="131">
        <f t="shared" si="995"/>
        <v>0</v>
      </c>
      <c r="AF2489" s="133">
        <f t="shared" si="996"/>
        <v>0</v>
      </c>
      <c r="AG2489" s="1"/>
    </row>
    <row r="2490" ht="21.0" customHeight="1">
      <c r="A2490" s="1"/>
      <c r="B2490" s="48" t="s">
        <v>46</v>
      </c>
      <c r="C2490" s="49"/>
      <c r="D2490" s="91">
        <f t="array" ref="D2490">iferror(vlookup(xlookup(B2480,'현황'!O:O,'현황'!O:O,,-1,-1),'현황'!O:S,3,false),0)</f>
        <v>0</v>
      </c>
      <c r="E2490" s="66"/>
      <c r="F2490" s="52" t="s">
        <v>37</v>
      </c>
      <c r="G2490" s="67"/>
      <c r="H2490" s="80"/>
      <c r="I2490" s="69"/>
      <c r="J2490" s="72"/>
      <c r="K2490" s="73"/>
      <c r="L2490" s="72"/>
      <c r="M2490" s="73"/>
      <c r="N2490" s="72"/>
      <c r="O2490" s="73"/>
      <c r="P2490" s="72"/>
      <c r="Q2490" s="73"/>
      <c r="R2490" s="72"/>
      <c r="S2490" s="73"/>
      <c r="T2490" s="72"/>
      <c r="U2490" s="73"/>
      <c r="V2490" s="72"/>
      <c r="W2490" s="73"/>
      <c r="X2490" s="72"/>
      <c r="Y2490" s="73"/>
      <c r="Z2490" s="74" t="b">
        <v>0</v>
      </c>
      <c r="AA2490" s="130">
        <f t="shared" si="991"/>
        <v>0</v>
      </c>
      <c r="AB2490" s="131">
        <f t="shared" si="992"/>
        <v>0</v>
      </c>
      <c r="AC2490" s="132">
        <f t="shared" si="993"/>
        <v>0</v>
      </c>
      <c r="AD2490" s="133">
        <f t="shared" si="994"/>
        <v>0</v>
      </c>
      <c r="AE2490" s="131">
        <f t="shared" si="995"/>
        <v>0</v>
      </c>
      <c r="AF2490" s="133">
        <f t="shared" si="996"/>
        <v>0</v>
      </c>
      <c r="AG2490" s="1"/>
    </row>
    <row r="2491" ht="21.0" customHeight="1">
      <c r="A2491" s="1"/>
      <c r="B2491" s="48" t="s">
        <v>47</v>
      </c>
      <c r="C2491" s="49"/>
      <c r="D2491" s="91">
        <f t="array" ref="D2491">iferror(vlookup(xlookup(B2480,'현황'!O:O,'현황'!O:O,,-1,-1),'현황'!O:S,4,false),0)</f>
        <v>0</v>
      </c>
      <c r="E2491" s="41"/>
      <c r="F2491" s="92" t="s">
        <v>40</v>
      </c>
      <c r="G2491" s="79"/>
      <c r="H2491" s="93"/>
      <c r="I2491" s="94"/>
      <c r="J2491" s="95"/>
      <c r="K2491" s="96"/>
      <c r="L2491" s="95"/>
      <c r="M2491" s="96"/>
      <c r="N2491" s="95"/>
      <c r="O2491" s="96"/>
      <c r="P2491" s="95"/>
      <c r="Q2491" s="96"/>
      <c r="R2491" s="95"/>
      <c r="S2491" s="96"/>
      <c r="T2491" s="95"/>
      <c r="U2491" s="96"/>
      <c r="V2491" s="95"/>
      <c r="W2491" s="96"/>
      <c r="X2491" s="95"/>
      <c r="Y2491" s="96"/>
      <c r="Z2491" s="97" t="b">
        <v>0</v>
      </c>
      <c r="AA2491" s="135">
        <f t="shared" si="991"/>
        <v>0</v>
      </c>
      <c r="AB2491" s="136">
        <f t="shared" si="992"/>
        <v>0</v>
      </c>
      <c r="AC2491" s="137">
        <f t="shared" si="993"/>
        <v>0</v>
      </c>
      <c r="AD2491" s="138">
        <f t="shared" si="994"/>
        <v>0</v>
      </c>
      <c r="AE2491" s="136">
        <f t="shared" si="995"/>
        <v>0</v>
      </c>
      <c r="AF2491" s="138">
        <f t="shared" si="996"/>
        <v>0</v>
      </c>
      <c r="AG2491" s="1"/>
    </row>
    <row r="2492" ht="21.0" customHeight="1">
      <c r="A2492" s="1"/>
      <c r="B2492" s="102" t="s">
        <v>48</v>
      </c>
      <c r="C2492" s="103"/>
      <c r="D2492" s="104">
        <f>iferror(D2491/D2489,0)</f>
        <v>0</v>
      </c>
      <c r="E2492" s="102" t="s">
        <v>49</v>
      </c>
      <c r="F2492" s="103"/>
      <c r="G2492" s="105"/>
      <c r="H2492" s="106" t="s">
        <v>50</v>
      </c>
      <c r="I2492" s="107"/>
      <c r="J2492" s="11"/>
      <c r="K2492" s="11"/>
      <c r="L2492" s="11"/>
      <c r="M2492" s="11"/>
      <c r="N2492" s="11"/>
      <c r="O2492" s="11"/>
      <c r="P2492" s="108" t="s">
        <v>51</v>
      </c>
      <c r="Q2492" s="12"/>
      <c r="R2492" s="109"/>
      <c r="S2492" s="11"/>
      <c r="T2492" s="11"/>
      <c r="U2492" s="11"/>
      <c r="V2492" s="11"/>
      <c r="W2492" s="11"/>
      <c r="X2492" s="11"/>
      <c r="Y2492" s="11"/>
      <c r="Z2492" s="12"/>
      <c r="AA2492" s="139">
        <f>SUM(AA2483:AA2491)</f>
        <v>0</v>
      </c>
      <c r="AB2492" s="140" t="s">
        <v>429</v>
      </c>
      <c r="AG2492" s="1"/>
    </row>
    <row r="2493" ht="21.0" customHeight="1">
      <c r="A2493" s="1"/>
      <c r="B2493" s="1"/>
      <c r="C2493" s="1"/>
      <c r="D2493" s="1"/>
      <c r="E2493" s="1"/>
      <c r="F2493" s="1"/>
      <c r="G2493" s="1"/>
      <c r="H2493" s="1"/>
      <c r="I2493" s="1"/>
      <c r="AA2493" s="1"/>
      <c r="AB2493" s="1"/>
      <c r="AC2493" s="3"/>
      <c r="AD2493" s="1"/>
      <c r="AE2493" s="1"/>
      <c r="AF2493" s="1"/>
      <c r="AG2493" s="1"/>
    </row>
    <row r="2494" ht="21.0" customHeight="1">
      <c r="A2494" s="1"/>
      <c r="B2494" s="4" t="s">
        <v>1</v>
      </c>
      <c r="C2494" s="5"/>
      <c r="D2494" s="6" t="s">
        <v>2</v>
      </c>
      <c r="E2494" s="7"/>
      <c r="F2494" s="7"/>
      <c r="G2494" s="5"/>
      <c r="H2494" s="8" t="s">
        <v>3</v>
      </c>
      <c r="I2494" s="8" t="s">
        <v>4</v>
      </c>
      <c r="J2494" s="9" t="s">
        <v>5</v>
      </c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5"/>
      <c r="AA2494" s="117" t="s">
        <v>6</v>
      </c>
      <c r="AB2494" s="11"/>
      <c r="AC2494" s="11"/>
      <c r="AD2494" s="11"/>
      <c r="AE2494" s="11"/>
      <c r="AF2494" s="12"/>
      <c r="AG2494" s="1"/>
    </row>
    <row r="2495" ht="21.0" customHeight="1">
      <c r="A2495" s="1"/>
      <c r="B2495" s="149" t="s">
        <v>138</v>
      </c>
      <c r="C2495" s="14" t="str">
        <f>if(B2495="0/0","",choose(weekday(B2495),"(일)","(월)","(화)","(수)","(목)","(금)","(토)"))</f>
        <v/>
      </c>
      <c r="D2495" s="15" t="s">
        <v>7</v>
      </c>
      <c r="E2495" s="16" t="s">
        <v>8</v>
      </c>
      <c r="F2495" s="17"/>
      <c r="G2495" s="18" t="s">
        <v>9</v>
      </c>
      <c r="H2495" s="150" t="s">
        <v>139</v>
      </c>
      <c r="I2495" s="151"/>
      <c r="J2495" s="21" t="s">
        <v>12</v>
      </c>
      <c r="K2495" s="22"/>
      <c r="L2495" s="21" t="s">
        <v>13</v>
      </c>
      <c r="M2495" s="22"/>
      <c r="N2495" s="21" t="s">
        <v>14</v>
      </c>
      <c r="O2495" s="22"/>
      <c r="P2495" s="21" t="s">
        <v>15</v>
      </c>
      <c r="Q2495" s="22"/>
      <c r="R2495" s="23" t="s">
        <v>16</v>
      </c>
      <c r="S2495" s="22"/>
      <c r="T2495" s="23" t="s">
        <v>17</v>
      </c>
      <c r="U2495" s="22"/>
      <c r="V2495" s="23" t="s">
        <v>18</v>
      </c>
      <c r="W2495" s="22"/>
      <c r="X2495" s="23" t="s">
        <v>19</v>
      </c>
      <c r="Y2495" s="22"/>
      <c r="Z2495" s="24" t="s">
        <v>430</v>
      </c>
      <c r="AA2495" s="118" t="s">
        <v>21</v>
      </c>
      <c r="AB2495" s="119" t="s">
        <v>22</v>
      </c>
      <c r="AC2495" s="7"/>
      <c r="AD2495" s="22"/>
      <c r="AE2495" s="120" t="s">
        <v>23</v>
      </c>
      <c r="AF2495" s="22"/>
      <c r="AG2495" s="1"/>
    </row>
    <row r="2496" ht="21.0" customHeight="1">
      <c r="A2496" s="1"/>
      <c r="B2496" s="27">
        <f>iferror(B2495-'현황'!$C$4+1,0)</f>
        <v>0</v>
      </c>
      <c r="C2496" s="28"/>
      <c r="D2496" s="29">
        <v>0.0</v>
      </c>
      <c r="E2496" s="30">
        <v>0.0</v>
      </c>
      <c r="F2496" s="31"/>
      <c r="G2496" s="32">
        <v>0.0</v>
      </c>
      <c r="H2496" s="33">
        <v>0.0</v>
      </c>
      <c r="I2496" s="34"/>
      <c r="J2496" s="35"/>
      <c r="K2496" s="36"/>
      <c r="L2496" s="35"/>
      <c r="M2496" s="36"/>
      <c r="N2496" s="35"/>
      <c r="O2496" s="36"/>
      <c r="P2496" s="35"/>
      <c r="Q2496" s="36"/>
      <c r="R2496" s="35"/>
      <c r="S2496" s="36"/>
      <c r="T2496" s="35"/>
      <c r="U2496" s="36"/>
      <c r="V2496" s="35"/>
      <c r="W2496" s="36"/>
      <c r="X2496" s="35"/>
      <c r="Y2496" s="36"/>
      <c r="Z2496" s="37"/>
      <c r="AA2496" s="37"/>
      <c r="AB2496" s="35"/>
      <c r="AC2496" s="38"/>
      <c r="AD2496" s="36"/>
      <c r="AE2496" s="35"/>
      <c r="AF2496" s="36"/>
      <c r="AG2496" s="1"/>
    </row>
    <row r="2497" ht="21.0" customHeight="1">
      <c r="A2497" s="1"/>
      <c r="B2497" s="39" t="s">
        <v>24</v>
      </c>
      <c r="C2497" s="40"/>
      <c r="D2497" s="41"/>
      <c r="E2497" s="42" t="s">
        <v>25</v>
      </c>
      <c r="F2497" s="40"/>
      <c r="G2497" s="41"/>
      <c r="H2497" s="43" t="s">
        <v>26</v>
      </c>
      <c r="J2497" s="44" t="s">
        <v>27</v>
      </c>
      <c r="K2497" s="45" t="s">
        <v>28</v>
      </c>
      <c r="L2497" s="44" t="s">
        <v>27</v>
      </c>
      <c r="M2497" s="45" t="s">
        <v>28</v>
      </c>
      <c r="N2497" s="44" t="s">
        <v>27</v>
      </c>
      <c r="O2497" s="45" t="s">
        <v>28</v>
      </c>
      <c r="P2497" s="44" t="s">
        <v>27</v>
      </c>
      <c r="Q2497" s="45" t="s">
        <v>28</v>
      </c>
      <c r="R2497" s="44" t="s">
        <v>27</v>
      </c>
      <c r="S2497" s="45" t="s">
        <v>28</v>
      </c>
      <c r="T2497" s="44" t="s">
        <v>27</v>
      </c>
      <c r="U2497" s="45" t="s">
        <v>28</v>
      </c>
      <c r="V2497" s="44" t="s">
        <v>27</v>
      </c>
      <c r="W2497" s="45" t="s">
        <v>28</v>
      </c>
      <c r="X2497" s="44" t="s">
        <v>27</v>
      </c>
      <c r="Y2497" s="45" t="s">
        <v>28</v>
      </c>
      <c r="Z2497" s="46"/>
      <c r="AA2497" s="46"/>
      <c r="AB2497" s="121" t="s">
        <v>29</v>
      </c>
      <c r="AC2497" s="122" t="s">
        <v>30</v>
      </c>
      <c r="AD2497" s="123" t="s">
        <v>31</v>
      </c>
      <c r="AE2497" s="121" t="s">
        <v>27</v>
      </c>
      <c r="AF2497" s="123" t="s">
        <v>28</v>
      </c>
      <c r="AG2497" s="1"/>
    </row>
    <row r="2498" ht="21.0" customHeight="1">
      <c r="A2498" s="1"/>
      <c r="B2498" s="48" t="s">
        <v>32</v>
      </c>
      <c r="C2498" s="49"/>
      <c r="D2498" s="50"/>
      <c r="E2498" s="51" t="s">
        <v>33</v>
      </c>
      <c r="F2498" s="52" t="s">
        <v>34</v>
      </c>
      <c r="G2498" s="53"/>
      <c r="H2498" s="148"/>
      <c r="I2498" s="55"/>
      <c r="J2498" s="58"/>
      <c r="K2498" s="59"/>
      <c r="L2498" s="58"/>
      <c r="M2498" s="59"/>
      <c r="N2498" s="58"/>
      <c r="O2498" s="59"/>
      <c r="P2498" s="58"/>
      <c r="Q2498" s="59"/>
      <c r="R2498" s="58"/>
      <c r="S2498" s="59"/>
      <c r="T2498" s="58"/>
      <c r="U2498" s="59"/>
      <c r="V2498" s="58"/>
      <c r="W2498" s="59"/>
      <c r="X2498" s="58"/>
      <c r="Y2498" s="59"/>
      <c r="Z2498" s="60" t="b">
        <v>0</v>
      </c>
      <c r="AA2498" s="125">
        <f t="shared" ref="AA2498:AA2506" si="997">(J2498*K2498+L2498*M2498+N2498*O2498+P2498*Q2498+R2498*S2498+T2498*U2498+V2498*W2498+X2498*Y2498)*if(Z2498=true,0.453592,1)</f>
        <v>0</v>
      </c>
      <c r="AB2498" s="126">
        <f t="shared" ref="AB2498:AB2506" si="998">SUM(AE2498*AF2498*0.025,AE2498)</f>
        <v>0</v>
      </c>
      <c r="AC2498" s="127">
        <f t="shared" ref="AC2498:AC2506" si="999">AB2498*87%</f>
        <v>0</v>
      </c>
      <c r="AD2498" s="128">
        <f t="shared" ref="AD2498:AD2506" si="1000">AB2498*67%</f>
        <v>0</v>
      </c>
      <c r="AE2498" s="126">
        <f t="shared" ref="AE2498:AE2506" si="1001">MAX(J2498,L2498,N2498,P2498,R2498,T2498,V2498,X2498)*if(Z2498=true,0.453592,1)</f>
        <v>0</v>
      </c>
      <c r="AF2498" s="128">
        <f t="shared" ref="AF2498:AF2506" si="1002">MAX(IF(J2498*if(Z2498=true,0.453592,1)=$AE2498,K2498,0),IF(L2498*if(Z2498=true,0.453592,1)=$AE2498,M2498,0),IF(N2498*if(Z2498=true,0.453592,1)=$AE2498,O2498,0),IF(P2498*if(Z2498=true,0.453592,1)=$AE2498,Q2498,0),IF(R2498*if(Z2498=true,0.453592,1)=$AE2498,S2498,0),IF(T2498*if(Z2498=true,0.453592,1)=$AE2498,U2498,0),IF(V2498*if(Z2498=true,0.453592,1)=$AE2498,W2498,0),IF(X2498*if(Z2498=true,0.453592,1)=$AE2498,Y2498,0))</f>
        <v>0</v>
      </c>
      <c r="AG2498" s="1"/>
    </row>
    <row r="2499" ht="21.0" customHeight="1">
      <c r="A2499" s="1"/>
      <c r="B2499" s="48" t="s">
        <v>36</v>
      </c>
      <c r="C2499" s="49"/>
      <c r="D2499" s="65"/>
      <c r="E2499" s="66"/>
      <c r="F2499" s="52" t="s">
        <v>37</v>
      </c>
      <c r="G2499" s="67"/>
      <c r="H2499" s="129"/>
      <c r="I2499" s="69"/>
      <c r="J2499" s="72"/>
      <c r="K2499" s="73"/>
      <c r="L2499" s="72"/>
      <c r="M2499" s="73"/>
      <c r="N2499" s="72"/>
      <c r="O2499" s="73"/>
      <c r="P2499" s="72"/>
      <c r="Q2499" s="73"/>
      <c r="R2499" s="72"/>
      <c r="S2499" s="73"/>
      <c r="T2499" s="72"/>
      <c r="U2499" s="73"/>
      <c r="V2499" s="72"/>
      <c r="W2499" s="73"/>
      <c r="X2499" s="72"/>
      <c r="Y2499" s="73"/>
      <c r="Z2499" s="74" t="b">
        <v>0</v>
      </c>
      <c r="AA2499" s="130">
        <f t="shared" si="997"/>
        <v>0</v>
      </c>
      <c r="AB2499" s="131">
        <f t="shared" si="998"/>
        <v>0</v>
      </c>
      <c r="AC2499" s="132">
        <f t="shared" si="999"/>
        <v>0</v>
      </c>
      <c r="AD2499" s="133">
        <f t="shared" si="1000"/>
        <v>0</v>
      </c>
      <c r="AE2499" s="131">
        <f t="shared" si="1001"/>
        <v>0</v>
      </c>
      <c r="AF2499" s="133">
        <f t="shared" si="1002"/>
        <v>0</v>
      </c>
      <c r="AG2499" s="1"/>
    </row>
    <row r="2500" ht="21.0" customHeight="1">
      <c r="A2500" s="1"/>
      <c r="B2500" s="48" t="s">
        <v>39</v>
      </c>
      <c r="C2500" s="49"/>
      <c r="D2500" s="65"/>
      <c r="E2500" s="41"/>
      <c r="F2500" s="52" t="s">
        <v>40</v>
      </c>
      <c r="G2500" s="79"/>
      <c r="H2500" s="80"/>
      <c r="I2500" s="69"/>
      <c r="J2500" s="72"/>
      <c r="K2500" s="73"/>
      <c r="L2500" s="72"/>
      <c r="M2500" s="73"/>
      <c r="N2500" s="72"/>
      <c r="O2500" s="73"/>
      <c r="P2500" s="72"/>
      <c r="Q2500" s="73"/>
      <c r="R2500" s="72"/>
      <c r="S2500" s="73"/>
      <c r="T2500" s="72"/>
      <c r="U2500" s="73"/>
      <c r="V2500" s="72"/>
      <c r="W2500" s="73"/>
      <c r="X2500" s="72"/>
      <c r="Y2500" s="73"/>
      <c r="Z2500" s="74" t="b">
        <v>0</v>
      </c>
      <c r="AA2500" s="130">
        <f t="shared" si="997"/>
        <v>0</v>
      </c>
      <c r="AB2500" s="131">
        <f t="shared" si="998"/>
        <v>0</v>
      </c>
      <c r="AC2500" s="132">
        <f t="shared" si="999"/>
        <v>0</v>
      </c>
      <c r="AD2500" s="133">
        <f t="shared" si="1000"/>
        <v>0</v>
      </c>
      <c r="AE2500" s="131">
        <f t="shared" si="1001"/>
        <v>0</v>
      </c>
      <c r="AF2500" s="133">
        <f t="shared" si="1002"/>
        <v>0</v>
      </c>
      <c r="AG2500" s="1"/>
    </row>
    <row r="2501" ht="21.0" customHeight="1">
      <c r="A2501" s="1"/>
      <c r="B2501" s="48" t="s">
        <v>41</v>
      </c>
      <c r="C2501" s="81"/>
      <c r="D2501" s="82" t="b">
        <v>0</v>
      </c>
      <c r="E2501" s="51" t="s">
        <v>42</v>
      </c>
      <c r="F2501" s="52" t="s">
        <v>34</v>
      </c>
      <c r="G2501" s="83"/>
      <c r="H2501" s="84"/>
      <c r="I2501" s="85"/>
      <c r="J2501" s="72"/>
      <c r="K2501" s="73"/>
      <c r="L2501" s="72"/>
      <c r="M2501" s="73"/>
      <c r="N2501" s="72"/>
      <c r="O2501" s="73"/>
      <c r="P2501" s="72"/>
      <c r="Q2501" s="73"/>
      <c r="R2501" s="72"/>
      <c r="S2501" s="73"/>
      <c r="T2501" s="72"/>
      <c r="U2501" s="73"/>
      <c r="V2501" s="72"/>
      <c r="W2501" s="73"/>
      <c r="X2501" s="72"/>
      <c r="Y2501" s="73"/>
      <c r="Z2501" s="74" t="b">
        <v>0</v>
      </c>
      <c r="AA2501" s="130">
        <f t="shared" si="997"/>
        <v>0</v>
      </c>
      <c r="AB2501" s="131">
        <f t="shared" si="998"/>
        <v>0</v>
      </c>
      <c r="AC2501" s="132">
        <f t="shared" si="999"/>
        <v>0</v>
      </c>
      <c r="AD2501" s="133">
        <f t="shared" si="1000"/>
        <v>0</v>
      </c>
      <c r="AE2501" s="131">
        <f t="shared" si="1001"/>
        <v>0</v>
      </c>
      <c r="AF2501" s="133">
        <f t="shared" si="1002"/>
        <v>0</v>
      </c>
      <c r="AG2501" s="1"/>
    </row>
    <row r="2502" ht="21.0" customHeight="1">
      <c r="A2502" s="1"/>
      <c r="B2502" s="48" t="s">
        <v>43</v>
      </c>
      <c r="C2502" s="49"/>
      <c r="D2502" s="86" t="b">
        <v>0</v>
      </c>
      <c r="E2502" s="66"/>
      <c r="F2502" s="52" t="s">
        <v>37</v>
      </c>
      <c r="G2502" s="67"/>
      <c r="H2502" s="80"/>
      <c r="I2502" s="69"/>
      <c r="J2502" s="72"/>
      <c r="K2502" s="73"/>
      <c r="L2502" s="72"/>
      <c r="M2502" s="73"/>
      <c r="N2502" s="72"/>
      <c r="O2502" s="73"/>
      <c r="P2502" s="72"/>
      <c r="Q2502" s="73"/>
      <c r="R2502" s="72"/>
      <c r="S2502" s="73"/>
      <c r="T2502" s="72"/>
      <c r="U2502" s="73"/>
      <c r="V2502" s="72"/>
      <c r="W2502" s="73"/>
      <c r="X2502" s="72"/>
      <c r="Y2502" s="73"/>
      <c r="Z2502" s="74" t="b">
        <v>0</v>
      </c>
      <c r="AA2502" s="130">
        <f t="shared" si="997"/>
        <v>0</v>
      </c>
      <c r="AB2502" s="131">
        <f t="shared" si="998"/>
        <v>0</v>
      </c>
      <c r="AC2502" s="132">
        <f t="shared" si="999"/>
        <v>0</v>
      </c>
      <c r="AD2502" s="133">
        <f t="shared" si="1000"/>
        <v>0</v>
      </c>
      <c r="AE2502" s="131">
        <f t="shared" si="1001"/>
        <v>0</v>
      </c>
      <c r="AF2502" s="133">
        <f t="shared" si="1002"/>
        <v>0</v>
      </c>
      <c r="AG2502" s="1"/>
    </row>
    <row r="2503" ht="21.0" customHeight="1">
      <c r="A2503" s="1"/>
      <c r="B2503" s="87" t="str">
        <f t="array" ref="B2503">"📌최근 인바디 결과 : "&amp;text(xlookup(B2495,'현황'!O:O,'현황'!O:O,,-1,-1),"m/d(ddd)")</f>
        <v>#REF!</v>
      </c>
      <c r="C2503" s="88"/>
      <c r="D2503" s="49"/>
      <c r="E2503" s="41"/>
      <c r="F2503" s="52" t="s">
        <v>40</v>
      </c>
      <c r="G2503" s="79"/>
      <c r="H2503" s="80"/>
      <c r="I2503" s="69"/>
      <c r="J2503" s="72"/>
      <c r="K2503" s="73"/>
      <c r="L2503" s="72"/>
      <c r="M2503" s="73"/>
      <c r="N2503" s="72"/>
      <c r="O2503" s="73"/>
      <c r="P2503" s="72"/>
      <c r="Q2503" s="73"/>
      <c r="R2503" s="72"/>
      <c r="S2503" s="73"/>
      <c r="T2503" s="72"/>
      <c r="U2503" s="73"/>
      <c r="V2503" s="72"/>
      <c r="W2503" s="73"/>
      <c r="X2503" s="72"/>
      <c r="Y2503" s="73"/>
      <c r="Z2503" s="74" t="b">
        <v>0</v>
      </c>
      <c r="AA2503" s="130">
        <f t="shared" si="997"/>
        <v>0</v>
      </c>
      <c r="AB2503" s="131">
        <f t="shared" si="998"/>
        <v>0</v>
      </c>
      <c r="AC2503" s="132">
        <f t="shared" si="999"/>
        <v>0</v>
      </c>
      <c r="AD2503" s="133">
        <f t="shared" si="1000"/>
        <v>0</v>
      </c>
      <c r="AE2503" s="131">
        <f t="shared" si="1001"/>
        <v>0</v>
      </c>
      <c r="AF2503" s="133">
        <f t="shared" si="1002"/>
        <v>0</v>
      </c>
      <c r="AG2503" s="1"/>
    </row>
    <row r="2504" ht="21.0" customHeight="1">
      <c r="A2504" s="1"/>
      <c r="B2504" s="89" t="s">
        <v>44</v>
      </c>
      <c r="C2504" s="49"/>
      <c r="D2504" s="90">
        <f t="array" ref="D2504">iferror(vlookup(xlookup(B2495,'현황'!O:O,'현황'!O:O,,-1,-1),'현황'!O:S,2,false),0)</f>
        <v>0</v>
      </c>
      <c r="E2504" s="51" t="s">
        <v>45</v>
      </c>
      <c r="F2504" s="52" t="s">
        <v>34</v>
      </c>
      <c r="G2504" s="83"/>
      <c r="H2504" s="84"/>
      <c r="I2504" s="85"/>
      <c r="J2504" s="72"/>
      <c r="K2504" s="73"/>
      <c r="L2504" s="72"/>
      <c r="M2504" s="73"/>
      <c r="N2504" s="72"/>
      <c r="O2504" s="73"/>
      <c r="P2504" s="72"/>
      <c r="Q2504" s="73"/>
      <c r="R2504" s="72"/>
      <c r="S2504" s="73"/>
      <c r="T2504" s="72"/>
      <c r="U2504" s="73"/>
      <c r="V2504" s="72"/>
      <c r="W2504" s="73"/>
      <c r="X2504" s="72"/>
      <c r="Y2504" s="73"/>
      <c r="Z2504" s="74" t="b">
        <v>0</v>
      </c>
      <c r="AA2504" s="130">
        <f t="shared" si="997"/>
        <v>0</v>
      </c>
      <c r="AB2504" s="131">
        <f t="shared" si="998"/>
        <v>0</v>
      </c>
      <c r="AC2504" s="132">
        <f t="shared" si="999"/>
        <v>0</v>
      </c>
      <c r="AD2504" s="133">
        <f t="shared" si="1000"/>
        <v>0</v>
      </c>
      <c r="AE2504" s="131">
        <f t="shared" si="1001"/>
        <v>0</v>
      </c>
      <c r="AF2504" s="133">
        <f t="shared" si="1002"/>
        <v>0</v>
      </c>
      <c r="AG2504" s="1"/>
    </row>
    <row r="2505" ht="21.0" customHeight="1">
      <c r="A2505" s="1"/>
      <c r="B2505" s="48" t="s">
        <v>46</v>
      </c>
      <c r="C2505" s="49"/>
      <c r="D2505" s="91">
        <f t="array" ref="D2505">iferror(vlookup(xlookup(B2495,'현황'!O:O,'현황'!O:O,,-1,-1),'현황'!O:S,3,false),0)</f>
        <v>0</v>
      </c>
      <c r="E2505" s="66"/>
      <c r="F2505" s="52" t="s">
        <v>37</v>
      </c>
      <c r="G2505" s="67"/>
      <c r="H2505" s="80"/>
      <c r="I2505" s="69"/>
      <c r="J2505" s="72"/>
      <c r="K2505" s="73"/>
      <c r="L2505" s="72"/>
      <c r="M2505" s="73"/>
      <c r="N2505" s="72"/>
      <c r="O2505" s="73"/>
      <c r="P2505" s="72"/>
      <c r="Q2505" s="73"/>
      <c r="R2505" s="72"/>
      <c r="S2505" s="73"/>
      <c r="T2505" s="72"/>
      <c r="U2505" s="73"/>
      <c r="V2505" s="72"/>
      <c r="W2505" s="73"/>
      <c r="X2505" s="72"/>
      <c r="Y2505" s="73"/>
      <c r="Z2505" s="74" t="b">
        <v>0</v>
      </c>
      <c r="AA2505" s="130">
        <f t="shared" si="997"/>
        <v>0</v>
      </c>
      <c r="AB2505" s="131">
        <f t="shared" si="998"/>
        <v>0</v>
      </c>
      <c r="AC2505" s="132">
        <f t="shared" si="999"/>
        <v>0</v>
      </c>
      <c r="AD2505" s="133">
        <f t="shared" si="1000"/>
        <v>0</v>
      </c>
      <c r="AE2505" s="131">
        <f t="shared" si="1001"/>
        <v>0</v>
      </c>
      <c r="AF2505" s="133">
        <f t="shared" si="1002"/>
        <v>0</v>
      </c>
      <c r="AG2505" s="1"/>
    </row>
    <row r="2506" ht="21.0" customHeight="1">
      <c r="A2506" s="1"/>
      <c r="B2506" s="48" t="s">
        <v>47</v>
      </c>
      <c r="C2506" s="49"/>
      <c r="D2506" s="91">
        <f t="array" ref="D2506">iferror(vlookup(xlookup(B2495,'현황'!O:O,'현황'!O:O,,-1,-1),'현황'!O:S,4,false),0)</f>
        <v>0</v>
      </c>
      <c r="E2506" s="41"/>
      <c r="F2506" s="92" t="s">
        <v>40</v>
      </c>
      <c r="G2506" s="79"/>
      <c r="H2506" s="93"/>
      <c r="I2506" s="94"/>
      <c r="J2506" s="95"/>
      <c r="K2506" s="96"/>
      <c r="L2506" s="95"/>
      <c r="M2506" s="96"/>
      <c r="N2506" s="95"/>
      <c r="O2506" s="96"/>
      <c r="P2506" s="95"/>
      <c r="Q2506" s="96"/>
      <c r="R2506" s="95"/>
      <c r="S2506" s="96"/>
      <c r="T2506" s="95"/>
      <c r="U2506" s="96"/>
      <c r="V2506" s="95"/>
      <c r="W2506" s="96"/>
      <c r="X2506" s="95"/>
      <c r="Y2506" s="96"/>
      <c r="Z2506" s="97" t="b">
        <v>0</v>
      </c>
      <c r="AA2506" s="135">
        <f t="shared" si="997"/>
        <v>0</v>
      </c>
      <c r="AB2506" s="136">
        <f t="shared" si="998"/>
        <v>0</v>
      </c>
      <c r="AC2506" s="137">
        <f t="shared" si="999"/>
        <v>0</v>
      </c>
      <c r="AD2506" s="138">
        <f t="shared" si="1000"/>
        <v>0</v>
      </c>
      <c r="AE2506" s="136">
        <f t="shared" si="1001"/>
        <v>0</v>
      </c>
      <c r="AF2506" s="138">
        <f t="shared" si="1002"/>
        <v>0</v>
      </c>
      <c r="AG2506" s="1"/>
    </row>
    <row r="2507" ht="21.0" customHeight="1">
      <c r="A2507" s="1"/>
      <c r="B2507" s="102" t="s">
        <v>48</v>
      </c>
      <c r="C2507" s="103"/>
      <c r="D2507" s="104">
        <f>iferror(D2506/D2504,0)</f>
        <v>0</v>
      </c>
      <c r="E2507" s="102" t="s">
        <v>49</v>
      </c>
      <c r="F2507" s="103"/>
      <c r="G2507" s="105"/>
      <c r="H2507" s="106" t="s">
        <v>50</v>
      </c>
      <c r="I2507" s="107"/>
      <c r="J2507" s="11"/>
      <c r="K2507" s="11"/>
      <c r="L2507" s="11"/>
      <c r="M2507" s="11"/>
      <c r="N2507" s="11"/>
      <c r="O2507" s="11"/>
      <c r="P2507" s="108" t="s">
        <v>51</v>
      </c>
      <c r="Q2507" s="12"/>
      <c r="R2507" s="109"/>
      <c r="S2507" s="11"/>
      <c r="T2507" s="11"/>
      <c r="U2507" s="11"/>
      <c r="V2507" s="11"/>
      <c r="W2507" s="11"/>
      <c r="X2507" s="11"/>
      <c r="Y2507" s="11"/>
      <c r="Z2507" s="12"/>
      <c r="AA2507" s="139">
        <f>SUM(AA2498:AA2506)</f>
        <v>0</v>
      </c>
      <c r="AB2507" s="140" t="s">
        <v>431</v>
      </c>
      <c r="AG2507" s="1"/>
    </row>
    <row r="2508" ht="21.0" customHeight="1">
      <c r="A2508" s="1"/>
      <c r="B2508" s="1"/>
      <c r="C2508" s="1"/>
      <c r="D2508" s="1"/>
      <c r="E2508" s="1"/>
      <c r="F2508" s="1"/>
      <c r="G2508" s="1"/>
      <c r="H2508" s="1"/>
      <c r="I2508" s="1"/>
      <c r="AA2508" s="1"/>
      <c r="AB2508" s="1"/>
      <c r="AC2508" s="3"/>
      <c r="AD2508" s="1"/>
      <c r="AE2508" s="1"/>
      <c r="AF2508" s="1"/>
      <c r="AG2508" s="1"/>
    </row>
    <row r="2509" ht="21.0" customHeight="1">
      <c r="A2509" s="1"/>
      <c r="B2509" s="4" t="s">
        <v>1</v>
      </c>
      <c r="C2509" s="5"/>
      <c r="D2509" s="6" t="s">
        <v>2</v>
      </c>
      <c r="E2509" s="7"/>
      <c r="F2509" s="7"/>
      <c r="G2509" s="5"/>
      <c r="H2509" s="8" t="s">
        <v>3</v>
      </c>
      <c r="I2509" s="8" t="s">
        <v>4</v>
      </c>
      <c r="J2509" s="9" t="s">
        <v>5</v>
      </c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5"/>
      <c r="AA2509" s="117" t="s">
        <v>6</v>
      </c>
      <c r="AB2509" s="11"/>
      <c r="AC2509" s="11"/>
      <c r="AD2509" s="11"/>
      <c r="AE2509" s="11"/>
      <c r="AF2509" s="12"/>
      <c r="AG2509" s="1"/>
    </row>
    <row r="2510" ht="21.0" customHeight="1">
      <c r="A2510" s="1"/>
      <c r="B2510" s="149" t="s">
        <v>138</v>
      </c>
      <c r="C2510" s="14" t="str">
        <f>if(B2510="0/0","",choose(weekday(B2510),"(일)","(월)","(화)","(수)","(목)","(금)","(토)"))</f>
        <v/>
      </c>
      <c r="D2510" s="15" t="s">
        <v>7</v>
      </c>
      <c r="E2510" s="16" t="s">
        <v>8</v>
      </c>
      <c r="F2510" s="17"/>
      <c r="G2510" s="18" t="s">
        <v>9</v>
      </c>
      <c r="H2510" s="150" t="s">
        <v>139</v>
      </c>
      <c r="I2510" s="151"/>
      <c r="J2510" s="21" t="s">
        <v>12</v>
      </c>
      <c r="K2510" s="22"/>
      <c r="L2510" s="21" t="s">
        <v>13</v>
      </c>
      <c r="M2510" s="22"/>
      <c r="N2510" s="21" t="s">
        <v>14</v>
      </c>
      <c r="O2510" s="22"/>
      <c r="P2510" s="21" t="s">
        <v>15</v>
      </c>
      <c r="Q2510" s="22"/>
      <c r="R2510" s="23" t="s">
        <v>16</v>
      </c>
      <c r="S2510" s="22"/>
      <c r="T2510" s="23" t="s">
        <v>17</v>
      </c>
      <c r="U2510" s="22"/>
      <c r="V2510" s="23" t="s">
        <v>18</v>
      </c>
      <c r="W2510" s="22"/>
      <c r="X2510" s="23" t="s">
        <v>19</v>
      </c>
      <c r="Y2510" s="22"/>
      <c r="Z2510" s="24" t="s">
        <v>432</v>
      </c>
      <c r="AA2510" s="118" t="s">
        <v>21</v>
      </c>
      <c r="AB2510" s="119" t="s">
        <v>22</v>
      </c>
      <c r="AC2510" s="7"/>
      <c r="AD2510" s="22"/>
      <c r="AE2510" s="120" t="s">
        <v>23</v>
      </c>
      <c r="AF2510" s="22"/>
      <c r="AG2510" s="1"/>
    </row>
    <row r="2511" ht="21.0" customHeight="1">
      <c r="A2511" s="1"/>
      <c r="B2511" s="27">
        <f>iferror(B2510-'현황'!$C$4+1,0)</f>
        <v>0</v>
      </c>
      <c r="C2511" s="28"/>
      <c r="D2511" s="29">
        <v>0.0</v>
      </c>
      <c r="E2511" s="30">
        <v>0.0</v>
      </c>
      <c r="F2511" s="31"/>
      <c r="G2511" s="32">
        <v>0.0</v>
      </c>
      <c r="H2511" s="33">
        <v>0.0</v>
      </c>
      <c r="I2511" s="34"/>
      <c r="J2511" s="35"/>
      <c r="K2511" s="36"/>
      <c r="L2511" s="35"/>
      <c r="M2511" s="36"/>
      <c r="N2511" s="35"/>
      <c r="O2511" s="36"/>
      <c r="P2511" s="35"/>
      <c r="Q2511" s="36"/>
      <c r="R2511" s="35"/>
      <c r="S2511" s="36"/>
      <c r="T2511" s="35"/>
      <c r="U2511" s="36"/>
      <c r="V2511" s="35"/>
      <c r="W2511" s="36"/>
      <c r="X2511" s="35"/>
      <c r="Y2511" s="36"/>
      <c r="Z2511" s="37"/>
      <c r="AA2511" s="37"/>
      <c r="AB2511" s="35"/>
      <c r="AC2511" s="38"/>
      <c r="AD2511" s="36"/>
      <c r="AE2511" s="35"/>
      <c r="AF2511" s="36"/>
      <c r="AG2511" s="1"/>
    </row>
    <row r="2512" ht="21.0" customHeight="1">
      <c r="A2512" s="1"/>
      <c r="B2512" s="39" t="s">
        <v>24</v>
      </c>
      <c r="C2512" s="40"/>
      <c r="D2512" s="41"/>
      <c r="E2512" s="42" t="s">
        <v>25</v>
      </c>
      <c r="F2512" s="40"/>
      <c r="G2512" s="41"/>
      <c r="H2512" s="43" t="s">
        <v>26</v>
      </c>
      <c r="J2512" s="44" t="s">
        <v>27</v>
      </c>
      <c r="K2512" s="45" t="s">
        <v>28</v>
      </c>
      <c r="L2512" s="44" t="s">
        <v>27</v>
      </c>
      <c r="M2512" s="45" t="s">
        <v>28</v>
      </c>
      <c r="N2512" s="44" t="s">
        <v>27</v>
      </c>
      <c r="O2512" s="45" t="s">
        <v>28</v>
      </c>
      <c r="P2512" s="44" t="s">
        <v>27</v>
      </c>
      <c r="Q2512" s="45" t="s">
        <v>28</v>
      </c>
      <c r="R2512" s="44" t="s">
        <v>27</v>
      </c>
      <c r="S2512" s="45" t="s">
        <v>28</v>
      </c>
      <c r="T2512" s="44" t="s">
        <v>27</v>
      </c>
      <c r="U2512" s="45" t="s">
        <v>28</v>
      </c>
      <c r="V2512" s="44" t="s">
        <v>27</v>
      </c>
      <c r="W2512" s="45" t="s">
        <v>28</v>
      </c>
      <c r="X2512" s="44" t="s">
        <v>27</v>
      </c>
      <c r="Y2512" s="45" t="s">
        <v>28</v>
      </c>
      <c r="Z2512" s="46"/>
      <c r="AA2512" s="46"/>
      <c r="AB2512" s="121" t="s">
        <v>29</v>
      </c>
      <c r="AC2512" s="122" t="s">
        <v>30</v>
      </c>
      <c r="AD2512" s="123" t="s">
        <v>31</v>
      </c>
      <c r="AE2512" s="121" t="s">
        <v>27</v>
      </c>
      <c r="AF2512" s="123" t="s">
        <v>28</v>
      </c>
      <c r="AG2512" s="1"/>
    </row>
    <row r="2513" ht="21.0" customHeight="1">
      <c r="A2513" s="1"/>
      <c r="B2513" s="48" t="s">
        <v>32</v>
      </c>
      <c r="C2513" s="49"/>
      <c r="D2513" s="50"/>
      <c r="E2513" s="51" t="s">
        <v>33</v>
      </c>
      <c r="F2513" s="52" t="s">
        <v>34</v>
      </c>
      <c r="G2513" s="53"/>
      <c r="H2513" s="148"/>
      <c r="I2513" s="55"/>
      <c r="J2513" s="58"/>
      <c r="K2513" s="59"/>
      <c r="L2513" s="58"/>
      <c r="M2513" s="59"/>
      <c r="N2513" s="58"/>
      <c r="O2513" s="59"/>
      <c r="P2513" s="58"/>
      <c r="Q2513" s="59"/>
      <c r="R2513" s="58"/>
      <c r="S2513" s="59"/>
      <c r="T2513" s="58"/>
      <c r="U2513" s="59"/>
      <c r="V2513" s="58"/>
      <c r="W2513" s="59"/>
      <c r="X2513" s="58"/>
      <c r="Y2513" s="59"/>
      <c r="Z2513" s="60" t="b">
        <v>0</v>
      </c>
      <c r="AA2513" s="125">
        <f t="shared" ref="AA2513:AA2521" si="1003">(J2513*K2513+L2513*M2513+N2513*O2513+P2513*Q2513+R2513*S2513+T2513*U2513+V2513*W2513+X2513*Y2513)*if(Z2513=true,0.453592,1)</f>
        <v>0</v>
      </c>
      <c r="AB2513" s="126">
        <f t="shared" ref="AB2513:AB2521" si="1004">SUM(AE2513*AF2513*0.025,AE2513)</f>
        <v>0</v>
      </c>
      <c r="AC2513" s="127">
        <f t="shared" ref="AC2513:AC2521" si="1005">AB2513*87%</f>
        <v>0</v>
      </c>
      <c r="AD2513" s="128">
        <f t="shared" ref="AD2513:AD2521" si="1006">AB2513*67%</f>
        <v>0</v>
      </c>
      <c r="AE2513" s="126">
        <f t="shared" ref="AE2513:AE2521" si="1007">MAX(J2513,L2513,N2513,P2513,R2513,T2513,V2513,X2513)*if(Z2513=true,0.453592,1)</f>
        <v>0</v>
      </c>
      <c r="AF2513" s="128">
        <f t="shared" ref="AF2513:AF2521" si="1008">MAX(IF(J2513*if(Z2513=true,0.453592,1)=$AE2513,K2513,0),IF(L2513*if(Z2513=true,0.453592,1)=$AE2513,M2513,0),IF(N2513*if(Z2513=true,0.453592,1)=$AE2513,O2513,0),IF(P2513*if(Z2513=true,0.453592,1)=$AE2513,Q2513,0),IF(R2513*if(Z2513=true,0.453592,1)=$AE2513,S2513,0),IF(T2513*if(Z2513=true,0.453592,1)=$AE2513,U2513,0),IF(V2513*if(Z2513=true,0.453592,1)=$AE2513,W2513,0),IF(X2513*if(Z2513=true,0.453592,1)=$AE2513,Y2513,0))</f>
        <v>0</v>
      </c>
      <c r="AG2513" s="1"/>
    </row>
    <row r="2514" ht="21.0" customHeight="1">
      <c r="A2514" s="1"/>
      <c r="B2514" s="48" t="s">
        <v>36</v>
      </c>
      <c r="C2514" s="49"/>
      <c r="D2514" s="65"/>
      <c r="E2514" s="66"/>
      <c r="F2514" s="52" t="s">
        <v>37</v>
      </c>
      <c r="G2514" s="67"/>
      <c r="H2514" s="129"/>
      <c r="I2514" s="69"/>
      <c r="J2514" s="72"/>
      <c r="K2514" s="73"/>
      <c r="L2514" s="72"/>
      <c r="M2514" s="73"/>
      <c r="N2514" s="72"/>
      <c r="O2514" s="73"/>
      <c r="P2514" s="72"/>
      <c r="Q2514" s="73"/>
      <c r="R2514" s="72"/>
      <c r="S2514" s="73"/>
      <c r="T2514" s="72"/>
      <c r="U2514" s="73"/>
      <c r="V2514" s="72"/>
      <c r="W2514" s="73"/>
      <c r="X2514" s="72"/>
      <c r="Y2514" s="73"/>
      <c r="Z2514" s="74" t="b">
        <v>0</v>
      </c>
      <c r="AA2514" s="130">
        <f t="shared" si="1003"/>
        <v>0</v>
      </c>
      <c r="AB2514" s="131">
        <f t="shared" si="1004"/>
        <v>0</v>
      </c>
      <c r="AC2514" s="132">
        <f t="shared" si="1005"/>
        <v>0</v>
      </c>
      <c r="AD2514" s="133">
        <f t="shared" si="1006"/>
        <v>0</v>
      </c>
      <c r="AE2514" s="131">
        <f t="shared" si="1007"/>
        <v>0</v>
      </c>
      <c r="AF2514" s="133">
        <f t="shared" si="1008"/>
        <v>0</v>
      </c>
      <c r="AG2514" s="1"/>
    </row>
    <row r="2515" ht="21.0" customHeight="1">
      <c r="A2515" s="1"/>
      <c r="B2515" s="48" t="s">
        <v>39</v>
      </c>
      <c r="C2515" s="49"/>
      <c r="D2515" s="65"/>
      <c r="E2515" s="41"/>
      <c r="F2515" s="52" t="s">
        <v>40</v>
      </c>
      <c r="G2515" s="79"/>
      <c r="H2515" s="80"/>
      <c r="I2515" s="69"/>
      <c r="J2515" s="72"/>
      <c r="K2515" s="73"/>
      <c r="L2515" s="72"/>
      <c r="M2515" s="73"/>
      <c r="N2515" s="72"/>
      <c r="O2515" s="73"/>
      <c r="P2515" s="72"/>
      <c r="Q2515" s="73"/>
      <c r="R2515" s="72"/>
      <c r="S2515" s="73"/>
      <c r="T2515" s="72"/>
      <c r="U2515" s="73"/>
      <c r="V2515" s="72"/>
      <c r="W2515" s="73"/>
      <c r="X2515" s="72"/>
      <c r="Y2515" s="73"/>
      <c r="Z2515" s="74" t="b">
        <v>0</v>
      </c>
      <c r="AA2515" s="130">
        <f t="shared" si="1003"/>
        <v>0</v>
      </c>
      <c r="AB2515" s="131">
        <f t="shared" si="1004"/>
        <v>0</v>
      </c>
      <c r="AC2515" s="132">
        <f t="shared" si="1005"/>
        <v>0</v>
      </c>
      <c r="AD2515" s="133">
        <f t="shared" si="1006"/>
        <v>0</v>
      </c>
      <c r="AE2515" s="131">
        <f t="shared" si="1007"/>
        <v>0</v>
      </c>
      <c r="AF2515" s="133">
        <f t="shared" si="1008"/>
        <v>0</v>
      </c>
      <c r="AG2515" s="1"/>
    </row>
    <row r="2516" ht="21.0" customHeight="1">
      <c r="A2516" s="1"/>
      <c r="B2516" s="48" t="s">
        <v>41</v>
      </c>
      <c r="C2516" s="81"/>
      <c r="D2516" s="82" t="b">
        <v>0</v>
      </c>
      <c r="E2516" s="51" t="s">
        <v>42</v>
      </c>
      <c r="F2516" s="52" t="s">
        <v>34</v>
      </c>
      <c r="G2516" s="83"/>
      <c r="H2516" s="84"/>
      <c r="I2516" s="85"/>
      <c r="J2516" s="72"/>
      <c r="K2516" s="73"/>
      <c r="L2516" s="72"/>
      <c r="M2516" s="73"/>
      <c r="N2516" s="72"/>
      <c r="O2516" s="73"/>
      <c r="P2516" s="72"/>
      <c r="Q2516" s="73"/>
      <c r="R2516" s="72"/>
      <c r="S2516" s="73"/>
      <c r="T2516" s="72"/>
      <c r="U2516" s="73"/>
      <c r="V2516" s="72"/>
      <c r="W2516" s="73"/>
      <c r="X2516" s="72"/>
      <c r="Y2516" s="73"/>
      <c r="Z2516" s="74" t="b">
        <v>0</v>
      </c>
      <c r="AA2516" s="130">
        <f t="shared" si="1003"/>
        <v>0</v>
      </c>
      <c r="AB2516" s="131">
        <f t="shared" si="1004"/>
        <v>0</v>
      </c>
      <c r="AC2516" s="132">
        <f t="shared" si="1005"/>
        <v>0</v>
      </c>
      <c r="AD2516" s="133">
        <f t="shared" si="1006"/>
        <v>0</v>
      </c>
      <c r="AE2516" s="131">
        <f t="shared" si="1007"/>
        <v>0</v>
      </c>
      <c r="AF2516" s="133">
        <f t="shared" si="1008"/>
        <v>0</v>
      </c>
      <c r="AG2516" s="1"/>
    </row>
    <row r="2517" ht="21.0" customHeight="1">
      <c r="A2517" s="1"/>
      <c r="B2517" s="48" t="s">
        <v>43</v>
      </c>
      <c r="C2517" s="49"/>
      <c r="D2517" s="86" t="b">
        <v>0</v>
      </c>
      <c r="E2517" s="66"/>
      <c r="F2517" s="52" t="s">
        <v>37</v>
      </c>
      <c r="G2517" s="67"/>
      <c r="H2517" s="80"/>
      <c r="I2517" s="69"/>
      <c r="J2517" s="72"/>
      <c r="K2517" s="73"/>
      <c r="L2517" s="72"/>
      <c r="M2517" s="73"/>
      <c r="N2517" s="72"/>
      <c r="O2517" s="73"/>
      <c r="P2517" s="72"/>
      <c r="Q2517" s="73"/>
      <c r="R2517" s="72"/>
      <c r="S2517" s="73"/>
      <c r="T2517" s="72"/>
      <c r="U2517" s="73"/>
      <c r="V2517" s="72"/>
      <c r="W2517" s="73"/>
      <c r="X2517" s="72"/>
      <c r="Y2517" s="73"/>
      <c r="Z2517" s="74" t="b">
        <v>0</v>
      </c>
      <c r="AA2517" s="130">
        <f t="shared" si="1003"/>
        <v>0</v>
      </c>
      <c r="AB2517" s="131">
        <f t="shared" si="1004"/>
        <v>0</v>
      </c>
      <c r="AC2517" s="132">
        <f t="shared" si="1005"/>
        <v>0</v>
      </c>
      <c r="AD2517" s="133">
        <f t="shared" si="1006"/>
        <v>0</v>
      </c>
      <c r="AE2517" s="131">
        <f t="shared" si="1007"/>
        <v>0</v>
      </c>
      <c r="AF2517" s="133">
        <f t="shared" si="1008"/>
        <v>0</v>
      </c>
      <c r="AG2517" s="1"/>
    </row>
    <row r="2518" ht="21.0" customHeight="1">
      <c r="A2518" s="1"/>
      <c r="B2518" s="87" t="str">
        <f t="array" ref="B2518">"📌최근 인바디 결과 : "&amp;text(xlookup(B2510,'현황'!O:O,'현황'!O:O,,-1,-1),"m/d(ddd)")</f>
        <v>#REF!</v>
      </c>
      <c r="C2518" s="88"/>
      <c r="D2518" s="49"/>
      <c r="E2518" s="41"/>
      <c r="F2518" s="52" t="s">
        <v>40</v>
      </c>
      <c r="G2518" s="79"/>
      <c r="H2518" s="80"/>
      <c r="I2518" s="69"/>
      <c r="J2518" s="72"/>
      <c r="K2518" s="73"/>
      <c r="L2518" s="72"/>
      <c r="M2518" s="73"/>
      <c r="N2518" s="72"/>
      <c r="O2518" s="73"/>
      <c r="P2518" s="72"/>
      <c r="Q2518" s="73"/>
      <c r="R2518" s="72"/>
      <c r="S2518" s="73"/>
      <c r="T2518" s="72"/>
      <c r="U2518" s="73"/>
      <c r="V2518" s="72"/>
      <c r="W2518" s="73"/>
      <c r="X2518" s="72"/>
      <c r="Y2518" s="73"/>
      <c r="Z2518" s="74" t="b">
        <v>0</v>
      </c>
      <c r="AA2518" s="130">
        <f t="shared" si="1003"/>
        <v>0</v>
      </c>
      <c r="AB2518" s="131">
        <f t="shared" si="1004"/>
        <v>0</v>
      </c>
      <c r="AC2518" s="132">
        <f t="shared" si="1005"/>
        <v>0</v>
      </c>
      <c r="AD2518" s="133">
        <f t="shared" si="1006"/>
        <v>0</v>
      </c>
      <c r="AE2518" s="131">
        <f t="shared" si="1007"/>
        <v>0</v>
      </c>
      <c r="AF2518" s="133">
        <f t="shared" si="1008"/>
        <v>0</v>
      </c>
      <c r="AG2518" s="1"/>
    </row>
    <row r="2519" ht="21.0" customHeight="1">
      <c r="A2519" s="1"/>
      <c r="B2519" s="89" t="s">
        <v>44</v>
      </c>
      <c r="C2519" s="49"/>
      <c r="D2519" s="90">
        <f t="array" ref="D2519">iferror(vlookup(xlookup(B2510,'현황'!O:O,'현황'!O:O,,-1,-1),'현황'!O:S,2,false),0)</f>
        <v>0</v>
      </c>
      <c r="E2519" s="51" t="s">
        <v>45</v>
      </c>
      <c r="F2519" s="52" t="s">
        <v>34</v>
      </c>
      <c r="G2519" s="83"/>
      <c r="H2519" s="84"/>
      <c r="I2519" s="85"/>
      <c r="J2519" s="72"/>
      <c r="K2519" s="73"/>
      <c r="L2519" s="72"/>
      <c r="M2519" s="73"/>
      <c r="N2519" s="72"/>
      <c r="O2519" s="73"/>
      <c r="P2519" s="72"/>
      <c r="Q2519" s="73"/>
      <c r="R2519" s="72"/>
      <c r="S2519" s="73"/>
      <c r="T2519" s="72"/>
      <c r="U2519" s="73"/>
      <c r="V2519" s="72"/>
      <c r="W2519" s="73"/>
      <c r="X2519" s="72"/>
      <c r="Y2519" s="73"/>
      <c r="Z2519" s="74" t="b">
        <v>0</v>
      </c>
      <c r="AA2519" s="130">
        <f t="shared" si="1003"/>
        <v>0</v>
      </c>
      <c r="AB2519" s="131">
        <f t="shared" si="1004"/>
        <v>0</v>
      </c>
      <c r="AC2519" s="132">
        <f t="shared" si="1005"/>
        <v>0</v>
      </c>
      <c r="AD2519" s="133">
        <f t="shared" si="1006"/>
        <v>0</v>
      </c>
      <c r="AE2519" s="131">
        <f t="shared" si="1007"/>
        <v>0</v>
      </c>
      <c r="AF2519" s="133">
        <f t="shared" si="1008"/>
        <v>0</v>
      </c>
      <c r="AG2519" s="1"/>
    </row>
    <row r="2520" ht="21.0" customHeight="1">
      <c r="A2520" s="1"/>
      <c r="B2520" s="48" t="s">
        <v>46</v>
      </c>
      <c r="C2520" s="49"/>
      <c r="D2520" s="91">
        <f t="array" ref="D2520">iferror(vlookup(xlookup(B2510,'현황'!O:O,'현황'!O:O,,-1,-1),'현황'!O:S,3,false),0)</f>
        <v>0</v>
      </c>
      <c r="E2520" s="66"/>
      <c r="F2520" s="52" t="s">
        <v>37</v>
      </c>
      <c r="G2520" s="67"/>
      <c r="H2520" s="80"/>
      <c r="I2520" s="69"/>
      <c r="J2520" s="72"/>
      <c r="K2520" s="73"/>
      <c r="L2520" s="72"/>
      <c r="M2520" s="73"/>
      <c r="N2520" s="72"/>
      <c r="O2520" s="73"/>
      <c r="P2520" s="72"/>
      <c r="Q2520" s="73"/>
      <c r="R2520" s="72"/>
      <c r="S2520" s="73"/>
      <c r="T2520" s="72"/>
      <c r="U2520" s="73"/>
      <c r="V2520" s="72"/>
      <c r="W2520" s="73"/>
      <c r="X2520" s="72"/>
      <c r="Y2520" s="73"/>
      <c r="Z2520" s="74" t="b">
        <v>0</v>
      </c>
      <c r="AA2520" s="130">
        <f t="shared" si="1003"/>
        <v>0</v>
      </c>
      <c r="AB2520" s="131">
        <f t="shared" si="1004"/>
        <v>0</v>
      </c>
      <c r="AC2520" s="132">
        <f t="shared" si="1005"/>
        <v>0</v>
      </c>
      <c r="AD2520" s="133">
        <f t="shared" si="1006"/>
        <v>0</v>
      </c>
      <c r="AE2520" s="131">
        <f t="shared" si="1007"/>
        <v>0</v>
      </c>
      <c r="AF2520" s="133">
        <f t="shared" si="1008"/>
        <v>0</v>
      </c>
      <c r="AG2520" s="1"/>
    </row>
    <row r="2521" ht="21.0" customHeight="1">
      <c r="A2521" s="1"/>
      <c r="B2521" s="48" t="s">
        <v>47</v>
      </c>
      <c r="C2521" s="49"/>
      <c r="D2521" s="91">
        <f t="array" ref="D2521">iferror(vlookup(xlookup(B2510,'현황'!O:O,'현황'!O:O,,-1,-1),'현황'!O:S,4,false),0)</f>
        <v>0</v>
      </c>
      <c r="E2521" s="41"/>
      <c r="F2521" s="92" t="s">
        <v>40</v>
      </c>
      <c r="G2521" s="79"/>
      <c r="H2521" s="93"/>
      <c r="I2521" s="94"/>
      <c r="J2521" s="95"/>
      <c r="K2521" s="96"/>
      <c r="L2521" s="95"/>
      <c r="M2521" s="96"/>
      <c r="N2521" s="95"/>
      <c r="O2521" s="96"/>
      <c r="P2521" s="95"/>
      <c r="Q2521" s="96"/>
      <c r="R2521" s="95"/>
      <c r="S2521" s="96"/>
      <c r="T2521" s="95"/>
      <c r="U2521" s="96"/>
      <c r="V2521" s="95"/>
      <c r="W2521" s="96"/>
      <c r="X2521" s="95"/>
      <c r="Y2521" s="96"/>
      <c r="Z2521" s="97" t="b">
        <v>0</v>
      </c>
      <c r="AA2521" s="135">
        <f t="shared" si="1003"/>
        <v>0</v>
      </c>
      <c r="AB2521" s="136">
        <f t="shared" si="1004"/>
        <v>0</v>
      </c>
      <c r="AC2521" s="137">
        <f t="shared" si="1005"/>
        <v>0</v>
      </c>
      <c r="AD2521" s="138">
        <f t="shared" si="1006"/>
        <v>0</v>
      </c>
      <c r="AE2521" s="136">
        <f t="shared" si="1007"/>
        <v>0</v>
      </c>
      <c r="AF2521" s="138">
        <f t="shared" si="1008"/>
        <v>0</v>
      </c>
      <c r="AG2521" s="1"/>
    </row>
    <row r="2522" ht="21.0" customHeight="1">
      <c r="A2522" s="1"/>
      <c r="B2522" s="102" t="s">
        <v>48</v>
      </c>
      <c r="C2522" s="103"/>
      <c r="D2522" s="104">
        <f>iferror(D2521/D2519,0)</f>
        <v>0</v>
      </c>
      <c r="E2522" s="102" t="s">
        <v>49</v>
      </c>
      <c r="F2522" s="103"/>
      <c r="G2522" s="105"/>
      <c r="H2522" s="143" t="s">
        <v>50</v>
      </c>
      <c r="I2522" s="144"/>
      <c r="J2522" s="11"/>
      <c r="K2522" s="11"/>
      <c r="L2522" s="11"/>
      <c r="M2522" s="11"/>
      <c r="N2522" s="11"/>
      <c r="O2522" s="11"/>
      <c r="P2522" s="145" t="s">
        <v>51</v>
      </c>
      <c r="Q2522" s="12"/>
      <c r="R2522" s="146"/>
      <c r="S2522" s="11"/>
      <c r="T2522" s="11"/>
      <c r="U2522" s="11"/>
      <c r="V2522" s="11"/>
      <c r="W2522" s="11"/>
      <c r="X2522" s="11"/>
      <c r="Y2522" s="11"/>
      <c r="Z2522" s="12"/>
      <c r="AA2522" s="139">
        <f>SUM(AA2513:AA2521)</f>
        <v>0</v>
      </c>
      <c r="AB2522" s="140" t="s">
        <v>433</v>
      </c>
      <c r="AG2522" s="1"/>
    </row>
    <row r="2523" ht="21.0" customHeight="1">
      <c r="A2523" s="1"/>
      <c r="B2523" s="1"/>
      <c r="C2523" s="1"/>
      <c r="D2523" s="1"/>
      <c r="E2523" s="1"/>
      <c r="F2523" s="1"/>
      <c r="G2523" s="1"/>
      <c r="H2523" s="1"/>
      <c r="I2523" s="1"/>
      <c r="AA2523" s="1"/>
      <c r="AB2523" s="1"/>
      <c r="AC2523" s="3"/>
      <c r="AD2523" s="1"/>
      <c r="AE2523" s="1"/>
      <c r="AF2523" s="1"/>
      <c r="AG2523" s="1"/>
    </row>
    <row r="2524" ht="21.0" customHeight="1">
      <c r="A2524" s="1"/>
      <c r="B2524" s="4" t="s">
        <v>1</v>
      </c>
      <c r="C2524" s="5"/>
      <c r="D2524" s="6" t="s">
        <v>2</v>
      </c>
      <c r="E2524" s="7"/>
      <c r="F2524" s="7"/>
      <c r="G2524" s="5"/>
      <c r="H2524" s="8" t="s">
        <v>3</v>
      </c>
      <c r="I2524" s="8" t="s">
        <v>4</v>
      </c>
      <c r="J2524" s="9" t="s">
        <v>5</v>
      </c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5"/>
      <c r="AA2524" s="117" t="s">
        <v>6</v>
      </c>
      <c r="AB2524" s="11"/>
      <c r="AC2524" s="11"/>
      <c r="AD2524" s="11"/>
      <c r="AE2524" s="11"/>
      <c r="AF2524" s="12"/>
      <c r="AG2524" s="1"/>
    </row>
    <row r="2525" ht="21.0" customHeight="1">
      <c r="A2525" s="1"/>
      <c r="B2525" s="149" t="s">
        <v>138</v>
      </c>
      <c r="C2525" s="14" t="str">
        <f>if(B2525="0/0","",choose(weekday(B2525),"(일)","(월)","(화)","(수)","(목)","(금)","(토)"))</f>
        <v/>
      </c>
      <c r="D2525" s="15" t="s">
        <v>7</v>
      </c>
      <c r="E2525" s="16" t="s">
        <v>8</v>
      </c>
      <c r="F2525" s="17"/>
      <c r="G2525" s="18" t="s">
        <v>9</v>
      </c>
      <c r="H2525" s="150" t="s">
        <v>139</v>
      </c>
      <c r="I2525" s="151"/>
      <c r="J2525" s="21" t="s">
        <v>12</v>
      </c>
      <c r="K2525" s="22"/>
      <c r="L2525" s="21" t="s">
        <v>13</v>
      </c>
      <c r="M2525" s="22"/>
      <c r="N2525" s="21" t="s">
        <v>14</v>
      </c>
      <c r="O2525" s="22"/>
      <c r="P2525" s="21" t="s">
        <v>15</v>
      </c>
      <c r="Q2525" s="22"/>
      <c r="R2525" s="23" t="s">
        <v>16</v>
      </c>
      <c r="S2525" s="22"/>
      <c r="T2525" s="23" t="s">
        <v>17</v>
      </c>
      <c r="U2525" s="22"/>
      <c r="V2525" s="23" t="s">
        <v>18</v>
      </c>
      <c r="W2525" s="22"/>
      <c r="X2525" s="23" t="s">
        <v>19</v>
      </c>
      <c r="Y2525" s="22"/>
      <c r="Z2525" s="24" t="s">
        <v>434</v>
      </c>
      <c r="AA2525" s="118" t="s">
        <v>21</v>
      </c>
      <c r="AB2525" s="119" t="s">
        <v>22</v>
      </c>
      <c r="AC2525" s="7"/>
      <c r="AD2525" s="22"/>
      <c r="AE2525" s="120" t="s">
        <v>23</v>
      </c>
      <c r="AF2525" s="22"/>
      <c r="AG2525" s="1"/>
    </row>
    <row r="2526" ht="21.0" customHeight="1">
      <c r="A2526" s="1"/>
      <c r="B2526" s="27">
        <f>iferror(B2525-'현황'!$C$4+1,0)</f>
        <v>0</v>
      </c>
      <c r="C2526" s="28"/>
      <c r="D2526" s="29">
        <v>0.0</v>
      </c>
      <c r="E2526" s="30">
        <v>0.0</v>
      </c>
      <c r="F2526" s="31"/>
      <c r="G2526" s="32">
        <v>0.0</v>
      </c>
      <c r="H2526" s="33">
        <v>0.0</v>
      </c>
      <c r="I2526" s="34"/>
      <c r="J2526" s="35"/>
      <c r="K2526" s="36"/>
      <c r="L2526" s="35"/>
      <c r="M2526" s="36"/>
      <c r="N2526" s="35"/>
      <c r="O2526" s="36"/>
      <c r="P2526" s="35"/>
      <c r="Q2526" s="36"/>
      <c r="R2526" s="35"/>
      <c r="S2526" s="36"/>
      <c r="T2526" s="35"/>
      <c r="U2526" s="36"/>
      <c r="V2526" s="35"/>
      <c r="W2526" s="36"/>
      <c r="X2526" s="35"/>
      <c r="Y2526" s="36"/>
      <c r="Z2526" s="37"/>
      <c r="AA2526" s="37"/>
      <c r="AB2526" s="35"/>
      <c r="AC2526" s="38"/>
      <c r="AD2526" s="36"/>
      <c r="AE2526" s="35"/>
      <c r="AF2526" s="36"/>
      <c r="AG2526" s="1"/>
    </row>
    <row r="2527" ht="21.0" customHeight="1">
      <c r="A2527" s="1"/>
      <c r="B2527" s="39" t="s">
        <v>24</v>
      </c>
      <c r="C2527" s="40"/>
      <c r="D2527" s="41"/>
      <c r="E2527" s="42" t="s">
        <v>25</v>
      </c>
      <c r="F2527" s="40"/>
      <c r="G2527" s="41"/>
      <c r="H2527" s="43" t="s">
        <v>26</v>
      </c>
      <c r="J2527" s="44" t="s">
        <v>27</v>
      </c>
      <c r="K2527" s="45" t="s">
        <v>28</v>
      </c>
      <c r="L2527" s="44" t="s">
        <v>27</v>
      </c>
      <c r="M2527" s="45" t="s">
        <v>28</v>
      </c>
      <c r="N2527" s="44" t="s">
        <v>27</v>
      </c>
      <c r="O2527" s="45" t="s">
        <v>28</v>
      </c>
      <c r="P2527" s="44" t="s">
        <v>27</v>
      </c>
      <c r="Q2527" s="45" t="s">
        <v>28</v>
      </c>
      <c r="R2527" s="44" t="s">
        <v>27</v>
      </c>
      <c r="S2527" s="45" t="s">
        <v>28</v>
      </c>
      <c r="T2527" s="44" t="s">
        <v>27</v>
      </c>
      <c r="U2527" s="45" t="s">
        <v>28</v>
      </c>
      <c r="V2527" s="44" t="s">
        <v>27</v>
      </c>
      <c r="W2527" s="45" t="s">
        <v>28</v>
      </c>
      <c r="X2527" s="44" t="s">
        <v>27</v>
      </c>
      <c r="Y2527" s="45" t="s">
        <v>28</v>
      </c>
      <c r="Z2527" s="46"/>
      <c r="AA2527" s="46"/>
      <c r="AB2527" s="121" t="s">
        <v>29</v>
      </c>
      <c r="AC2527" s="122" t="s">
        <v>30</v>
      </c>
      <c r="AD2527" s="123" t="s">
        <v>31</v>
      </c>
      <c r="AE2527" s="121" t="s">
        <v>27</v>
      </c>
      <c r="AF2527" s="123" t="s">
        <v>28</v>
      </c>
      <c r="AG2527" s="1"/>
    </row>
    <row r="2528" ht="21.0" customHeight="1">
      <c r="A2528" s="1"/>
      <c r="B2528" s="48" t="s">
        <v>32</v>
      </c>
      <c r="C2528" s="49"/>
      <c r="D2528" s="50"/>
      <c r="E2528" s="51" t="s">
        <v>33</v>
      </c>
      <c r="F2528" s="52" t="s">
        <v>34</v>
      </c>
      <c r="G2528" s="53"/>
      <c r="H2528" s="148"/>
      <c r="I2528" s="55"/>
      <c r="J2528" s="58"/>
      <c r="K2528" s="59"/>
      <c r="L2528" s="58"/>
      <c r="M2528" s="59"/>
      <c r="N2528" s="58"/>
      <c r="O2528" s="59"/>
      <c r="P2528" s="58"/>
      <c r="Q2528" s="59"/>
      <c r="R2528" s="58"/>
      <c r="S2528" s="59"/>
      <c r="T2528" s="58"/>
      <c r="U2528" s="59"/>
      <c r="V2528" s="58"/>
      <c r="W2528" s="59"/>
      <c r="X2528" s="58"/>
      <c r="Y2528" s="59"/>
      <c r="Z2528" s="60" t="b">
        <v>0</v>
      </c>
      <c r="AA2528" s="125">
        <f t="shared" ref="AA2528:AA2536" si="1009">(J2528*K2528+L2528*M2528+N2528*O2528+P2528*Q2528+R2528*S2528+T2528*U2528+V2528*W2528+X2528*Y2528)*if(Z2528=true,0.453592,1)</f>
        <v>0</v>
      </c>
      <c r="AB2528" s="126">
        <f t="shared" ref="AB2528:AB2536" si="1010">SUM(AE2528*AF2528*0.025,AE2528)</f>
        <v>0</v>
      </c>
      <c r="AC2528" s="127">
        <f t="shared" ref="AC2528:AC2536" si="1011">AB2528*87%</f>
        <v>0</v>
      </c>
      <c r="AD2528" s="128">
        <f t="shared" ref="AD2528:AD2536" si="1012">AB2528*67%</f>
        <v>0</v>
      </c>
      <c r="AE2528" s="126">
        <f t="shared" ref="AE2528:AE2536" si="1013">MAX(J2528,L2528,N2528,P2528,R2528,T2528,V2528,X2528)*if(Z2528=true,0.453592,1)</f>
        <v>0</v>
      </c>
      <c r="AF2528" s="128">
        <f t="shared" ref="AF2528:AF2536" si="1014">MAX(IF(J2528*if(Z2528=true,0.453592,1)=$AE2528,K2528,0),IF(L2528*if(Z2528=true,0.453592,1)=$AE2528,M2528,0),IF(N2528*if(Z2528=true,0.453592,1)=$AE2528,O2528,0),IF(P2528*if(Z2528=true,0.453592,1)=$AE2528,Q2528,0),IF(R2528*if(Z2528=true,0.453592,1)=$AE2528,S2528,0),IF(T2528*if(Z2528=true,0.453592,1)=$AE2528,U2528,0),IF(V2528*if(Z2528=true,0.453592,1)=$AE2528,W2528,0),IF(X2528*if(Z2528=true,0.453592,1)=$AE2528,Y2528,0))</f>
        <v>0</v>
      </c>
      <c r="AG2528" s="1"/>
    </row>
    <row r="2529" ht="21.0" customHeight="1">
      <c r="A2529" s="1"/>
      <c r="B2529" s="48" t="s">
        <v>36</v>
      </c>
      <c r="C2529" s="49"/>
      <c r="D2529" s="65"/>
      <c r="E2529" s="66"/>
      <c r="F2529" s="52" t="s">
        <v>37</v>
      </c>
      <c r="G2529" s="67"/>
      <c r="H2529" s="129"/>
      <c r="I2529" s="69"/>
      <c r="J2529" s="72"/>
      <c r="K2529" s="73"/>
      <c r="L2529" s="72"/>
      <c r="M2529" s="73"/>
      <c r="N2529" s="72"/>
      <c r="O2529" s="73"/>
      <c r="P2529" s="72"/>
      <c r="Q2529" s="73"/>
      <c r="R2529" s="72"/>
      <c r="S2529" s="73"/>
      <c r="T2529" s="72"/>
      <c r="U2529" s="73"/>
      <c r="V2529" s="72"/>
      <c r="W2529" s="73"/>
      <c r="X2529" s="72"/>
      <c r="Y2529" s="73"/>
      <c r="Z2529" s="74" t="b">
        <v>0</v>
      </c>
      <c r="AA2529" s="130">
        <f t="shared" si="1009"/>
        <v>0</v>
      </c>
      <c r="AB2529" s="131">
        <f t="shared" si="1010"/>
        <v>0</v>
      </c>
      <c r="AC2529" s="132">
        <f t="shared" si="1011"/>
        <v>0</v>
      </c>
      <c r="AD2529" s="133">
        <f t="shared" si="1012"/>
        <v>0</v>
      </c>
      <c r="AE2529" s="131">
        <f t="shared" si="1013"/>
        <v>0</v>
      </c>
      <c r="AF2529" s="133">
        <f t="shared" si="1014"/>
        <v>0</v>
      </c>
      <c r="AG2529" s="1"/>
    </row>
    <row r="2530" ht="21.0" customHeight="1">
      <c r="A2530" s="1"/>
      <c r="B2530" s="48" t="s">
        <v>39</v>
      </c>
      <c r="C2530" s="49"/>
      <c r="D2530" s="65"/>
      <c r="E2530" s="41"/>
      <c r="F2530" s="52" t="s">
        <v>40</v>
      </c>
      <c r="G2530" s="79"/>
      <c r="H2530" s="80"/>
      <c r="I2530" s="69"/>
      <c r="J2530" s="72"/>
      <c r="K2530" s="73"/>
      <c r="L2530" s="72"/>
      <c r="M2530" s="73"/>
      <c r="N2530" s="72"/>
      <c r="O2530" s="73"/>
      <c r="P2530" s="72"/>
      <c r="Q2530" s="73"/>
      <c r="R2530" s="72"/>
      <c r="S2530" s="73"/>
      <c r="T2530" s="72"/>
      <c r="U2530" s="73"/>
      <c r="V2530" s="72"/>
      <c r="W2530" s="73"/>
      <c r="X2530" s="72"/>
      <c r="Y2530" s="73"/>
      <c r="Z2530" s="74" t="b">
        <v>0</v>
      </c>
      <c r="AA2530" s="130">
        <f t="shared" si="1009"/>
        <v>0</v>
      </c>
      <c r="AB2530" s="131">
        <f t="shared" si="1010"/>
        <v>0</v>
      </c>
      <c r="AC2530" s="132">
        <f t="shared" si="1011"/>
        <v>0</v>
      </c>
      <c r="AD2530" s="133">
        <f t="shared" si="1012"/>
        <v>0</v>
      </c>
      <c r="AE2530" s="131">
        <f t="shared" si="1013"/>
        <v>0</v>
      </c>
      <c r="AF2530" s="133">
        <f t="shared" si="1014"/>
        <v>0</v>
      </c>
      <c r="AG2530" s="1"/>
    </row>
    <row r="2531" ht="21.0" customHeight="1">
      <c r="A2531" s="1"/>
      <c r="B2531" s="48" t="s">
        <v>41</v>
      </c>
      <c r="C2531" s="81"/>
      <c r="D2531" s="82" t="b">
        <v>0</v>
      </c>
      <c r="E2531" s="51" t="s">
        <v>42</v>
      </c>
      <c r="F2531" s="52" t="s">
        <v>34</v>
      </c>
      <c r="G2531" s="83"/>
      <c r="H2531" s="84"/>
      <c r="I2531" s="85"/>
      <c r="J2531" s="72"/>
      <c r="K2531" s="73"/>
      <c r="L2531" s="72"/>
      <c r="M2531" s="73"/>
      <c r="N2531" s="72"/>
      <c r="O2531" s="73"/>
      <c r="P2531" s="72"/>
      <c r="Q2531" s="73"/>
      <c r="R2531" s="72"/>
      <c r="S2531" s="73"/>
      <c r="T2531" s="72"/>
      <c r="U2531" s="73"/>
      <c r="V2531" s="72"/>
      <c r="W2531" s="73"/>
      <c r="X2531" s="72"/>
      <c r="Y2531" s="73"/>
      <c r="Z2531" s="74" t="b">
        <v>0</v>
      </c>
      <c r="AA2531" s="130">
        <f t="shared" si="1009"/>
        <v>0</v>
      </c>
      <c r="AB2531" s="131">
        <f t="shared" si="1010"/>
        <v>0</v>
      </c>
      <c r="AC2531" s="132">
        <f t="shared" si="1011"/>
        <v>0</v>
      </c>
      <c r="AD2531" s="133">
        <f t="shared" si="1012"/>
        <v>0</v>
      </c>
      <c r="AE2531" s="131">
        <f t="shared" si="1013"/>
        <v>0</v>
      </c>
      <c r="AF2531" s="133">
        <f t="shared" si="1014"/>
        <v>0</v>
      </c>
      <c r="AG2531" s="1"/>
    </row>
    <row r="2532" ht="21.0" customHeight="1">
      <c r="A2532" s="1"/>
      <c r="B2532" s="48" t="s">
        <v>43</v>
      </c>
      <c r="C2532" s="49"/>
      <c r="D2532" s="86" t="b">
        <v>0</v>
      </c>
      <c r="E2532" s="66"/>
      <c r="F2532" s="52" t="s">
        <v>37</v>
      </c>
      <c r="G2532" s="67"/>
      <c r="H2532" s="80"/>
      <c r="I2532" s="69"/>
      <c r="J2532" s="72"/>
      <c r="K2532" s="73"/>
      <c r="L2532" s="72"/>
      <c r="M2532" s="73"/>
      <c r="N2532" s="72"/>
      <c r="O2532" s="73"/>
      <c r="P2532" s="72"/>
      <c r="Q2532" s="73"/>
      <c r="R2532" s="72"/>
      <c r="S2532" s="73"/>
      <c r="T2532" s="72"/>
      <c r="U2532" s="73"/>
      <c r="V2532" s="72"/>
      <c r="W2532" s="73"/>
      <c r="X2532" s="72"/>
      <c r="Y2532" s="73"/>
      <c r="Z2532" s="74" t="b">
        <v>0</v>
      </c>
      <c r="AA2532" s="130">
        <f t="shared" si="1009"/>
        <v>0</v>
      </c>
      <c r="AB2532" s="131">
        <f t="shared" si="1010"/>
        <v>0</v>
      </c>
      <c r="AC2532" s="132">
        <f t="shared" si="1011"/>
        <v>0</v>
      </c>
      <c r="AD2532" s="133">
        <f t="shared" si="1012"/>
        <v>0</v>
      </c>
      <c r="AE2532" s="131">
        <f t="shared" si="1013"/>
        <v>0</v>
      </c>
      <c r="AF2532" s="133">
        <f t="shared" si="1014"/>
        <v>0</v>
      </c>
      <c r="AG2532" s="1"/>
    </row>
    <row r="2533" ht="21.0" customHeight="1">
      <c r="A2533" s="1"/>
      <c r="B2533" s="87" t="str">
        <f t="array" ref="B2533">"📌최근 인바디 결과 : "&amp;text(xlookup(B2525,'현황'!O:O,'현황'!O:O,,-1,-1),"m/d(ddd)")</f>
        <v>#REF!</v>
      </c>
      <c r="C2533" s="88"/>
      <c r="D2533" s="49"/>
      <c r="E2533" s="41"/>
      <c r="F2533" s="52" t="s">
        <v>40</v>
      </c>
      <c r="G2533" s="79"/>
      <c r="H2533" s="80"/>
      <c r="I2533" s="69"/>
      <c r="J2533" s="72"/>
      <c r="K2533" s="73"/>
      <c r="L2533" s="72"/>
      <c r="M2533" s="73"/>
      <c r="N2533" s="72"/>
      <c r="O2533" s="73"/>
      <c r="P2533" s="72"/>
      <c r="Q2533" s="73"/>
      <c r="R2533" s="72"/>
      <c r="S2533" s="73"/>
      <c r="T2533" s="72"/>
      <c r="U2533" s="73"/>
      <c r="V2533" s="72"/>
      <c r="W2533" s="73"/>
      <c r="X2533" s="72"/>
      <c r="Y2533" s="73"/>
      <c r="Z2533" s="74" t="b">
        <v>0</v>
      </c>
      <c r="AA2533" s="130">
        <f t="shared" si="1009"/>
        <v>0</v>
      </c>
      <c r="AB2533" s="131">
        <f t="shared" si="1010"/>
        <v>0</v>
      </c>
      <c r="AC2533" s="132">
        <f t="shared" si="1011"/>
        <v>0</v>
      </c>
      <c r="AD2533" s="133">
        <f t="shared" si="1012"/>
        <v>0</v>
      </c>
      <c r="AE2533" s="131">
        <f t="shared" si="1013"/>
        <v>0</v>
      </c>
      <c r="AF2533" s="133">
        <f t="shared" si="1014"/>
        <v>0</v>
      </c>
      <c r="AG2533" s="1"/>
    </row>
    <row r="2534" ht="21.0" customHeight="1">
      <c r="A2534" s="1"/>
      <c r="B2534" s="89" t="s">
        <v>44</v>
      </c>
      <c r="C2534" s="49"/>
      <c r="D2534" s="90">
        <f t="array" ref="D2534">iferror(vlookup(xlookup(B2525,'현황'!O:O,'현황'!O:O,,-1,-1),'현황'!O:S,2,false),0)</f>
        <v>0</v>
      </c>
      <c r="E2534" s="51" t="s">
        <v>45</v>
      </c>
      <c r="F2534" s="52" t="s">
        <v>34</v>
      </c>
      <c r="G2534" s="83"/>
      <c r="H2534" s="84"/>
      <c r="I2534" s="85"/>
      <c r="J2534" s="72"/>
      <c r="K2534" s="73"/>
      <c r="L2534" s="72"/>
      <c r="M2534" s="73"/>
      <c r="N2534" s="72"/>
      <c r="O2534" s="73"/>
      <c r="P2534" s="72"/>
      <c r="Q2534" s="73"/>
      <c r="R2534" s="72"/>
      <c r="S2534" s="73"/>
      <c r="T2534" s="72"/>
      <c r="U2534" s="73"/>
      <c r="V2534" s="72"/>
      <c r="W2534" s="73"/>
      <c r="X2534" s="72"/>
      <c r="Y2534" s="73"/>
      <c r="Z2534" s="74" t="b">
        <v>0</v>
      </c>
      <c r="AA2534" s="130">
        <f t="shared" si="1009"/>
        <v>0</v>
      </c>
      <c r="AB2534" s="131">
        <f t="shared" si="1010"/>
        <v>0</v>
      </c>
      <c r="AC2534" s="132">
        <f t="shared" si="1011"/>
        <v>0</v>
      </c>
      <c r="AD2534" s="133">
        <f t="shared" si="1012"/>
        <v>0</v>
      </c>
      <c r="AE2534" s="131">
        <f t="shared" si="1013"/>
        <v>0</v>
      </c>
      <c r="AF2534" s="133">
        <f t="shared" si="1014"/>
        <v>0</v>
      </c>
      <c r="AG2534" s="1"/>
    </row>
    <row r="2535" ht="21.0" customHeight="1">
      <c r="A2535" s="1"/>
      <c r="B2535" s="48" t="s">
        <v>46</v>
      </c>
      <c r="C2535" s="49"/>
      <c r="D2535" s="91">
        <f t="array" ref="D2535">iferror(vlookup(xlookup(B2525,'현황'!O:O,'현황'!O:O,,-1,-1),'현황'!O:S,3,false),0)</f>
        <v>0</v>
      </c>
      <c r="E2535" s="66"/>
      <c r="F2535" s="52" t="s">
        <v>37</v>
      </c>
      <c r="G2535" s="67"/>
      <c r="H2535" s="80"/>
      <c r="I2535" s="69"/>
      <c r="J2535" s="72"/>
      <c r="K2535" s="73"/>
      <c r="L2535" s="72"/>
      <c r="M2535" s="73"/>
      <c r="N2535" s="72"/>
      <c r="O2535" s="73"/>
      <c r="P2535" s="72"/>
      <c r="Q2535" s="73"/>
      <c r="R2535" s="72"/>
      <c r="S2535" s="73"/>
      <c r="T2535" s="72"/>
      <c r="U2535" s="73"/>
      <c r="V2535" s="72"/>
      <c r="W2535" s="73"/>
      <c r="X2535" s="72"/>
      <c r="Y2535" s="73"/>
      <c r="Z2535" s="74" t="b">
        <v>0</v>
      </c>
      <c r="AA2535" s="130">
        <f t="shared" si="1009"/>
        <v>0</v>
      </c>
      <c r="AB2535" s="131">
        <f t="shared" si="1010"/>
        <v>0</v>
      </c>
      <c r="AC2535" s="132">
        <f t="shared" si="1011"/>
        <v>0</v>
      </c>
      <c r="AD2535" s="133">
        <f t="shared" si="1012"/>
        <v>0</v>
      </c>
      <c r="AE2535" s="131">
        <f t="shared" si="1013"/>
        <v>0</v>
      </c>
      <c r="AF2535" s="133">
        <f t="shared" si="1014"/>
        <v>0</v>
      </c>
      <c r="AG2535" s="1"/>
    </row>
    <row r="2536" ht="21.0" customHeight="1">
      <c r="A2536" s="1"/>
      <c r="B2536" s="48" t="s">
        <v>47</v>
      </c>
      <c r="C2536" s="49"/>
      <c r="D2536" s="91">
        <f t="array" ref="D2536">iferror(vlookup(xlookup(B2525,'현황'!O:O,'현황'!O:O,,-1,-1),'현황'!O:S,4,false),0)</f>
        <v>0</v>
      </c>
      <c r="E2536" s="41"/>
      <c r="F2536" s="92" t="s">
        <v>40</v>
      </c>
      <c r="G2536" s="79"/>
      <c r="H2536" s="93"/>
      <c r="I2536" s="94"/>
      <c r="J2536" s="95"/>
      <c r="K2536" s="96"/>
      <c r="L2536" s="95"/>
      <c r="M2536" s="96"/>
      <c r="N2536" s="95"/>
      <c r="O2536" s="96"/>
      <c r="P2536" s="95"/>
      <c r="Q2536" s="96"/>
      <c r="R2536" s="95"/>
      <c r="S2536" s="96"/>
      <c r="T2536" s="95"/>
      <c r="U2536" s="96"/>
      <c r="V2536" s="95"/>
      <c r="W2536" s="96"/>
      <c r="X2536" s="95"/>
      <c r="Y2536" s="96"/>
      <c r="Z2536" s="97" t="b">
        <v>0</v>
      </c>
      <c r="AA2536" s="135">
        <f t="shared" si="1009"/>
        <v>0</v>
      </c>
      <c r="AB2536" s="136">
        <f t="shared" si="1010"/>
        <v>0</v>
      </c>
      <c r="AC2536" s="137">
        <f t="shared" si="1011"/>
        <v>0</v>
      </c>
      <c r="AD2536" s="138">
        <f t="shared" si="1012"/>
        <v>0</v>
      </c>
      <c r="AE2536" s="136">
        <f t="shared" si="1013"/>
        <v>0</v>
      </c>
      <c r="AF2536" s="138">
        <f t="shared" si="1014"/>
        <v>0</v>
      </c>
      <c r="AG2536" s="1"/>
    </row>
    <row r="2537" ht="21.0" customHeight="1">
      <c r="A2537" s="1"/>
      <c r="B2537" s="102" t="s">
        <v>48</v>
      </c>
      <c r="C2537" s="103"/>
      <c r="D2537" s="104">
        <f>iferror(D2536/D2534,0)</f>
        <v>0</v>
      </c>
      <c r="E2537" s="102" t="s">
        <v>49</v>
      </c>
      <c r="F2537" s="103"/>
      <c r="G2537" s="105"/>
      <c r="H2537" s="106" t="s">
        <v>50</v>
      </c>
      <c r="I2537" s="107"/>
      <c r="J2537" s="11"/>
      <c r="K2537" s="11"/>
      <c r="L2537" s="11"/>
      <c r="M2537" s="11"/>
      <c r="N2537" s="11"/>
      <c r="O2537" s="11"/>
      <c r="P2537" s="108" t="s">
        <v>51</v>
      </c>
      <c r="Q2537" s="12"/>
      <c r="R2537" s="109"/>
      <c r="S2537" s="11"/>
      <c r="T2537" s="11"/>
      <c r="U2537" s="11"/>
      <c r="V2537" s="11"/>
      <c r="W2537" s="11"/>
      <c r="X2537" s="11"/>
      <c r="Y2537" s="11"/>
      <c r="Z2537" s="12"/>
      <c r="AA2537" s="139">
        <f>SUM(AA2528:AA2536)</f>
        <v>0</v>
      </c>
      <c r="AB2537" s="140" t="s">
        <v>435</v>
      </c>
      <c r="AG2537" s="1"/>
    </row>
    <row r="2538" ht="21.0" customHeight="1">
      <c r="A2538" s="1"/>
      <c r="B2538" s="1"/>
      <c r="C2538" s="1"/>
      <c r="D2538" s="1"/>
      <c r="E2538" s="1"/>
      <c r="F2538" s="1"/>
      <c r="G2538" s="1"/>
      <c r="H2538" s="1"/>
      <c r="I2538" s="1"/>
      <c r="AA2538" s="1"/>
      <c r="AB2538" s="1"/>
      <c r="AC2538" s="3"/>
      <c r="AD2538" s="1"/>
      <c r="AE2538" s="1"/>
      <c r="AF2538" s="1"/>
      <c r="AG2538" s="1"/>
    </row>
    <row r="2539" ht="21.0" customHeight="1">
      <c r="A2539" s="1"/>
      <c r="B2539" s="4" t="s">
        <v>1</v>
      </c>
      <c r="C2539" s="5"/>
      <c r="D2539" s="6" t="s">
        <v>2</v>
      </c>
      <c r="E2539" s="7"/>
      <c r="F2539" s="7"/>
      <c r="G2539" s="5"/>
      <c r="H2539" s="8" t="s">
        <v>3</v>
      </c>
      <c r="I2539" s="8" t="s">
        <v>4</v>
      </c>
      <c r="J2539" s="9" t="s">
        <v>5</v>
      </c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5"/>
      <c r="AA2539" s="117" t="s">
        <v>6</v>
      </c>
      <c r="AB2539" s="11"/>
      <c r="AC2539" s="11"/>
      <c r="AD2539" s="11"/>
      <c r="AE2539" s="11"/>
      <c r="AF2539" s="12"/>
      <c r="AG2539" s="1"/>
    </row>
    <row r="2540" ht="21.0" customHeight="1">
      <c r="A2540" s="1"/>
      <c r="B2540" s="149" t="s">
        <v>138</v>
      </c>
      <c r="C2540" s="14" t="str">
        <f>if(B2540="0/0","",choose(weekday(B2540),"(일)","(월)","(화)","(수)","(목)","(금)","(토)"))</f>
        <v/>
      </c>
      <c r="D2540" s="15" t="s">
        <v>7</v>
      </c>
      <c r="E2540" s="16" t="s">
        <v>8</v>
      </c>
      <c r="F2540" s="17"/>
      <c r="G2540" s="18" t="s">
        <v>9</v>
      </c>
      <c r="H2540" s="150" t="s">
        <v>139</v>
      </c>
      <c r="I2540" s="151"/>
      <c r="J2540" s="21" t="s">
        <v>12</v>
      </c>
      <c r="K2540" s="22"/>
      <c r="L2540" s="21" t="s">
        <v>13</v>
      </c>
      <c r="M2540" s="22"/>
      <c r="N2540" s="21" t="s">
        <v>14</v>
      </c>
      <c r="O2540" s="22"/>
      <c r="P2540" s="21" t="s">
        <v>15</v>
      </c>
      <c r="Q2540" s="22"/>
      <c r="R2540" s="23" t="s">
        <v>16</v>
      </c>
      <c r="S2540" s="22"/>
      <c r="T2540" s="23" t="s">
        <v>17</v>
      </c>
      <c r="U2540" s="22"/>
      <c r="V2540" s="23" t="s">
        <v>18</v>
      </c>
      <c r="W2540" s="22"/>
      <c r="X2540" s="23" t="s">
        <v>19</v>
      </c>
      <c r="Y2540" s="22"/>
      <c r="Z2540" s="24" t="s">
        <v>436</v>
      </c>
      <c r="AA2540" s="118" t="s">
        <v>21</v>
      </c>
      <c r="AB2540" s="119" t="s">
        <v>22</v>
      </c>
      <c r="AC2540" s="7"/>
      <c r="AD2540" s="22"/>
      <c r="AE2540" s="120" t="s">
        <v>23</v>
      </c>
      <c r="AF2540" s="22"/>
      <c r="AG2540" s="1"/>
    </row>
    <row r="2541" ht="21.0" customHeight="1">
      <c r="A2541" s="1"/>
      <c r="B2541" s="27">
        <f>iferror(B2540-'현황'!$C$4+1,0)</f>
        <v>0</v>
      </c>
      <c r="C2541" s="28"/>
      <c r="D2541" s="29">
        <v>0.0</v>
      </c>
      <c r="E2541" s="30">
        <v>0.0</v>
      </c>
      <c r="F2541" s="31"/>
      <c r="G2541" s="32">
        <v>0.0</v>
      </c>
      <c r="H2541" s="33">
        <v>0.0</v>
      </c>
      <c r="I2541" s="34"/>
      <c r="J2541" s="35"/>
      <c r="K2541" s="36"/>
      <c r="L2541" s="35"/>
      <c r="M2541" s="36"/>
      <c r="N2541" s="35"/>
      <c r="O2541" s="36"/>
      <c r="P2541" s="35"/>
      <c r="Q2541" s="36"/>
      <c r="R2541" s="35"/>
      <c r="S2541" s="36"/>
      <c r="T2541" s="35"/>
      <c r="U2541" s="36"/>
      <c r="V2541" s="35"/>
      <c r="W2541" s="36"/>
      <c r="X2541" s="35"/>
      <c r="Y2541" s="36"/>
      <c r="Z2541" s="37"/>
      <c r="AA2541" s="37"/>
      <c r="AB2541" s="35"/>
      <c r="AC2541" s="38"/>
      <c r="AD2541" s="36"/>
      <c r="AE2541" s="35"/>
      <c r="AF2541" s="36"/>
      <c r="AG2541" s="1"/>
    </row>
    <row r="2542" ht="21.0" customHeight="1">
      <c r="A2542" s="1"/>
      <c r="B2542" s="39" t="s">
        <v>24</v>
      </c>
      <c r="C2542" s="40"/>
      <c r="D2542" s="41"/>
      <c r="E2542" s="42" t="s">
        <v>25</v>
      </c>
      <c r="F2542" s="40"/>
      <c r="G2542" s="41"/>
      <c r="H2542" s="43" t="s">
        <v>26</v>
      </c>
      <c r="J2542" s="44" t="s">
        <v>27</v>
      </c>
      <c r="K2542" s="45" t="s">
        <v>28</v>
      </c>
      <c r="L2542" s="44" t="s">
        <v>27</v>
      </c>
      <c r="M2542" s="45" t="s">
        <v>28</v>
      </c>
      <c r="N2542" s="44" t="s">
        <v>27</v>
      </c>
      <c r="O2542" s="45" t="s">
        <v>28</v>
      </c>
      <c r="P2542" s="44" t="s">
        <v>27</v>
      </c>
      <c r="Q2542" s="45" t="s">
        <v>28</v>
      </c>
      <c r="R2542" s="44" t="s">
        <v>27</v>
      </c>
      <c r="S2542" s="45" t="s">
        <v>28</v>
      </c>
      <c r="T2542" s="44" t="s">
        <v>27</v>
      </c>
      <c r="U2542" s="45" t="s">
        <v>28</v>
      </c>
      <c r="V2542" s="44" t="s">
        <v>27</v>
      </c>
      <c r="W2542" s="45" t="s">
        <v>28</v>
      </c>
      <c r="X2542" s="44" t="s">
        <v>27</v>
      </c>
      <c r="Y2542" s="45" t="s">
        <v>28</v>
      </c>
      <c r="Z2542" s="46"/>
      <c r="AA2542" s="46"/>
      <c r="AB2542" s="121" t="s">
        <v>29</v>
      </c>
      <c r="AC2542" s="122" t="s">
        <v>30</v>
      </c>
      <c r="AD2542" s="123" t="s">
        <v>31</v>
      </c>
      <c r="AE2542" s="121" t="s">
        <v>27</v>
      </c>
      <c r="AF2542" s="123" t="s">
        <v>28</v>
      </c>
      <c r="AG2542" s="1"/>
    </row>
    <row r="2543" ht="21.0" customHeight="1">
      <c r="A2543" s="1"/>
      <c r="B2543" s="48" t="s">
        <v>32</v>
      </c>
      <c r="C2543" s="49"/>
      <c r="D2543" s="50"/>
      <c r="E2543" s="51" t="s">
        <v>33</v>
      </c>
      <c r="F2543" s="52" t="s">
        <v>34</v>
      </c>
      <c r="G2543" s="53"/>
      <c r="H2543" s="148"/>
      <c r="I2543" s="55"/>
      <c r="J2543" s="58"/>
      <c r="K2543" s="59"/>
      <c r="L2543" s="58"/>
      <c r="M2543" s="59"/>
      <c r="N2543" s="58"/>
      <c r="O2543" s="59"/>
      <c r="P2543" s="58"/>
      <c r="Q2543" s="59"/>
      <c r="R2543" s="58"/>
      <c r="S2543" s="59"/>
      <c r="T2543" s="58"/>
      <c r="U2543" s="59"/>
      <c r="V2543" s="58"/>
      <c r="W2543" s="59"/>
      <c r="X2543" s="58"/>
      <c r="Y2543" s="59"/>
      <c r="Z2543" s="60" t="b">
        <v>0</v>
      </c>
      <c r="AA2543" s="125">
        <f t="shared" ref="AA2543:AA2551" si="1015">(J2543*K2543+L2543*M2543+N2543*O2543+P2543*Q2543+R2543*S2543+T2543*U2543+V2543*W2543+X2543*Y2543)*if(Z2543=true,0.453592,1)</f>
        <v>0</v>
      </c>
      <c r="AB2543" s="126">
        <f t="shared" ref="AB2543:AB2551" si="1016">SUM(AE2543*AF2543*0.025,AE2543)</f>
        <v>0</v>
      </c>
      <c r="AC2543" s="127">
        <f t="shared" ref="AC2543:AC2551" si="1017">AB2543*87%</f>
        <v>0</v>
      </c>
      <c r="AD2543" s="128">
        <f t="shared" ref="AD2543:AD2551" si="1018">AB2543*67%</f>
        <v>0</v>
      </c>
      <c r="AE2543" s="126">
        <f t="shared" ref="AE2543:AE2551" si="1019">MAX(J2543,L2543,N2543,P2543,R2543,T2543,V2543,X2543)*if(Z2543=true,0.453592,1)</f>
        <v>0</v>
      </c>
      <c r="AF2543" s="128">
        <f t="shared" ref="AF2543:AF2551" si="1020">MAX(IF(J2543*if(Z2543=true,0.453592,1)=$AE2543,K2543,0),IF(L2543*if(Z2543=true,0.453592,1)=$AE2543,M2543,0),IF(N2543*if(Z2543=true,0.453592,1)=$AE2543,O2543,0),IF(P2543*if(Z2543=true,0.453592,1)=$AE2543,Q2543,0),IF(R2543*if(Z2543=true,0.453592,1)=$AE2543,S2543,0),IF(T2543*if(Z2543=true,0.453592,1)=$AE2543,U2543,0),IF(V2543*if(Z2543=true,0.453592,1)=$AE2543,W2543,0),IF(X2543*if(Z2543=true,0.453592,1)=$AE2543,Y2543,0))</f>
        <v>0</v>
      </c>
      <c r="AG2543" s="1"/>
    </row>
    <row r="2544" ht="21.0" customHeight="1">
      <c r="A2544" s="1"/>
      <c r="B2544" s="48" t="s">
        <v>36</v>
      </c>
      <c r="C2544" s="49"/>
      <c r="D2544" s="65"/>
      <c r="E2544" s="66"/>
      <c r="F2544" s="52" t="s">
        <v>37</v>
      </c>
      <c r="G2544" s="67"/>
      <c r="H2544" s="129"/>
      <c r="I2544" s="69"/>
      <c r="J2544" s="72"/>
      <c r="K2544" s="73"/>
      <c r="L2544" s="72"/>
      <c r="M2544" s="73"/>
      <c r="N2544" s="72"/>
      <c r="O2544" s="73"/>
      <c r="P2544" s="72"/>
      <c r="Q2544" s="73"/>
      <c r="R2544" s="72"/>
      <c r="S2544" s="73"/>
      <c r="T2544" s="72"/>
      <c r="U2544" s="73"/>
      <c r="V2544" s="72"/>
      <c r="W2544" s="73"/>
      <c r="X2544" s="72"/>
      <c r="Y2544" s="73"/>
      <c r="Z2544" s="74" t="b">
        <v>0</v>
      </c>
      <c r="AA2544" s="130">
        <f t="shared" si="1015"/>
        <v>0</v>
      </c>
      <c r="AB2544" s="131">
        <f t="shared" si="1016"/>
        <v>0</v>
      </c>
      <c r="AC2544" s="132">
        <f t="shared" si="1017"/>
        <v>0</v>
      </c>
      <c r="AD2544" s="133">
        <f t="shared" si="1018"/>
        <v>0</v>
      </c>
      <c r="AE2544" s="131">
        <f t="shared" si="1019"/>
        <v>0</v>
      </c>
      <c r="AF2544" s="133">
        <f t="shared" si="1020"/>
        <v>0</v>
      </c>
      <c r="AG2544" s="1"/>
    </row>
    <row r="2545" ht="21.0" customHeight="1">
      <c r="A2545" s="1"/>
      <c r="B2545" s="48" t="s">
        <v>39</v>
      </c>
      <c r="C2545" s="49"/>
      <c r="D2545" s="65"/>
      <c r="E2545" s="41"/>
      <c r="F2545" s="52" t="s">
        <v>40</v>
      </c>
      <c r="G2545" s="79"/>
      <c r="H2545" s="80"/>
      <c r="I2545" s="69"/>
      <c r="J2545" s="72"/>
      <c r="K2545" s="73"/>
      <c r="L2545" s="72"/>
      <c r="M2545" s="73"/>
      <c r="N2545" s="72"/>
      <c r="O2545" s="73"/>
      <c r="P2545" s="72"/>
      <c r="Q2545" s="73"/>
      <c r="R2545" s="72"/>
      <c r="S2545" s="73"/>
      <c r="T2545" s="72"/>
      <c r="U2545" s="73"/>
      <c r="V2545" s="72"/>
      <c r="W2545" s="73"/>
      <c r="X2545" s="72"/>
      <c r="Y2545" s="73"/>
      <c r="Z2545" s="74" t="b">
        <v>0</v>
      </c>
      <c r="AA2545" s="130">
        <f t="shared" si="1015"/>
        <v>0</v>
      </c>
      <c r="AB2545" s="131">
        <f t="shared" si="1016"/>
        <v>0</v>
      </c>
      <c r="AC2545" s="132">
        <f t="shared" si="1017"/>
        <v>0</v>
      </c>
      <c r="AD2545" s="133">
        <f t="shared" si="1018"/>
        <v>0</v>
      </c>
      <c r="AE2545" s="131">
        <f t="shared" si="1019"/>
        <v>0</v>
      </c>
      <c r="AF2545" s="133">
        <f t="shared" si="1020"/>
        <v>0</v>
      </c>
      <c r="AG2545" s="1"/>
    </row>
    <row r="2546" ht="21.0" customHeight="1">
      <c r="A2546" s="1"/>
      <c r="B2546" s="48" t="s">
        <v>41</v>
      </c>
      <c r="C2546" s="81"/>
      <c r="D2546" s="82" t="b">
        <v>0</v>
      </c>
      <c r="E2546" s="51" t="s">
        <v>42</v>
      </c>
      <c r="F2546" s="52" t="s">
        <v>34</v>
      </c>
      <c r="G2546" s="83"/>
      <c r="H2546" s="84"/>
      <c r="I2546" s="85"/>
      <c r="J2546" s="72"/>
      <c r="K2546" s="73"/>
      <c r="L2546" s="72"/>
      <c r="M2546" s="73"/>
      <c r="N2546" s="72"/>
      <c r="O2546" s="73"/>
      <c r="P2546" s="72"/>
      <c r="Q2546" s="73"/>
      <c r="R2546" s="72"/>
      <c r="S2546" s="73"/>
      <c r="T2546" s="72"/>
      <c r="U2546" s="73"/>
      <c r="V2546" s="72"/>
      <c r="W2546" s="73"/>
      <c r="X2546" s="72"/>
      <c r="Y2546" s="73"/>
      <c r="Z2546" s="74" t="b">
        <v>0</v>
      </c>
      <c r="AA2546" s="130">
        <f t="shared" si="1015"/>
        <v>0</v>
      </c>
      <c r="AB2546" s="131">
        <f t="shared" si="1016"/>
        <v>0</v>
      </c>
      <c r="AC2546" s="132">
        <f t="shared" si="1017"/>
        <v>0</v>
      </c>
      <c r="AD2546" s="133">
        <f t="shared" si="1018"/>
        <v>0</v>
      </c>
      <c r="AE2546" s="131">
        <f t="shared" si="1019"/>
        <v>0</v>
      </c>
      <c r="AF2546" s="133">
        <f t="shared" si="1020"/>
        <v>0</v>
      </c>
      <c r="AG2546" s="1"/>
    </row>
    <row r="2547" ht="21.0" customHeight="1">
      <c r="A2547" s="1"/>
      <c r="B2547" s="48" t="s">
        <v>43</v>
      </c>
      <c r="C2547" s="49"/>
      <c r="D2547" s="86" t="b">
        <v>0</v>
      </c>
      <c r="E2547" s="66"/>
      <c r="F2547" s="52" t="s">
        <v>37</v>
      </c>
      <c r="G2547" s="67"/>
      <c r="H2547" s="80"/>
      <c r="I2547" s="69"/>
      <c r="J2547" s="72"/>
      <c r="K2547" s="73"/>
      <c r="L2547" s="72"/>
      <c r="M2547" s="73"/>
      <c r="N2547" s="72"/>
      <c r="O2547" s="73"/>
      <c r="P2547" s="72"/>
      <c r="Q2547" s="73"/>
      <c r="R2547" s="72"/>
      <c r="S2547" s="73"/>
      <c r="T2547" s="72"/>
      <c r="U2547" s="73"/>
      <c r="V2547" s="72"/>
      <c r="W2547" s="73"/>
      <c r="X2547" s="72"/>
      <c r="Y2547" s="73"/>
      <c r="Z2547" s="74" t="b">
        <v>0</v>
      </c>
      <c r="AA2547" s="130">
        <f t="shared" si="1015"/>
        <v>0</v>
      </c>
      <c r="AB2547" s="131">
        <f t="shared" si="1016"/>
        <v>0</v>
      </c>
      <c r="AC2547" s="132">
        <f t="shared" si="1017"/>
        <v>0</v>
      </c>
      <c r="AD2547" s="133">
        <f t="shared" si="1018"/>
        <v>0</v>
      </c>
      <c r="AE2547" s="131">
        <f t="shared" si="1019"/>
        <v>0</v>
      </c>
      <c r="AF2547" s="133">
        <f t="shared" si="1020"/>
        <v>0</v>
      </c>
      <c r="AG2547" s="1"/>
    </row>
    <row r="2548" ht="21.0" customHeight="1">
      <c r="A2548" s="1"/>
      <c r="B2548" s="87" t="str">
        <f t="array" ref="B2548">"📌최근 인바디 결과 : "&amp;text(xlookup(B2540,'현황'!O:O,'현황'!O:O,,-1,-1),"m/d(ddd)")</f>
        <v>#REF!</v>
      </c>
      <c r="C2548" s="88"/>
      <c r="D2548" s="49"/>
      <c r="E2548" s="41"/>
      <c r="F2548" s="52" t="s">
        <v>40</v>
      </c>
      <c r="G2548" s="79"/>
      <c r="H2548" s="80"/>
      <c r="I2548" s="69"/>
      <c r="J2548" s="72"/>
      <c r="K2548" s="73"/>
      <c r="L2548" s="72"/>
      <c r="M2548" s="73"/>
      <c r="N2548" s="72"/>
      <c r="O2548" s="73"/>
      <c r="P2548" s="72"/>
      <c r="Q2548" s="73"/>
      <c r="R2548" s="72"/>
      <c r="S2548" s="73"/>
      <c r="T2548" s="72"/>
      <c r="U2548" s="73"/>
      <c r="V2548" s="72"/>
      <c r="W2548" s="73"/>
      <c r="X2548" s="72"/>
      <c r="Y2548" s="73"/>
      <c r="Z2548" s="74" t="b">
        <v>0</v>
      </c>
      <c r="AA2548" s="130">
        <f t="shared" si="1015"/>
        <v>0</v>
      </c>
      <c r="AB2548" s="131">
        <f t="shared" si="1016"/>
        <v>0</v>
      </c>
      <c r="AC2548" s="132">
        <f t="shared" si="1017"/>
        <v>0</v>
      </c>
      <c r="AD2548" s="133">
        <f t="shared" si="1018"/>
        <v>0</v>
      </c>
      <c r="AE2548" s="131">
        <f t="shared" si="1019"/>
        <v>0</v>
      </c>
      <c r="AF2548" s="133">
        <f t="shared" si="1020"/>
        <v>0</v>
      </c>
      <c r="AG2548" s="1"/>
    </row>
    <row r="2549" ht="21.0" customHeight="1">
      <c r="A2549" s="1"/>
      <c r="B2549" s="89" t="s">
        <v>44</v>
      </c>
      <c r="C2549" s="49"/>
      <c r="D2549" s="90">
        <f t="array" ref="D2549">iferror(vlookup(xlookup(B2540,'현황'!O:O,'현황'!O:O,,-1,-1),'현황'!O:S,2,false),0)</f>
        <v>0</v>
      </c>
      <c r="E2549" s="51" t="s">
        <v>45</v>
      </c>
      <c r="F2549" s="52" t="s">
        <v>34</v>
      </c>
      <c r="G2549" s="83"/>
      <c r="H2549" s="84"/>
      <c r="I2549" s="85"/>
      <c r="J2549" s="72"/>
      <c r="K2549" s="73"/>
      <c r="L2549" s="72"/>
      <c r="M2549" s="73"/>
      <c r="N2549" s="72"/>
      <c r="O2549" s="73"/>
      <c r="P2549" s="72"/>
      <c r="Q2549" s="73"/>
      <c r="R2549" s="72"/>
      <c r="S2549" s="73"/>
      <c r="T2549" s="72"/>
      <c r="U2549" s="73"/>
      <c r="V2549" s="72"/>
      <c r="W2549" s="73"/>
      <c r="X2549" s="72"/>
      <c r="Y2549" s="73"/>
      <c r="Z2549" s="74" t="b">
        <v>0</v>
      </c>
      <c r="AA2549" s="130">
        <f t="shared" si="1015"/>
        <v>0</v>
      </c>
      <c r="AB2549" s="131">
        <f t="shared" si="1016"/>
        <v>0</v>
      </c>
      <c r="AC2549" s="132">
        <f t="shared" si="1017"/>
        <v>0</v>
      </c>
      <c r="AD2549" s="133">
        <f t="shared" si="1018"/>
        <v>0</v>
      </c>
      <c r="AE2549" s="131">
        <f t="shared" si="1019"/>
        <v>0</v>
      </c>
      <c r="AF2549" s="133">
        <f t="shared" si="1020"/>
        <v>0</v>
      </c>
      <c r="AG2549" s="1"/>
    </row>
    <row r="2550" ht="21.0" customHeight="1">
      <c r="A2550" s="1"/>
      <c r="B2550" s="48" t="s">
        <v>46</v>
      </c>
      <c r="C2550" s="49"/>
      <c r="D2550" s="91">
        <f t="array" ref="D2550">iferror(vlookup(xlookup(B2540,'현황'!O:O,'현황'!O:O,,-1,-1),'현황'!O:S,3,false),0)</f>
        <v>0</v>
      </c>
      <c r="E2550" s="66"/>
      <c r="F2550" s="52" t="s">
        <v>37</v>
      </c>
      <c r="G2550" s="67"/>
      <c r="H2550" s="80"/>
      <c r="I2550" s="69"/>
      <c r="J2550" s="72"/>
      <c r="K2550" s="73"/>
      <c r="L2550" s="72"/>
      <c r="M2550" s="73"/>
      <c r="N2550" s="72"/>
      <c r="O2550" s="73"/>
      <c r="P2550" s="72"/>
      <c r="Q2550" s="73"/>
      <c r="R2550" s="72"/>
      <c r="S2550" s="73"/>
      <c r="T2550" s="72"/>
      <c r="U2550" s="73"/>
      <c r="V2550" s="72"/>
      <c r="W2550" s="73"/>
      <c r="X2550" s="72"/>
      <c r="Y2550" s="73"/>
      <c r="Z2550" s="74" t="b">
        <v>0</v>
      </c>
      <c r="AA2550" s="130">
        <f t="shared" si="1015"/>
        <v>0</v>
      </c>
      <c r="AB2550" s="131">
        <f t="shared" si="1016"/>
        <v>0</v>
      </c>
      <c r="AC2550" s="132">
        <f t="shared" si="1017"/>
        <v>0</v>
      </c>
      <c r="AD2550" s="133">
        <f t="shared" si="1018"/>
        <v>0</v>
      </c>
      <c r="AE2550" s="131">
        <f t="shared" si="1019"/>
        <v>0</v>
      </c>
      <c r="AF2550" s="133">
        <f t="shared" si="1020"/>
        <v>0</v>
      </c>
      <c r="AG2550" s="1"/>
    </row>
    <row r="2551" ht="21.0" customHeight="1">
      <c r="A2551" s="1"/>
      <c r="B2551" s="48" t="s">
        <v>47</v>
      </c>
      <c r="C2551" s="49"/>
      <c r="D2551" s="91">
        <f t="array" ref="D2551">iferror(vlookup(xlookup(B2540,'현황'!O:O,'현황'!O:O,,-1,-1),'현황'!O:S,4,false),0)</f>
        <v>0</v>
      </c>
      <c r="E2551" s="41"/>
      <c r="F2551" s="92" t="s">
        <v>40</v>
      </c>
      <c r="G2551" s="79"/>
      <c r="H2551" s="93"/>
      <c r="I2551" s="94"/>
      <c r="J2551" s="95"/>
      <c r="K2551" s="96"/>
      <c r="L2551" s="95"/>
      <c r="M2551" s="96"/>
      <c r="N2551" s="95"/>
      <c r="O2551" s="96"/>
      <c r="P2551" s="95"/>
      <c r="Q2551" s="96"/>
      <c r="R2551" s="95"/>
      <c r="S2551" s="96"/>
      <c r="T2551" s="95"/>
      <c r="U2551" s="96"/>
      <c r="V2551" s="95"/>
      <c r="W2551" s="96"/>
      <c r="X2551" s="95"/>
      <c r="Y2551" s="96"/>
      <c r="Z2551" s="97" t="b">
        <v>0</v>
      </c>
      <c r="AA2551" s="135">
        <f t="shared" si="1015"/>
        <v>0</v>
      </c>
      <c r="AB2551" s="136">
        <f t="shared" si="1016"/>
        <v>0</v>
      </c>
      <c r="AC2551" s="137">
        <f t="shared" si="1017"/>
        <v>0</v>
      </c>
      <c r="AD2551" s="138">
        <f t="shared" si="1018"/>
        <v>0</v>
      </c>
      <c r="AE2551" s="136">
        <f t="shared" si="1019"/>
        <v>0</v>
      </c>
      <c r="AF2551" s="138">
        <f t="shared" si="1020"/>
        <v>0</v>
      </c>
      <c r="AG2551" s="1"/>
    </row>
    <row r="2552" ht="21.0" customHeight="1">
      <c r="A2552" s="1"/>
      <c r="B2552" s="102" t="s">
        <v>48</v>
      </c>
      <c r="C2552" s="103"/>
      <c r="D2552" s="104">
        <f>iferror(D2551/D2549,0)</f>
        <v>0</v>
      </c>
      <c r="E2552" s="102" t="s">
        <v>49</v>
      </c>
      <c r="F2552" s="103"/>
      <c r="G2552" s="105"/>
      <c r="H2552" s="106" t="s">
        <v>50</v>
      </c>
      <c r="I2552" s="107"/>
      <c r="J2552" s="11"/>
      <c r="K2552" s="11"/>
      <c r="L2552" s="11"/>
      <c r="M2552" s="11"/>
      <c r="N2552" s="11"/>
      <c r="O2552" s="11"/>
      <c r="P2552" s="108" t="s">
        <v>51</v>
      </c>
      <c r="Q2552" s="12"/>
      <c r="R2552" s="109"/>
      <c r="S2552" s="11"/>
      <c r="T2552" s="11"/>
      <c r="U2552" s="11"/>
      <c r="V2552" s="11"/>
      <c r="W2552" s="11"/>
      <c r="X2552" s="11"/>
      <c r="Y2552" s="11"/>
      <c r="Z2552" s="12"/>
      <c r="AA2552" s="139">
        <f>SUM(AA2543:AA2551)</f>
        <v>0</v>
      </c>
      <c r="AB2552" s="140" t="s">
        <v>437</v>
      </c>
      <c r="AG2552" s="1"/>
    </row>
    <row r="2553" ht="21.0" customHeight="1">
      <c r="A2553" s="1"/>
      <c r="B2553" s="1"/>
      <c r="C2553" s="1"/>
      <c r="D2553" s="1"/>
      <c r="E2553" s="1"/>
      <c r="F2553" s="1"/>
      <c r="G2553" s="1"/>
      <c r="H2553" s="1"/>
      <c r="I2553" s="1"/>
      <c r="AA2553" s="1"/>
      <c r="AB2553" s="1"/>
      <c r="AC2553" s="3"/>
      <c r="AD2553" s="1"/>
      <c r="AE2553" s="1"/>
      <c r="AF2553" s="1"/>
      <c r="AG2553" s="1"/>
    </row>
    <row r="2554" ht="21.0" customHeight="1">
      <c r="A2554" s="1"/>
      <c r="B2554" s="4" t="s">
        <v>1</v>
      </c>
      <c r="C2554" s="5"/>
      <c r="D2554" s="6" t="s">
        <v>2</v>
      </c>
      <c r="E2554" s="7"/>
      <c r="F2554" s="7"/>
      <c r="G2554" s="5"/>
      <c r="H2554" s="8" t="s">
        <v>3</v>
      </c>
      <c r="I2554" s="8" t="s">
        <v>4</v>
      </c>
      <c r="J2554" s="9" t="s">
        <v>5</v>
      </c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5"/>
      <c r="AA2554" s="117" t="s">
        <v>6</v>
      </c>
      <c r="AB2554" s="11"/>
      <c r="AC2554" s="11"/>
      <c r="AD2554" s="11"/>
      <c r="AE2554" s="11"/>
      <c r="AF2554" s="12"/>
      <c r="AG2554" s="1"/>
    </row>
    <row r="2555" ht="21.0" customHeight="1">
      <c r="A2555" s="1"/>
      <c r="B2555" s="149" t="s">
        <v>138</v>
      </c>
      <c r="C2555" s="14" t="str">
        <f>if(B2555="0/0","",choose(weekday(B2555),"(일)","(월)","(화)","(수)","(목)","(금)","(토)"))</f>
        <v/>
      </c>
      <c r="D2555" s="15" t="s">
        <v>7</v>
      </c>
      <c r="E2555" s="16" t="s">
        <v>8</v>
      </c>
      <c r="F2555" s="17"/>
      <c r="G2555" s="18" t="s">
        <v>9</v>
      </c>
      <c r="H2555" s="150" t="s">
        <v>139</v>
      </c>
      <c r="I2555" s="151"/>
      <c r="J2555" s="21" t="s">
        <v>12</v>
      </c>
      <c r="K2555" s="22"/>
      <c r="L2555" s="21" t="s">
        <v>13</v>
      </c>
      <c r="M2555" s="22"/>
      <c r="N2555" s="21" t="s">
        <v>14</v>
      </c>
      <c r="O2555" s="22"/>
      <c r="P2555" s="21" t="s">
        <v>15</v>
      </c>
      <c r="Q2555" s="22"/>
      <c r="R2555" s="23" t="s">
        <v>16</v>
      </c>
      <c r="S2555" s="22"/>
      <c r="T2555" s="23" t="s">
        <v>17</v>
      </c>
      <c r="U2555" s="22"/>
      <c r="V2555" s="23" t="s">
        <v>18</v>
      </c>
      <c r="W2555" s="22"/>
      <c r="X2555" s="23" t="s">
        <v>19</v>
      </c>
      <c r="Y2555" s="22"/>
      <c r="Z2555" s="24" t="s">
        <v>438</v>
      </c>
      <c r="AA2555" s="118" t="s">
        <v>21</v>
      </c>
      <c r="AB2555" s="119" t="s">
        <v>22</v>
      </c>
      <c r="AC2555" s="7"/>
      <c r="AD2555" s="22"/>
      <c r="AE2555" s="120" t="s">
        <v>23</v>
      </c>
      <c r="AF2555" s="22"/>
      <c r="AG2555" s="1"/>
    </row>
    <row r="2556" ht="21.0" customHeight="1">
      <c r="A2556" s="1"/>
      <c r="B2556" s="27">
        <f>iferror(B2555-'현황'!$C$4+1,0)</f>
        <v>0</v>
      </c>
      <c r="C2556" s="28"/>
      <c r="D2556" s="29">
        <v>0.0</v>
      </c>
      <c r="E2556" s="30">
        <v>0.0</v>
      </c>
      <c r="F2556" s="31"/>
      <c r="G2556" s="32">
        <v>0.0</v>
      </c>
      <c r="H2556" s="33">
        <v>0.0</v>
      </c>
      <c r="I2556" s="34"/>
      <c r="J2556" s="35"/>
      <c r="K2556" s="36"/>
      <c r="L2556" s="35"/>
      <c r="M2556" s="36"/>
      <c r="N2556" s="35"/>
      <c r="O2556" s="36"/>
      <c r="P2556" s="35"/>
      <c r="Q2556" s="36"/>
      <c r="R2556" s="35"/>
      <c r="S2556" s="36"/>
      <c r="T2556" s="35"/>
      <c r="U2556" s="36"/>
      <c r="V2556" s="35"/>
      <c r="W2556" s="36"/>
      <c r="X2556" s="35"/>
      <c r="Y2556" s="36"/>
      <c r="Z2556" s="37"/>
      <c r="AA2556" s="37"/>
      <c r="AB2556" s="35"/>
      <c r="AC2556" s="38"/>
      <c r="AD2556" s="36"/>
      <c r="AE2556" s="35"/>
      <c r="AF2556" s="36"/>
      <c r="AG2556" s="1"/>
    </row>
    <row r="2557" ht="21.0" customHeight="1">
      <c r="A2557" s="1"/>
      <c r="B2557" s="39" t="s">
        <v>24</v>
      </c>
      <c r="C2557" s="40"/>
      <c r="D2557" s="41"/>
      <c r="E2557" s="42" t="s">
        <v>25</v>
      </c>
      <c r="F2557" s="40"/>
      <c r="G2557" s="41"/>
      <c r="H2557" s="43" t="s">
        <v>26</v>
      </c>
      <c r="J2557" s="44" t="s">
        <v>27</v>
      </c>
      <c r="K2557" s="45" t="s">
        <v>28</v>
      </c>
      <c r="L2557" s="44" t="s">
        <v>27</v>
      </c>
      <c r="M2557" s="45" t="s">
        <v>28</v>
      </c>
      <c r="N2557" s="44" t="s">
        <v>27</v>
      </c>
      <c r="O2557" s="45" t="s">
        <v>28</v>
      </c>
      <c r="P2557" s="44" t="s">
        <v>27</v>
      </c>
      <c r="Q2557" s="45" t="s">
        <v>28</v>
      </c>
      <c r="R2557" s="44" t="s">
        <v>27</v>
      </c>
      <c r="S2557" s="45" t="s">
        <v>28</v>
      </c>
      <c r="T2557" s="44" t="s">
        <v>27</v>
      </c>
      <c r="U2557" s="45" t="s">
        <v>28</v>
      </c>
      <c r="V2557" s="44" t="s">
        <v>27</v>
      </c>
      <c r="W2557" s="45" t="s">
        <v>28</v>
      </c>
      <c r="X2557" s="44" t="s">
        <v>27</v>
      </c>
      <c r="Y2557" s="45" t="s">
        <v>28</v>
      </c>
      <c r="Z2557" s="46"/>
      <c r="AA2557" s="46"/>
      <c r="AB2557" s="121" t="s">
        <v>29</v>
      </c>
      <c r="AC2557" s="122" t="s">
        <v>30</v>
      </c>
      <c r="AD2557" s="123" t="s">
        <v>31</v>
      </c>
      <c r="AE2557" s="121" t="s">
        <v>27</v>
      </c>
      <c r="AF2557" s="123" t="s">
        <v>28</v>
      </c>
      <c r="AG2557" s="1"/>
    </row>
    <row r="2558" ht="21.0" customHeight="1">
      <c r="A2558" s="1"/>
      <c r="B2558" s="48" t="s">
        <v>32</v>
      </c>
      <c r="C2558" s="49"/>
      <c r="D2558" s="50"/>
      <c r="E2558" s="51" t="s">
        <v>33</v>
      </c>
      <c r="F2558" s="52" t="s">
        <v>34</v>
      </c>
      <c r="G2558" s="53"/>
      <c r="H2558" s="148"/>
      <c r="I2558" s="55"/>
      <c r="J2558" s="58"/>
      <c r="K2558" s="59"/>
      <c r="L2558" s="58"/>
      <c r="M2558" s="59"/>
      <c r="N2558" s="58"/>
      <c r="O2558" s="59"/>
      <c r="P2558" s="58"/>
      <c r="Q2558" s="59"/>
      <c r="R2558" s="58"/>
      <c r="S2558" s="59"/>
      <c r="T2558" s="58"/>
      <c r="U2558" s="59"/>
      <c r="V2558" s="58"/>
      <c r="W2558" s="59"/>
      <c r="X2558" s="58"/>
      <c r="Y2558" s="59"/>
      <c r="Z2558" s="60" t="b">
        <v>0</v>
      </c>
      <c r="AA2558" s="125">
        <f t="shared" ref="AA2558:AA2566" si="1021">(J2558*K2558+L2558*M2558+N2558*O2558+P2558*Q2558+R2558*S2558+T2558*U2558+V2558*W2558+X2558*Y2558)*if(Z2558=true,0.453592,1)</f>
        <v>0</v>
      </c>
      <c r="AB2558" s="126">
        <f t="shared" ref="AB2558:AB2566" si="1022">SUM(AE2558*AF2558*0.025,AE2558)</f>
        <v>0</v>
      </c>
      <c r="AC2558" s="127">
        <f t="shared" ref="AC2558:AC2566" si="1023">AB2558*87%</f>
        <v>0</v>
      </c>
      <c r="AD2558" s="128">
        <f t="shared" ref="AD2558:AD2566" si="1024">AB2558*67%</f>
        <v>0</v>
      </c>
      <c r="AE2558" s="126">
        <f t="shared" ref="AE2558:AE2566" si="1025">MAX(J2558,L2558,N2558,P2558,R2558,T2558,V2558,X2558)*if(Z2558=true,0.453592,1)</f>
        <v>0</v>
      </c>
      <c r="AF2558" s="128">
        <f t="shared" ref="AF2558:AF2566" si="1026">MAX(IF(J2558*if(Z2558=true,0.453592,1)=$AE2558,K2558,0),IF(L2558*if(Z2558=true,0.453592,1)=$AE2558,M2558,0),IF(N2558*if(Z2558=true,0.453592,1)=$AE2558,O2558,0),IF(P2558*if(Z2558=true,0.453592,1)=$AE2558,Q2558,0),IF(R2558*if(Z2558=true,0.453592,1)=$AE2558,S2558,0),IF(T2558*if(Z2558=true,0.453592,1)=$AE2558,U2558,0),IF(V2558*if(Z2558=true,0.453592,1)=$AE2558,W2558,0),IF(X2558*if(Z2558=true,0.453592,1)=$AE2558,Y2558,0))</f>
        <v>0</v>
      </c>
      <c r="AG2558" s="1"/>
    </row>
    <row r="2559" ht="21.0" customHeight="1">
      <c r="A2559" s="1"/>
      <c r="B2559" s="48" t="s">
        <v>36</v>
      </c>
      <c r="C2559" s="49"/>
      <c r="D2559" s="65"/>
      <c r="E2559" s="66"/>
      <c r="F2559" s="52" t="s">
        <v>37</v>
      </c>
      <c r="G2559" s="67"/>
      <c r="H2559" s="129"/>
      <c r="I2559" s="69"/>
      <c r="J2559" s="72"/>
      <c r="K2559" s="73"/>
      <c r="L2559" s="72"/>
      <c r="M2559" s="73"/>
      <c r="N2559" s="72"/>
      <c r="O2559" s="73"/>
      <c r="P2559" s="72"/>
      <c r="Q2559" s="73"/>
      <c r="R2559" s="72"/>
      <c r="S2559" s="73"/>
      <c r="T2559" s="72"/>
      <c r="U2559" s="73"/>
      <c r="V2559" s="72"/>
      <c r="W2559" s="73"/>
      <c r="X2559" s="72"/>
      <c r="Y2559" s="73"/>
      <c r="Z2559" s="74" t="b">
        <v>0</v>
      </c>
      <c r="AA2559" s="130">
        <f t="shared" si="1021"/>
        <v>0</v>
      </c>
      <c r="AB2559" s="131">
        <f t="shared" si="1022"/>
        <v>0</v>
      </c>
      <c r="AC2559" s="132">
        <f t="shared" si="1023"/>
        <v>0</v>
      </c>
      <c r="AD2559" s="133">
        <f t="shared" si="1024"/>
        <v>0</v>
      </c>
      <c r="AE2559" s="131">
        <f t="shared" si="1025"/>
        <v>0</v>
      </c>
      <c r="AF2559" s="133">
        <f t="shared" si="1026"/>
        <v>0</v>
      </c>
      <c r="AG2559" s="1"/>
    </row>
    <row r="2560" ht="21.0" customHeight="1">
      <c r="A2560" s="1"/>
      <c r="B2560" s="48" t="s">
        <v>39</v>
      </c>
      <c r="C2560" s="49"/>
      <c r="D2560" s="65"/>
      <c r="E2560" s="41"/>
      <c r="F2560" s="52" t="s">
        <v>40</v>
      </c>
      <c r="G2560" s="79"/>
      <c r="H2560" s="80"/>
      <c r="I2560" s="69"/>
      <c r="J2560" s="72"/>
      <c r="K2560" s="73"/>
      <c r="L2560" s="72"/>
      <c r="M2560" s="73"/>
      <c r="N2560" s="72"/>
      <c r="O2560" s="73"/>
      <c r="P2560" s="72"/>
      <c r="Q2560" s="73"/>
      <c r="R2560" s="72"/>
      <c r="S2560" s="73"/>
      <c r="T2560" s="72"/>
      <c r="U2560" s="73"/>
      <c r="V2560" s="72"/>
      <c r="W2560" s="73"/>
      <c r="X2560" s="72"/>
      <c r="Y2560" s="73"/>
      <c r="Z2560" s="74" t="b">
        <v>0</v>
      </c>
      <c r="AA2560" s="130">
        <f t="shared" si="1021"/>
        <v>0</v>
      </c>
      <c r="AB2560" s="131">
        <f t="shared" si="1022"/>
        <v>0</v>
      </c>
      <c r="AC2560" s="132">
        <f t="shared" si="1023"/>
        <v>0</v>
      </c>
      <c r="AD2560" s="133">
        <f t="shared" si="1024"/>
        <v>0</v>
      </c>
      <c r="AE2560" s="131">
        <f t="shared" si="1025"/>
        <v>0</v>
      </c>
      <c r="AF2560" s="133">
        <f t="shared" si="1026"/>
        <v>0</v>
      </c>
      <c r="AG2560" s="1"/>
    </row>
    <row r="2561" ht="21.0" customHeight="1">
      <c r="A2561" s="1"/>
      <c r="B2561" s="48" t="s">
        <v>41</v>
      </c>
      <c r="C2561" s="81"/>
      <c r="D2561" s="82" t="b">
        <v>0</v>
      </c>
      <c r="E2561" s="51" t="s">
        <v>42</v>
      </c>
      <c r="F2561" s="52" t="s">
        <v>34</v>
      </c>
      <c r="G2561" s="83"/>
      <c r="H2561" s="84"/>
      <c r="I2561" s="85"/>
      <c r="J2561" s="72"/>
      <c r="K2561" s="73"/>
      <c r="L2561" s="72"/>
      <c r="M2561" s="73"/>
      <c r="N2561" s="72"/>
      <c r="O2561" s="73"/>
      <c r="P2561" s="72"/>
      <c r="Q2561" s="73"/>
      <c r="R2561" s="72"/>
      <c r="S2561" s="73"/>
      <c r="T2561" s="72"/>
      <c r="U2561" s="73"/>
      <c r="V2561" s="72"/>
      <c r="W2561" s="73"/>
      <c r="X2561" s="72"/>
      <c r="Y2561" s="73"/>
      <c r="Z2561" s="74" t="b">
        <v>0</v>
      </c>
      <c r="AA2561" s="130">
        <f t="shared" si="1021"/>
        <v>0</v>
      </c>
      <c r="AB2561" s="131">
        <f t="shared" si="1022"/>
        <v>0</v>
      </c>
      <c r="AC2561" s="132">
        <f t="shared" si="1023"/>
        <v>0</v>
      </c>
      <c r="AD2561" s="133">
        <f t="shared" si="1024"/>
        <v>0</v>
      </c>
      <c r="AE2561" s="131">
        <f t="shared" si="1025"/>
        <v>0</v>
      </c>
      <c r="AF2561" s="133">
        <f t="shared" si="1026"/>
        <v>0</v>
      </c>
      <c r="AG2561" s="1"/>
    </row>
    <row r="2562" ht="21.0" customHeight="1">
      <c r="A2562" s="1"/>
      <c r="B2562" s="48" t="s">
        <v>43</v>
      </c>
      <c r="C2562" s="49"/>
      <c r="D2562" s="86" t="b">
        <v>0</v>
      </c>
      <c r="E2562" s="66"/>
      <c r="F2562" s="52" t="s">
        <v>37</v>
      </c>
      <c r="G2562" s="67"/>
      <c r="H2562" s="80"/>
      <c r="I2562" s="69"/>
      <c r="J2562" s="72"/>
      <c r="K2562" s="73"/>
      <c r="L2562" s="72"/>
      <c r="M2562" s="73"/>
      <c r="N2562" s="72"/>
      <c r="O2562" s="73"/>
      <c r="P2562" s="72"/>
      <c r="Q2562" s="73"/>
      <c r="R2562" s="72"/>
      <c r="S2562" s="73"/>
      <c r="T2562" s="72"/>
      <c r="U2562" s="73"/>
      <c r="V2562" s="72"/>
      <c r="W2562" s="73"/>
      <c r="X2562" s="72"/>
      <c r="Y2562" s="73"/>
      <c r="Z2562" s="74" t="b">
        <v>0</v>
      </c>
      <c r="AA2562" s="130">
        <f t="shared" si="1021"/>
        <v>0</v>
      </c>
      <c r="AB2562" s="131">
        <f t="shared" si="1022"/>
        <v>0</v>
      </c>
      <c r="AC2562" s="132">
        <f t="shared" si="1023"/>
        <v>0</v>
      </c>
      <c r="AD2562" s="133">
        <f t="shared" si="1024"/>
        <v>0</v>
      </c>
      <c r="AE2562" s="131">
        <f t="shared" si="1025"/>
        <v>0</v>
      </c>
      <c r="AF2562" s="133">
        <f t="shared" si="1026"/>
        <v>0</v>
      </c>
      <c r="AG2562" s="1"/>
    </row>
    <row r="2563" ht="21.0" customHeight="1">
      <c r="A2563" s="1"/>
      <c r="B2563" s="87" t="str">
        <f t="array" ref="B2563">"📌최근 인바디 결과 : "&amp;text(xlookup(B2555,'현황'!O:O,'현황'!O:O,,-1,-1),"m/d(ddd)")</f>
        <v>#REF!</v>
      </c>
      <c r="C2563" s="88"/>
      <c r="D2563" s="49"/>
      <c r="E2563" s="41"/>
      <c r="F2563" s="52" t="s">
        <v>40</v>
      </c>
      <c r="G2563" s="79"/>
      <c r="H2563" s="80"/>
      <c r="I2563" s="69"/>
      <c r="J2563" s="72"/>
      <c r="K2563" s="73"/>
      <c r="L2563" s="72"/>
      <c r="M2563" s="73"/>
      <c r="N2563" s="72"/>
      <c r="O2563" s="73"/>
      <c r="P2563" s="72"/>
      <c r="Q2563" s="73"/>
      <c r="R2563" s="72"/>
      <c r="S2563" s="73"/>
      <c r="T2563" s="72"/>
      <c r="U2563" s="73"/>
      <c r="V2563" s="72"/>
      <c r="W2563" s="73"/>
      <c r="X2563" s="72"/>
      <c r="Y2563" s="73"/>
      <c r="Z2563" s="74" t="b">
        <v>0</v>
      </c>
      <c r="AA2563" s="130">
        <f t="shared" si="1021"/>
        <v>0</v>
      </c>
      <c r="AB2563" s="131">
        <f t="shared" si="1022"/>
        <v>0</v>
      </c>
      <c r="AC2563" s="132">
        <f t="shared" si="1023"/>
        <v>0</v>
      </c>
      <c r="AD2563" s="133">
        <f t="shared" si="1024"/>
        <v>0</v>
      </c>
      <c r="AE2563" s="131">
        <f t="shared" si="1025"/>
        <v>0</v>
      </c>
      <c r="AF2563" s="133">
        <f t="shared" si="1026"/>
        <v>0</v>
      </c>
      <c r="AG2563" s="1"/>
    </row>
    <row r="2564" ht="21.0" customHeight="1">
      <c r="A2564" s="1"/>
      <c r="B2564" s="89" t="s">
        <v>44</v>
      </c>
      <c r="C2564" s="49"/>
      <c r="D2564" s="90">
        <f t="array" ref="D2564">iferror(vlookup(xlookup(B2555,'현황'!O:O,'현황'!O:O,,-1,-1),'현황'!O:S,2,false),0)</f>
        <v>0</v>
      </c>
      <c r="E2564" s="51" t="s">
        <v>45</v>
      </c>
      <c r="F2564" s="52" t="s">
        <v>34</v>
      </c>
      <c r="G2564" s="83"/>
      <c r="H2564" s="84"/>
      <c r="I2564" s="85"/>
      <c r="J2564" s="72"/>
      <c r="K2564" s="73"/>
      <c r="L2564" s="72"/>
      <c r="M2564" s="73"/>
      <c r="N2564" s="72"/>
      <c r="O2564" s="73"/>
      <c r="P2564" s="72"/>
      <c r="Q2564" s="73"/>
      <c r="R2564" s="72"/>
      <c r="S2564" s="73"/>
      <c r="T2564" s="72"/>
      <c r="U2564" s="73"/>
      <c r="V2564" s="72"/>
      <c r="W2564" s="73"/>
      <c r="X2564" s="72"/>
      <c r="Y2564" s="73"/>
      <c r="Z2564" s="74" t="b">
        <v>0</v>
      </c>
      <c r="AA2564" s="130">
        <f t="shared" si="1021"/>
        <v>0</v>
      </c>
      <c r="AB2564" s="131">
        <f t="shared" si="1022"/>
        <v>0</v>
      </c>
      <c r="AC2564" s="132">
        <f t="shared" si="1023"/>
        <v>0</v>
      </c>
      <c r="AD2564" s="133">
        <f t="shared" si="1024"/>
        <v>0</v>
      </c>
      <c r="AE2564" s="131">
        <f t="shared" si="1025"/>
        <v>0</v>
      </c>
      <c r="AF2564" s="133">
        <f t="shared" si="1026"/>
        <v>0</v>
      </c>
      <c r="AG2564" s="1"/>
    </row>
    <row r="2565" ht="21.0" customHeight="1">
      <c r="A2565" s="1"/>
      <c r="B2565" s="48" t="s">
        <v>46</v>
      </c>
      <c r="C2565" s="49"/>
      <c r="D2565" s="91">
        <f t="array" ref="D2565">iferror(vlookup(xlookup(B2555,'현황'!O:O,'현황'!O:O,,-1,-1),'현황'!O:S,3,false),0)</f>
        <v>0</v>
      </c>
      <c r="E2565" s="66"/>
      <c r="F2565" s="52" t="s">
        <v>37</v>
      </c>
      <c r="G2565" s="67"/>
      <c r="H2565" s="80"/>
      <c r="I2565" s="69"/>
      <c r="J2565" s="72"/>
      <c r="K2565" s="73"/>
      <c r="L2565" s="72"/>
      <c r="M2565" s="73"/>
      <c r="N2565" s="72"/>
      <c r="O2565" s="73"/>
      <c r="P2565" s="72"/>
      <c r="Q2565" s="73"/>
      <c r="R2565" s="72"/>
      <c r="S2565" s="73"/>
      <c r="T2565" s="72"/>
      <c r="U2565" s="73"/>
      <c r="V2565" s="72"/>
      <c r="W2565" s="73"/>
      <c r="X2565" s="72"/>
      <c r="Y2565" s="73"/>
      <c r="Z2565" s="74" t="b">
        <v>0</v>
      </c>
      <c r="AA2565" s="130">
        <f t="shared" si="1021"/>
        <v>0</v>
      </c>
      <c r="AB2565" s="131">
        <f t="shared" si="1022"/>
        <v>0</v>
      </c>
      <c r="AC2565" s="132">
        <f t="shared" si="1023"/>
        <v>0</v>
      </c>
      <c r="AD2565" s="133">
        <f t="shared" si="1024"/>
        <v>0</v>
      </c>
      <c r="AE2565" s="131">
        <f t="shared" si="1025"/>
        <v>0</v>
      </c>
      <c r="AF2565" s="133">
        <f t="shared" si="1026"/>
        <v>0</v>
      </c>
      <c r="AG2565" s="1"/>
    </row>
    <row r="2566" ht="21.0" customHeight="1">
      <c r="A2566" s="1"/>
      <c r="B2566" s="48" t="s">
        <v>47</v>
      </c>
      <c r="C2566" s="49"/>
      <c r="D2566" s="91">
        <f t="array" ref="D2566">iferror(vlookup(xlookup(B2555,'현황'!O:O,'현황'!O:O,,-1,-1),'현황'!O:S,4,false),0)</f>
        <v>0</v>
      </c>
      <c r="E2566" s="41"/>
      <c r="F2566" s="92" t="s">
        <v>40</v>
      </c>
      <c r="G2566" s="79"/>
      <c r="H2566" s="93"/>
      <c r="I2566" s="94"/>
      <c r="J2566" s="95"/>
      <c r="K2566" s="96"/>
      <c r="L2566" s="95"/>
      <c r="M2566" s="96"/>
      <c r="N2566" s="95"/>
      <c r="O2566" s="96"/>
      <c r="P2566" s="95"/>
      <c r="Q2566" s="96"/>
      <c r="R2566" s="95"/>
      <c r="S2566" s="96"/>
      <c r="T2566" s="95"/>
      <c r="U2566" s="96"/>
      <c r="V2566" s="95"/>
      <c r="W2566" s="96"/>
      <c r="X2566" s="95"/>
      <c r="Y2566" s="96"/>
      <c r="Z2566" s="97" t="b">
        <v>0</v>
      </c>
      <c r="AA2566" s="135">
        <f t="shared" si="1021"/>
        <v>0</v>
      </c>
      <c r="AB2566" s="136">
        <f t="shared" si="1022"/>
        <v>0</v>
      </c>
      <c r="AC2566" s="137">
        <f t="shared" si="1023"/>
        <v>0</v>
      </c>
      <c r="AD2566" s="138">
        <f t="shared" si="1024"/>
        <v>0</v>
      </c>
      <c r="AE2566" s="136">
        <f t="shared" si="1025"/>
        <v>0</v>
      </c>
      <c r="AF2566" s="138">
        <f t="shared" si="1026"/>
        <v>0</v>
      </c>
      <c r="AG2566" s="1"/>
    </row>
    <row r="2567" ht="21.0" customHeight="1">
      <c r="A2567" s="1"/>
      <c r="B2567" s="102" t="s">
        <v>48</v>
      </c>
      <c r="C2567" s="103"/>
      <c r="D2567" s="104">
        <f>iferror(D2566/D2564,0)</f>
        <v>0</v>
      </c>
      <c r="E2567" s="102" t="s">
        <v>49</v>
      </c>
      <c r="F2567" s="103"/>
      <c r="G2567" s="105"/>
      <c r="H2567" s="106" t="s">
        <v>50</v>
      </c>
      <c r="I2567" s="107"/>
      <c r="J2567" s="11"/>
      <c r="K2567" s="11"/>
      <c r="L2567" s="11"/>
      <c r="M2567" s="11"/>
      <c r="N2567" s="11"/>
      <c r="O2567" s="11"/>
      <c r="P2567" s="108" t="s">
        <v>51</v>
      </c>
      <c r="Q2567" s="12"/>
      <c r="R2567" s="109"/>
      <c r="S2567" s="11"/>
      <c r="T2567" s="11"/>
      <c r="U2567" s="11"/>
      <c r="V2567" s="11"/>
      <c r="W2567" s="11"/>
      <c r="X2567" s="11"/>
      <c r="Y2567" s="11"/>
      <c r="Z2567" s="12"/>
      <c r="AA2567" s="139">
        <f>SUM(AA2558:AA2566)</f>
        <v>0</v>
      </c>
      <c r="AB2567" s="140" t="s">
        <v>439</v>
      </c>
      <c r="AG2567" s="1"/>
    </row>
    <row r="2568" ht="21.0" customHeight="1">
      <c r="A2568" s="1"/>
      <c r="B2568" s="1"/>
      <c r="C2568" s="1"/>
      <c r="D2568" s="1"/>
      <c r="E2568" s="1"/>
      <c r="F2568" s="1"/>
      <c r="G2568" s="1"/>
      <c r="H2568" s="1"/>
      <c r="I2568" s="1"/>
      <c r="AA2568" s="1"/>
      <c r="AB2568" s="1"/>
      <c r="AC2568" s="3"/>
      <c r="AD2568" s="1"/>
      <c r="AE2568" s="1"/>
      <c r="AF2568" s="1"/>
      <c r="AG2568" s="1"/>
    </row>
    <row r="2569" ht="21.0" customHeight="1">
      <c r="A2569" s="1"/>
      <c r="B2569" s="4" t="s">
        <v>1</v>
      </c>
      <c r="C2569" s="5"/>
      <c r="D2569" s="6" t="s">
        <v>2</v>
      </c>
      <c r="E2569" s="7"/>
      <c r="F2569" s="7"/>
      <c r="G2569" s="5"/>
      <c r="H2569" s="8" t="s">
        <v>3</v>
      </c>
      <c r="I2569" s="8" t="s">
        <v>4</v>
      </c>
      <c r="J2569" s="9" t="s">
        <v>5</v>
      </c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5"/>
      <c r="AA2569" s="117" t="s">
        <v>6</v>
      </c>
      <c r="AB2569" s="11"/>
      <c r="AC2569" s="11"/>
      <c r="AD2569" s="11"/>
      <c r="AE2569" s="11"/>
      <c r="AF2569" s="12"/>
      <c r="AG2569" s="1"/>
    </row>
    <row r="2570" ht="21.0" customHeight="1">
      <c r="A2570" s="1"/>
      <c r="B2570" s="149" t="s">
        <v>138</v>
      </c>
      <c r="C2570" s="14" t="str">
        <f>if(B2570="0/0","",choose(weekday(B2570),"(일)","(월)","(화)","(수)","(목)","(금)","(토)"))</f>
        <v/>
      </c>
      <c r="D2570" s="15" t="s">
        <v>7</v>
      </c>
      <c r="E2570" s="16" t="s">
        <v>8</v>
      </c>
      <c r="F2570" s="17"/>
      <c r="G2570" s="18" t="s">
        <v>9</v>
      </c>
      <c r="H2570" s="150" t="s">
        <v>139</v>
      </c>
      <c r="I2570" s="151"/>
      <c r="J2570" s="21" t="s">
        <v>12</v>
      </c>
      <c r="K2570" s="22"/>
      <c r="L2570" s="21" t="s">
        <v>13</v>
      </c>
      <c r="M2570" s="22"/>
      <c r="N2570" s="21" t="s">
        <v>14</v>
      </c>
      <c r="O2570" s="22"/>
      <c r="P2570" s="21" t="s">
        <v>15</v>
      </c>
      <c r="Q2570" s="22"/>
      <c r="R2570" s="23" t="s">
        <v>16</v>
      </c>
      <c r="S2570" s="22"/>
      <c r="T2570" s="23" t="s">
        <v>17</v>
      </c>
      <c r="U2570" s="22"/>
      <c r="V2570" s="23" t="s">
        <v>18</v>
      </c>
      <c r="W2570" s="22"/>
      <c r="X2570" s="23" t="s">
        <v>19</v>
      </c>
      <c r="Y2570" s="22"/>
      <c r="Z2570" s="24" t="s">
        <v>440</v>
      </c>
      <c r="AA2570" s="118" t="s">
        <v>21</v>
      </c>
      <c r="AB2570" s="119" t="s">
        <v>22</v>
      </c>
      <c r="AC2570" s="7"/>
      <c r="AD2570" s="22"/>
      <c r="AE2570" s="120" t="s">
        <v>23</v>
      </c>
      <c r="AF2570" s="22"/>
      <c r="AG2570" s="1"/>
    </row>
    <row r="2571" ht="21.0" customHeight="1">
      <c r="A2571" s="1"/>
      <c r="B2571" s="27">
        <f>iferror(B2570-'현황'!$C$4+1,0)</f>
        <v>0</v>
      </c>
      <c r="C2571" s="28"/>
      <c r="D2571" s="29">
        <v>0.0</v>
      </c>
      <c r="E2571" s="30">
        <v>0.0</v>
      </c>
      <c r="F2571" s="31"/>
      <c r="G2571" s="32">
        <v>0.0</v>
      </c>
      <c r="H2571" s="33">
        <v>0.0</v>
      </c>
      <c r="I2571" s="34"/>
      <c r="J2571" s="35"/>
      <c r="K2571" s="36"/>
      <c r="L2571" s="35"/>
      <c r="M2571" s="36"/>
      <c r="N2571" s="35"/>
      <c r="O2571" s="36"/>
      <c r="P2571" s="35"/>
      <c r="Q2571" s="36"/>
      <c r="R2571" s="35"/>
      <c r="S2571" s="36"/>
      <c r="T2571" s="35"/>
      <c r="U2571" s="36"/>
      <c r="V2571" s="35"/>
      <c r="W2571" s="36"/>
      <c r="X2571" s="35"/>
      <c r="Y2571" s="36"/>
      <c r="Z2571" s="37"/>
      <c r="AA2571" s="37"/>
      <c r="AB2571" s="35"/>
      <c r="AC2571" s="38"/>
      <c r="AD2571" s="36"/>
      <c r="AE2571" s="35"/>
      <c r="AF2571" s="36"/>
      <c r="AG2571" s="1"/>
    </row>
    <row r="2572" ht="21.0" customHeight="1">
      <c r="A2572" s="1"/>
      <c r="B2572" s="39" t="s">
        <v>24</v>
      </c>
      <c r="C2572" s="40"/>
      <c r="D2572" s="41"/>
      <c r="E2572" s="42" t="s">
        <v>25</v>
      </c>
      <c r="F2572" s="40"/>
      <c r="G2572" s="41"/>
      <c r="H2572" s="43" t="s">
        <v>26</v>
      </c>
      <c r="J2572" s="44" t="s">
        <v>27</v>
      </c>
      <c r="K2572" s="45" t="s">
        <v>28</v>
      </c>
      <c r="L2572" s="44" t="s">
        <v>27</v>
      </c>
      <c r="M2572" s="45" t="s">
        <v>28</v>
      </c>
      <c r="N2572" s="44" t="s">
        <v>27</v>
      </c>
      <c r="O2572" s="45" t="s">
        <v>28</v>
      </c>
      <c r="P2572" s="44" t="s">
        <v>27</v>
      </c>
      <c r="Q2572" s="45" t="s">
        <v>28</v>
      </c>
      <c r="R2572" s="44" t="s">
        <v>27</v>
      </c>
      <c r="S2572" s="45" t="s">
        <v>28</v>
      </c>
      <c r="T2572" s="44" t="s">
        <v>27</v>
      </c>
      <c r="U2572" s="45" t="s">
        <v>28</v>
      </c>
      <c r="V2572" s="44" t="s">
        <v>27</v>
      </c>
      <c r="W2572" s="45" t="s">
        <v>28</v>
      </c>
      <c r="X2572" s="44" t="s">
        <v>27</v>
      </c>
      <c r="Y2572" s="45" t="s">
        <v>28</v>
      </c>
      <c r="Z2572" s="46"/>
      <c r="AA2572" s="46"/>
      <c r="AB2572" s="121" t="s">
        <v>29</v>
      </c>
      <c r="AC2572" s="122" t="s">
        <v>30</v>
      </c>
      <c r="AD2572" s="123" t="s">
        <v>31</v>
      </c>
      <c r="AE2572" s="121" t="s">
        <v>27</v>
      </c>
      <c r="AF2572" s="123" t="s">
        <v>28</v>
      </c>
      <c r="AG2572" s="1"/>
    </row>
    <row r="2573" ht="21.0" customHeight="1">
      <c r="A2573" s="1"/>
      <c r="B2573" s="48" t="s">
        <v>32</v>
      </c>
      <c r="C2573" s="49"/>
      <c r="D2573" s="50"/>
      <c r="E2573" s="51" t="s">
        <v>33</v>
      </c>
      <c r="F2573" s="52" t="s">
        <v>34</v>
      </c>
      <c r="G2573" s="53"/>
      <c r="H2573" s="148"/>
      <c r="I2573" s="55"/>
      <c r="J2573" s="58"/>
      <c r="K2573" s="59"/>
      <c r="L2573" s="58"/>
      <c r="M2573" s="59"/>
      <c r="N2573" s="58"/>
      <c r="O2573" s="59"/>
      <c r="P2573" s="58"/>
      <c r="Q2573" s="59"/>
      <c r="R2573" s="58"/>
      <c r="S2573" s="59"/>
      <c r="T2573" s="58"/>
      <c r="U2573" s="59"/>
      <c r="V2573" s="58"/>
      <c r="W2573" s="59"/>
      <c r="X2573" s="58"/>
      <c r="Y2573" s="59"/>
      <c r="Z2573" s="60" t="b">
        <v>0</v>
      </c>
      <c r="AA2573" s="125">
        <f t="shared" ref="AA2573:AA2581" si="1027">(J2573*K2573+L2573*M2573+N2573*O2573+P2573*Q2573+R2573*S2573+T2573*U2573+V2573*W2573+X2573*Y2573)*if(Z2573=true,0.453592,1)</f>
        <v>0</v>
      </c>
      <c r="AB2573" s="126">
        <f t="shared" ref="AB2573:AB2581" si="1028">SUM(AE2573*AF2573*0.025,AE2573)</f>
        <v>0</v>
      </c>
      <c r="AC2573" s="127">
        <f t="shared" ref="AC2573:AC2581" si="1029">AB2573*87%</f>
        <v>0</v>
      </c>
      <c r="AD2573" s="128">
        <f t="shared" ref="AD2573:AD2581" si="1030">AB2573*67%</f>
        <v>0</v>
      </c>
      <c r="AE2573" s="126">
        <f t="shared" ref="AE2573:AE2581" si="1031">MAX(J2573,L2573,N2573,P2573,R2573,T2573,V2573,X2573)*if(Z2573=true,0.453592,1)</f>
        <v>0</v>
      </c>
      <c r="AF2573" s="128">
        <f t="shared" ref="AF2573:AF2581" si="1032">MAX(IF(J2573*if(Z2573=true,0.453592,1)=$AE2573,K2573,0),IF(L2573*if(Z2573=true,0.453592,1)=$AE2573,M2573,0),IF(N2573*if(Z2573=true,0.453592,1)=$AE2573,O2573,0),IF(P2573*if(Z2573=true,0.453592,1)=$AE2573,Q2573,0),IF(R2573*if(Z2573=true,0.453592,1)=$AE2573,S2573,0),IF(T2573*if(Z2573=true,0.453592,1)=$AE2573,U2573,0),IF(V2573*if(Z2573=true,0.453592,1)=$AE2573,W2573,0),IF(X2573*if(Z2573=true,0.453592,1)=$AE2573,Y2573,0))</f>
        <v>0</v>
      </c>
      <c r="AG2573" s="1"/>
    </row>
    <row r="2574" ht="21.0" customHeight="1">
      <c r="A2574" s="1"/>
      <c r="B2574" s="48" t="s">
        <v>36</v>
      </c>
      <c r="C2574" s="49"/>
      <c r="D2574" s="65"/>
      <c r="E2574" s="66"/>
      <c r="F2574" s="52" t="s">
        <v>37</v>
      </c>
      <c r="G2574" s="67"/>
      <c r="H2574" s="129"/>
      <c r="I2574" s="69"/>
      <c r="J2574" s="72"/>
      <c r="K2574" s="73"/>
      <c r="L2574" s="72"/>
      <c r="M2574" s="73"/>
      <c r="N2574" s="72"/>
      <c r="O2574" s="73"/>
      <c r="P2574" s="72"/>
      <c r="Q2574" s="73"/>
      <c r="R2574" s="72"/>
      <c r="S2574" s="73"/>
      <c r="T2574" s="72"/>
      <c r="U2574" s="73"/>
      <c r="V2574" s="72"/>
      <c r="W2574" s="73"/>
      <c r="X2574" s="72"/>
      <c r="Y2574" s="73"/>
      <c r="Z2574" s="74" t="b">
        <v>0</v>
      </c>
      <c r="AA2574" s="130">
        <f t="shared" si="1027"/>
        <v>0</v>
      </c>
      <c r="AB2574" s="131">
        <f t="shared" si="1028"/>
        <v>0</v>
      </c>
      <c r="AC2574" s="132">
        <f t="shared" si="1029"/>
        <v>0</v>
      </c>
      <c r="AD2574" s="133">
        <f t="shared" si="1030"/>
        <v>0</v>
      </c>
      <c r="AE2574" s="131">
        <f t="shared" si="1031"/>
        <v>0</v>
      </c>
      <c r="AF2574" s="133">
        <f t="shared" si="1032"/>
        <v>0</v>
      </c>
      <c r="AG2574" s="1"/>
    </row>
    <row r="2575" ht="21.0" customHeight="1">
      <c r="A2575" s="1"/>
      <c r="B2575" s="48" t="s">
        <v>39</v>
      </c>
      <c r="C2575" s="49"/>
      <c r="D2575" s="65"/>
      <c r="E2575" s="41"/>
      <c r="F2575" s="52" t="s">
        <v>40</v>
      </c>
      <c r="G2575" s="79"/>
      <c r="H2575" s="80"/>
      <c r="I2575" s="69"/>
      <c r="J2575" s="72"/>
      <c r="K2575" s="73"/>
      <c r="L2575" s="72"/>
      <c r="M2575" s="73"/>
      <c r="N2575" s="72"/>
      <c r="O2575" s="73"/>
      <c r="P2575" s="72"/>
      <c r="Q2575" s="73"/>
      <c r="R2575" s="72"/>
      <c r="S2575" s="73"/>
      <c r="T2575" s="72"/>
      <c r="U2575" s="73"/>
      <c r="V2575" s="72"/>
      <c r="W2575" s="73"/>
      <c r="X2575" s="72"/>
      <c r="Y2575" s="73"/>
      <c r="Z2575" s="74" t="b">
        <v>0</v>
      </c>
      <c r="AA2575" s="130">
        <f t="shared" si="1027"/>
        <v>0</v>
      </c>
      <c r="AB2575" s="131">
        <f t="shared" si="1028"/>
        <v>0</v>
      </c>
      <c r="AC2575" s="132">
        <f t="shared" si="1029"/>
        <v>0</v>
      </c>
      <c r="AD2575" s="133">
        <f t="shared" si="1030"/>
        <v>0</v>
      </c>
      <c r="AE2575" s="131">
        <f t="shared" si="1031"/>
        <v>0</v>
      </c>
      <c r="AF2575" s="133">
        <f t="shared" si="1032"/>
        <v>0</v>
      </c>
      <c r="AG2575" s="1"/>
    </row>
    <row r="2576" ht="21.0" customHeight="1">
      <c r="A2576" s="1"/>
      <c r="B2576" s="48" t="s">
        <v>41</v>
      </c>
      <c r="C2576" s="81"/>
      <c r="D2576" s="82" t="b">
        <v>0</v>
      </c>
      <c r="E2576" s="51" t="s">
        <v>42</v>
      </c>
      <c r="F2576" s="52" t="s">
        <v>34</v>
      </c>
      <c r="G2576" s="83"/>
      <c r="H2576" s="84"/>
      <c r="I2576" s="85"/>
      <c r="J2576" s="72"/>
      <c r="K2576" s="73"/>
      <c r="L2576" s="72"/>
      <c r="M2576" s="73"/>
      <c r="N2576" s="72"/>
      <c r="O2576" s="73"/>
      <c r="P2576" s="72"/>
      <c r="Q2576" s="73"/>
      <c r="R2576" s="72"/>
      <c r="S2576" s="73"/>
      <c r="T2576" s="72"/>
      <c r="U2576" s="73"/>
      <c r="V2576" s="72"/>
      <c r="W2576" s="73"/>
      <c r="X2576" s="72"/>
      <c r="Y2576" s="73"/>
      <c r="Z2576" s="74" t="b">
        <v>0</v>
      </c>
      <c r="AA2576" s="130">
        <f t="shared" si="1027"/>
        <v>0</v>
      </c>
      <c r="AB2576" s="131">
        <f t="shared" si="1028"/>
        <v>0</v>
      </c>
      <c r="AC2576" s="132">
        <f t="shared" si="1029"/>
        <v>0</v>
      </c>
      <c r="AD2576" s="133">
        <f t="shared" si="1030"/>
        <v>0</v>
      </c>
      <c r="AE2576" s="131">
        <f t="shared" si="1031"/>
        <v>0</v>
      </c>
      <c r="AF2576" s="133">
        <f t="shared" si="1032"/>
        <v>0</v>
      </c>
      <c r="AG2576" s="1"/>
    </row>
    <row r="2577" ht="21.0" customHeight="1">
      <c r="A2577" s="1"/>
      <c r="B2577" s="48" t="s">
        <v>43</v>
      </c>
      <c r="C2577" s="49"/>
      <c r="D2577" s="86" t="b">
        <v>0</v>
      </c>
      <c r="E2577" s="66"/>
      <c r="F2577" s="52" t="s">
        <v>37</v>
      </c>
      <c r="G2577" s="67"/>
      <c r="H2577" s="80"/>
      <c r="I2577" s="69"/>
      <c r="J2577" s="72"/>
      <c r="K2577" s="73"/>
      <c r="L2577" s="72"/>
      <c r="M2577" s="73"/>
      <c r="N2577" s="72"/>
      <c r="O2577" s="73"/>
      <c r="P2577" s="72"/>
      <c r="Q2577" s="73"/>
      <c r="R2577" s="72"/>
      <c r="S2577" s="73"/>
      <c r="T2577" s="72"/>
      <c r="U2577" s="73"/>
      <c r="V2577" s="72"/>
      <c r="W2577" s="73"/>
      <c r="X2577" s="72"/>
      <c r="Y2577" s="73"/>
      <c r="Z2577" s="74" t="b">
        <v>0</v>
      </c>
      <c r="AA2577" s="130">
        <f t="shared" si="1027"/>
        <v>0</v>
      </c>
      <c r="AB2577" s="131">
        <f t="shared" si="1028"/>
        <v>0</v>
      </c>
      <c r="AC2577" s="132">
        <f t="shared" si="1029"/>
        <v>0</v>
      </c>
      <c r="AD2577" s="133">
        <f t="shared" si="1030"/>
        <v>0</v>
      </c>
      <c r="AE2577" s="131">
        <f t="shared" si="1031"/>
        <v>0</v>
      </c>
      <c r="AF2577" s="133">
        <f t="shared" si="1032"/>
        <v>0</v>
      </c>
      <c r="AG2577" s="1"/>
    </row>
    <row r="2578" ht="21.0" customHeight="1">
      <c r="A2578" s="1"/>
      <c r="B2578" s="87" t="str">
        <f t="array" ref="B2578">"📌최근 인바디 결과 : "&amp;text(xlookup(B2570,'현황'!O:O,'현황'!O:O,,-1,-1),"m/d(ddd)")</f>
        <v>#REF!</v>
      </c>
      <c r="C2578" s="88"/>
      <c r="D2578" s="49"/>
      <c r="E2578" s="41"/>
      <c r="F2578" s="52" t="s">
        <v>40</v>
      </c>
      <c r="G2578" s="79"/>
      <c r="H2578" s="80"/>
      <c r="I2578" s="69"/>
      <c r="J2578" s="72"/>
      <c r="K2578" s="73"/>
      <c r="L2578" s="72"/>
      <c r="M2578" s="73"/>
      <c r="N2578" s="72"/>
      <c r="O2578" s="73"/>
      <c r="P2578" s="72"/>
      <c r="Q2578" s="73"/>
      <c r="R2578" s="72"/>
      <c r="S2578" s="73"/>
      <c r="T2578" s="72"/>
      <c r="U2578" s="73"/>
      <c r="V2578" s="72"/>
      <c r="W2578" s="73"/>
      <c r="X2578" s="72"/>
      <c r="Y2578" s="73"/>
      <c r="Z2578" s="74" t="b">
        <v>0</v>
      </c>
      <c r="AA2578" s="130">
        <f t="shared" si="1027"/>
        <v>0</v>
      </c>
      <c r="AB2578" s="131">
        <f t="shared" si="1028"/>
        <v>0</v>
      </c>
      <c r="AC2578" s="132">
        <f t="shared" si="1029"/>
        <v>0</v>
      </c>
      <c r="AD2578" s="133">
        <f t="shared" si="1030"/>
        <v>0</v>
      </c>
      <c r="AE2578" s="131">
        <f t="shared" si="1031"/>
        <v>0</v>
      </c>
      <c r="AF2578" s="133">
        <f t="shared" si="1032"/>
        <v>0</v>
      </c>
      <c r="AG2578" s="1"/>
    </row>
    <row r="2579" ht="21.0" customHeight="1">
      <c r="A2579" s="1"/>
      <c r="B2579" s="89" t="s">
        <v>44</v>
      </c>
      <c r="C2579" s="49"/>
      <c r="D2579" s="90">
        <f t="array" ref="D2579">iferror(vlookup(xlookup(B2570,'현황'!O:O,'현황'!O:O,,-1,-1),'현황'!O:S,2,false),0)</f>
        <v>0</v>
      </c>
      <c r="E2579" s="51" t="s">
        <v>45</v>
      </c>
      <c r="F2579" s="52" t="s">
        <v>34</v>
      </c>
      <c r="G2579" s="83"/>
      <c r="H2579" s="84"/>
      <c r="I2579" s="85"/>
      <c r="J2579" s="72"/>
      <c r="K2579" s="73"/>
      <c r="L2579" s="72"/>
      <c r="M2579" s="73"/>
      <c r="N2579" s="72"/>
      <c r="O2579" s="73"/>
      <c r="P2579" s="72"/>
      <c r="Q2579" s="73"/>
      <c r="R2579" s="72"/>
      <c r="S2579" s="73"/>
      <c r="T2579" s="72"/>
      <c r="U2579" s="73"/>
      <c r="V2579" s="72"/>
      <c r="W2579" s="73"/>
      <c r="X2579" s="72"/>
      <c r="Y2579" s="73"/>
      <c r="Z2579" s="74" t="b">
        <v>0</v>
      </c>
      <c r="AA2579" s="130">
        <f t="shared" si="1027"/>
        <v>0</v>
      </c>
      <c r="AB2579" s="131">
        <f t="shared" si="1028"/>
        <v>0</v>
      </c>
      <c r="AC2579" s="132">
        <f t="shared" si="1029"/>
        <v>0</v>
      </c>
      <c r="AD2579" s="133">
        <f t="shared" si="1030"/>
        <v>0</v>
      </c>
      <c r="AE2579" s="131">
        <f t="shared" si="1031"/>
        <v>0</v>
      </c>
      <c r="AF2579" s="133">
        <f t="shared" si="1032"/>
        <v>0</v>
      </c>
      <c r="AG2579" s="1"/>
    </row>
    <row r="2580" ht="21.0" customHeight="1">
      <c r="A2580" s="1"/>
      <c r="B2580" s="48" t="s">
        <v>46</v>
      </c>
      <c r="C2580" s="49"/>
      <c r="D2580" s="91">
        <f t="array" ref="D2580">iferror(vlookup(xlookup(B2570,'현황'!O:O,'현황'!O:O,,-1,-1),'현황'!O:S,3,false),0)</f>
        <v>0</v>
      </c>
      <c r="E2580" s="66"/>
      <c r="F2580" s="52" t="s">
        <v>37</v>
      </c>
      <c r="G2580" s="67"/>
      <c r="H2580" s="80"/>
      <c r="I2580" s="69"/>
      <c r="J2580" s="72"/>
      <c r="K2580" s="73"/>
      <c r="L2580" s="72"/>
      <c r="M2580" s="73"/>
      <c r="N2580" s="72"/>
      <c r="O2580" s="73"/>
      <c r="P2580" s="72"/>
      <c r="Q2580" s="73"/>
      <c r="R2580" s="72"/>
      <c r="S2580" s="73"/>
      <c r="T2580" s="72"/>
      <c r="U2580" s="73"/>
      <c r="V2580" s="72"/>
      <c r="W2580" s="73"/>
      <c r="X2580" s="72"/>
      <c r="Y2580" s="73"/>
      <c r="Z2580" s="74" t="b">
        <v>0</v>
      </c>
      <c r="AA2580" s="130">
        <f t="shared" si="1027"/>
        <v>0</v>
      </c>
      <c r="AB2580" s="131">
        <f t="shared" si="1028"/>
        <v>0</v>
      </c>
      <c r="AC2580" s="132">
        <f t="shared" si="1029"/>
        <v>0</v>
      </c>
      <c r="AD2580" s="133">
        <f t="shared" si="1030"/>
        <v>0</v>
      </c>
      <c r="AE2580" s="131">
        <f t="shared" si="1031"/>
        <v>0</v>
      </c>
      <c r="AF2580" s="133">
        <f t="shared" si="1032"/>
        <v>0</v>
      </c>
      <c r="AG2580" s="1"/>
    </row>
    <row r="2581" ht="21.0" customHeight="1">
      <c r="A2581" s="1"/>
      <c r="B2581" s="48" t="s">
        <v>47</v>
      </c>
      <c r="C2581" s="49"/>
      <c r="D2581" s="91">
        <f t="array" ref="D2581">iferror(vlookup(xlookup(B2570,'현황'!O:O,'현황'!O:O,,-1,-1),'현황'!O:S,4,false),0)</f>
        <v>0</v>
      </c>
      <c r="E2581" s="41"/>
      <c r="F2581" s="92" t="s">
        <v>40</v>
      </c>
      <c r="G2581" s="79"/>
      <c r="H2581" s="93"/>
      <c r="I2581" s="94"/>
      <c r="J2581" s="95"/>
      <c r="K2581" s="96"/>
      <c r="L2581" s="95"/>
      <c r="M2581" s="96"/>
      <c r="N2581" s="95"/>
      <c r="O2581" s="96"/>
      <c r="P2581" s="95"/>
      <c r="Q2581" s="96"/>
      <c r="R2581" s="95"/>
      <c r="S2581" s="96"/>
      <c r="T2581" s="95"/>
      <c r="U2581" s="96"/>
      <c r="V2581" s="95"/>
      <c r="W2581" s="96"/>
      <c r="X2581" s="95"/>
      <c r="Y2581" s="96"/>
      <c r="Z2581" s="97" t="b">
        <v>0</v>
      </c>
      <c r="AA2581" s="135">
        <f t="shared" si="1027"/>
        <v>0</v>
      </c>
      <c r="AB2581" s="136">
        <f t="shared" si="1028"/>
        <v>0</v>
      </c>
      <c r="AC2581" s="137">
        <f t="shared" si="1029"/>
        <v>0</v>
      </c>
      <c r="AD2581" s="138">
        <f t="shared" si="1030"/>
        <v>0</v>
      </c>
      <c r="AE2581" s="136">
        <f t="shared" si="1031"/>
        <v>0</v>
      </c>
      <c r="AF2581" s="138">
        <f t="shared" si="1032"/>
        <v>0</v>
      </c>
      <c r="AG2581" s="1"/>
    </row>
    <row r="2582" ht="21.0" customHeight="1">
      <c r="A2582" s="1"/>
      <c r="B2582" s="102" t="s">
        <v>48</v>
      </c>
      <c r="C2582" s="103"/>
      <c r="D2582" s="104">
        <f>iferror(D2581/D2579,0)</f>
        <v>0</v>
      </c>
      <c r="E2582" s="102" t="s">
        <v>49</v>
      </c>
      <c r="F2582" s="103"/>
      <c r="G2582" s="105"/>
      <c r="H2582" s="143" t="s">
        <v>50</v>
      </c>
      <c r="I2582" s="144"/>
      <c r="J2582" s="11"/>
      <c r="K2582" s="11"/>
      <c r="L2582" s="11"/>
      <c r="M2582" s="11"/>
      <c r="N2582" s="11"/>
      <c r="O2582" s="11"/>
      <c r="P2582" s="145" t="s">
        <v>51</v>
      </c>
      <c r="Q2582" s="12"/>
      <c r="R2582" s="146"/>
      <c r="S2582" s="11"/>
      <c r="T2582" s="11"/>
      <c r="U2582" s="11"/>
      <c r="V2582" s="11"/>
      <c r="W2582" s="11"/>
      <c r="X2582" s="11"/>
      <c r="Y2582" s="11"/>
      <c r="Z2582" s="12"/>
      <c r="AA2582" s="139">
        <f>SUM(AA2573:AA2581)</f>
        <v>0</v>
      </c>
      <c r="AB2582" s="140" t="s">
        <v>441</v>
      </c>
      <c r="AG2582" s="1"/>
    </row>
    <row r="2583" ht="21.0" customHeight="1">
      <c r="A2583" s="1"/>
      <c r="B2583" s="1"/>
      <c r="C2583" s="1"/>
      <c r="D2583" s="1"/>
      <c r="E2583" s="1"/>
      <c r="F2583" s="1"/>
      <c r="G2583" s="1"/>
      <c r="H2583" s="1"/>
      <c r="I2583" s="1"/>
      <c r="AA2583" s="1"/>
      <c r="AB2583" s="1"/>
      <c r="AC2583" s="3"/>
      <c r="AD2583" s="1"/>
      <c r="AE2583" s="1"/>
      <c r="AF2583" s="1"/>
      <c r="AG2583" s="1"/>
    </row>
    <row r="2584" ht="21.0" customHeight="1">
      <c r="A2584" s="1"/>
      <c r="B2584" s="4" t="s">
        <v>1</v>
      </c>
      <c r="C2584" s="5"/>
      <c r="D2584" s="6" t="s">
        <v>2</v>
      </c>
      <c r="E2584" s="7"/>
      <c r="F2584" s="7"/>
      <c r="G2584" s="5"/>
      <c r="H2584" s="8" t="s">
        <v>3</v>
      </c>
      <c r="I2584" s="8" t="s">
        <v>4</v>
      </c>
      <c r="J2584" s="9" t="s">
        <v>5</v>
      </c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5"/>
      <c r="AA2584" s="117" t="s">
        <v>6</v>
      </c>
      <c r="AB2584" s="11"/>
      <c r="AC2584" s="11"/>
      <c r="AD2584" s="11"/>
      <c r="AE2584" s="11"/>
      <c r="AF2584" s="12"/>
      <c r="AG2584" s="1"/>
    </row>
    <row r="2585" ht="21.0" customHeight="1">
      <c r="A2585" s="1"/>
      <c r="B2585" s="149" t="s">
        <v>138</v>
      </c>
      <c r="C2585" s="14" t="str">
        <f>if(B2585="0/0","",choose(weekday(B2585),"(일)","(월)","(화)","(수)","(목)","(금)","(토)"))</f>
        <v/>
      </c>
      <c r="D2585" s="15" t="s">
        <v>7</v>
      </c>
      <c r="E2585" s="16" t="s">
        <v>8</v>
      </c>
      <c r="F2585" s="17"/>
      <c r="G2585" s="18" t="s">
        <v>9</v>
      </c>
      <c r="H2585" s="150" t="s">
        <v>139</v>
      </c>
      <c r="I2585" s="151"/>
      <c r="J2585" s="21" t="s">
        <v>12</v>
      </c>
      <c r="K2585" s="22"/>
      <c r="L2585" s="21" t="s">
        <v>13</v>
      </c>
      <c r="M2585" s="22"/>
      <c r="N2585" s="21" t="s">
        <v>14</v>
      </c>
      <c r="O2585" s="22"/>
      <c r="P2585" s="21" t="s">
        <v>15</v>
      </c>
      <c r="Q2585" s="22"/>
      <c r="R2585" s="23" t="s">
        <v>16</v>
      </c>
      <c r="S2585" s="22"/>
      <c r="T2585" s="23" t="s">
        <v>17</v>
      </c>
      <c r="U2585" s="22"/>
      <c r="V2585" s="23" t="s">
        <v>18</v>
      </c>
      <c r="W2585" s="22"/>
      <c r="X2585" s="23" t="s">
        <v>19</v>
      </c>
      <c r="Y2585" s="22"/>
      <c r="Z2585" s="24" t="s">
        <v>442</v>
      </c>
      <c r="AA2585" s="118" t="s">
        <v>21</v>
      </c>
      <c r="AB2585" s="119" t="s">
        <v>22</v>
      </c>
      <c r="AC2585" s="7"/>
      <c r="AD2585" s="22"/>
      <c r="AE2585" s="120" t="s">
        <v>23</v>
      </c>
      <c r="AF2585" s="22"/>
      <c r="AG2585" s="1"/>
    </row>
    <row r="2586" ht="21.0" customHeight="1">
      <c r="A2586" s="1"/>
      <c r="B2586" s="27">
        <f>iferror(B2585-'현황'!$C$4+1,0)</f>
        <v>0</v>
      </c>
      <c r="C2586" s="28"/>
      <c r="D2586" s="29">
        <v>0.0</v>
      </c>
      <c r="E2586" s="30">
        <v>0.0</v>
      </c>
      <c r="F2586" s="31"/>
      <c r="G2586" s="32">
        <v>0.0</v>
      </c>
      <c r="H2586" s="33">
        <v>0.0</v>
      </c>
      <c r="I2586" s="34"/>
      <c r="J2586" s="35"/>
      <c r="K2586" s="36"/>
      <c r="L2586" s="35"/>
      <c r="M2586" s="36"/>
      <c r="N2586" s="35"/>
      <c r="O2586" s="36"/>
      <c r="P2586" s="35"/>
      <c r="Q2586" s="36"/>
      <c r="R2586" s="35"/>
      <c r="S2586" s="36"/>
      <c r="T2586" s="35"/>
      <c r="U2586" s="36"/>
      <c r="V2586" s="35"/>
      <c r="W2586" s="36"/>
      <c r="X2586" s="35"/>
      <c r="Y2586" s="36"/>
      <c r="Z2586" s="37"/>
      <c r="AA2586" s="37"/>
      <c r="AB2586" s="35"/>
      <c r="AC2586" s="38"/>
      <c r="AD2586" s="36"/>
      <c r="AE2586" s="35"/>
      <c r="AF2586" s="36"/>
      <c r="AG2586" s="1"/>
    </row>
    <row r="2587" ht="21.0" customHeight="1">
      <c r="A2587" s="1"/>
      <c r="B2587" s="39" t="s">
        <v>24</v>
      </c>
      <c r="C2587" s="40"/>
      <c r="D2587" s="41"/>
      <c r="E2587" s="42" t="s">
        <v>25</v>
      </c>
      <c r="F2587" s="40"/>
      <c r="G2587" s="41"/>
      <c r="H2587" s="43" t="s">
        <v>26</v>
      </c>
      <c r="J2587" s="44" t="s">
        <v>27</v>
      </c>
      <c r="K2587" s="45" t="s">
        <v>28</v>
      </c>
      <c r="L2587" s="44" t="s">
        <v>27</v>
      </c>
      <c r="M2587" s="45" t="s">
        <v>28</v>
      </c>
      <c r="N2587" s="44" t="s">
        <v>27</v>
      </c>
      <c r="O2587" s="45" t="s">
        <v>28</v>
      </c>
      <c r="P2587" s="44" t="s">
        <v>27</v>
      </c>
      <c r="Q2587" s="45" t="s">
        <v>28</v>
      </c>
      <c r="R2587" s="44" t="s">
        <v>27</v>
      </c>
      <c r="S2587" s="45" t="s">
        <v>28</v>
      </c>
      <c r="T2587" s="44" t="s">
        <v>27</v>
      </c>
      <c r="U2587" s="45" t="s">
        <v>28</v>
      </c>
      <c r="V2587" s="44" t="s">
        <v>27</v>
      </c>
      <c r="W2587" s="45" t="s">
        <v>28</v>
      </c>
      <c r="X2587" s="44" t="s">
        <v>27</v>
      </c>
      <c r="Y2587" s="45" t="s">
        <v>28</v>
      </c>
      <c r="Z2587" s="46"/>
      <c r="AA2587" s="46"/>
      <c r="AB2587" s="121" t="s">
        <v>29</v>
      </c>
      <c r="AC2587" s="122" t="s">
        <v>30</v>
      </c>
      <c r="AD2587" s="123" t="s">
        <v>31</v>
      </c>
      <c r="AE2587" s="121" t="s">
        <v>27</v>
      </c>
      <c r="AF2587" s="123" t="s">
        <v>28</v>
      </c>
      <c r="AG2587" s="1"/>
    </row>
    <row r="2588" ht="21.0" customHeight="1">
      <c r="A2588" s="1"/>
      <c r="B2588" s="48" t="s">
        <v>32</v>
      </c>
      <c r="C2588" s="49"/>
      <c r="D2588" s="50"/>
      <c r="E2588" s="51" t="s">
        <v>33</v>
      </c>
      <c r="F2588" s="52" t="s">
        <v>34</v>
      </c>
      <c r="G2588" s="53"/>
      <c r="H2588" s="148"/>
      <c r="I2588" s="55"/>
      <c r="J2588" s="58"/>
      <c r="K2588" s="59"/>
      <c r="L2588" s="58"/>
      <c r="M2588" s="59"/>
      <c r="N2588" s="58"/>
      <c r="O2588" s="59"/>
      <c r="P2588" s="58"/>
      <c r="Q2588" s="59"/>
      <c r="R2588" s="58"/>
      <c r="S2588" s="59"/>
      <c r="T2588" s="58"/>
      <c r="U2588" s="59"/>
      <c r="V2588" s="58"/>
      <c r="W2588" s="59"/>
      <c r="X2588" s="58"/>
      <c r="Y2588" s="59"/>
      <c r="Z2588" s="60" t="b">
        <v>0</v>
      </c>
      <c r="AA2588" s="125">
        <f t="shared" ref="AA2588:AA2596" si="1033">(J2588*K2588+L2588*M2588+N2588*O2588+P2588*Q2588+R2588*S2588+T2588*U2588+V2588*W2588+X2588*Y2588)*if(Z2588=true,0.453592,1)</f>
        <v>0</v>
      </c>
      <c r="AB2588" s="126">
        <f t="shared" ref="AB2588:AB2596" si="1034">SUM(AE2588*AF2588*0.025,AE2588)</f>
        <v>0</v>
      </c>
      <c r="AC2588" s="127">
        <f t="shared" ref="AC2588:AC2596" si="1035">AB2588*87%</f>
        <v>0</v>
      </c>
      <c r="AD2588" s="128">
        <f t="shared" ref="AD2588:AD2596" si="1036">AB2588*67%</f>
        <v>0</v>
      </c>
      <c r="AE2588" s="126">
        <f t="shared" ref="AE2588:AE2596" si="1037">MAX(J2588,L2588,N2588,P2588,R2588,T2588,V2588,X2588)*if(Z2588=true,0.453592,1)</f>
        <v>0</v>
      </c>
      <c r="AF2588" s="128">
        <f t="shared" ref="AF2588:AF2596" si="1038">MAX(IF(J2588*if(Z2588=true,0.453592,1)=$AE2588,K2588,0),IF(L2588*if(Z2588=true,0.453592,1)=$AE2588,M2588,0),IF(N2588*if(Z2588=true,0.453592,1)=$AE2588,O2588,0),IF(P2588*if(Z2588=true,0.453592,1)=$AE2588,Q2588,0),IF(R2588*if(Z2588=true,0.453592,1)=$AE2588,S2588,0),IF(T2588*if(Z2588=true,0.453592,1)=$AE2588,U2588,0),IF(V2588*if(Z2588=true,0.453592,1)=$AE2588,W2588,0),IF(X2588*if(Z2588=true,0.453592,1)=$AE2588,Y2588,0))</f>
        <v>0</v>
      </c>
      <c r="AG2588" s="1"/>
    </row>
    <row r="2589" ht="21.0" customHeight="1">
      <c r="A2589" s="1"/>
      <c r="B2589" s="48" t="s">
        <v>36</v>
      </c>
      <c r="C2589" s="49"/>
      <c r="D2589" s="65"/>
      <c r="E2589" s="66"/>
      <c r="F2589" s="52" t="s">
        <v>37</v>
      </c>
      <c r="G2589" s="67"/>
      <c r="H2589" s="129"/>
      <c r="I2589" s="69"/>
      <c r="J2589" s="72"/>
      <c r="K2589" s="73"/>
      <c r="L2589" s="72"/>
      <c r="M2589" s="73"/>
      <c r="N2589" s="72"/>
      <c r="O2589" s="73"/>
      <c r="P2589" s="72"/>
      <c r="Q2589" s="73"/>
      <c r="R2589" s="72"/>
      <c r="S2589" s="73"/>
      <c r="T2589" s="72"/>
      <c r="U2589" s="73"/>
      <c r="V2589" s="72"/>
      <c r="W2589" s="73"/>
      <c r="X2589" s="72"/>
      <c r="Y2589" s="73"/>
      <c r="Z2589" s="74" t="b">
        <v>0</v>
      </c>
      <c r="AA2589" s="130">
        <f t="shared" si="1033"/>
        <v>0</v>
      </c>
      <c r="AB2589" s="131">
        <f t="shared" si="1034"/>
        <v>0</v>
      </c>
      <c r="AC2589" s="132">
        <f t="shared" si="1035"/>
        <v>0</v>
      </c>
      <c r="AD2589" s="133">
        <f t="shared" si="1036"/>
        <v>0</v>
      </c>
      <c r="AE2589" s="131">
        <f t="shared" si="1037"/>
        <v>0</v>
      </c>
      <c r="AF2589" s="133">
        <f t="shared" si="1038"/>
        <v>0</v>
      </c>
      <c r="AG2589" s="1"/>
    </row>
    <row r="2590" ht="21.0" customHeight="1">
      <c r="A2590" s="1"/>
      <c r="B2590" s="48" t="s">
        <v>39</v>
      </c>
      <c r="C2590" s="49"/>
      <c r="D2590" s="65"/>
      <c r="E2590" s="41"/>
      <c r="F2590" s="52" t="s">
        <v>40</v>
      </c>
      <c r="G2590" s="79"/>
      <c r="H2590" s="80"/>
      <c r="I2590" s="69"/>
      <c r="J2590" s="72"/>
      <c r="K2590" s="73"/>
      <c r="L2590" s="72"/>
      <c r="M2590" s="73"/>
      <c r="N2590" s="72"/>
      <c r="O2590" s="73"/>
      <c r="P2590" s="72"/>
      <c r="Q2590" s="73"/>
      <c r="R2590" s="72"/>
      <c r="S2590" s="73"/>
      <c r="T2590" s="72"/>
      <c r="U2590" s="73"/>
      <c r="V2590" s="72"/>
      <c r="W2590" s="73"/>
      <c r="X2590" s="72"/>
      <c r="Y2590" s="73"/>
      <c r="Z2590" s="74" t="b">
        <v>0</v>
      </c>
      <c r="AA2590" s="130">
        <f t="shared" si="1033"/>
        <v>0</v>
      </c>
      <c r="AB2590" s="131">
        <f t="shared" si="1034"/>
        <v>0</v>
      </c>
      <c r="AC2590" s="132">
        <f t="shared" si="1035"/>
        <v>0</v>
      </c>
      <c r="AD2590" s="133">
        <f t="shared" si="1036"/>
        <v>0</v>
      </c>
      <c r="AE2590" s="131">
        <f t="shared" si="1037"/>
        <v>0</v>
      </c>
      <c r="AF2590" s="133">
        <f t="shared" si="1038"/>
        <v>0</v>
      </c>
      <c r="AG2590" s="1"/>
    </row>
    <row r="2591" ht="21.0" customHeight="1">
      <c r="A2591" s="1"/>
      <c r="B2591" s="48" t="s">
        <v>41</v>
      </c>
      <c r="C2591" s="81"/>
      <c r="D2591" s="82" t="b">
        <v>0</v>
      </c>
      <c r="E2591" s="51" t="s">
        <v>42</v>
      </c>
      <c r="F2591" s="52" t="s">
        <v>34</v>
      </c>
      <c r="G2591" s="83"/>
      <c r="H2591" s="84"/>
      <c r="I2591" s="85"/>
      <c r="J2591" s="72"/>
      <c r="K2591" s="73"/>
      <c r="L2591" s="72"/>
      <c r="M2591" s="73"/>
      <c r="N2591" s="72"/>
      <c r="O2591" s="73"/>
      <c r="P2591" s="72"/>
      <c r="Q2591" s="73"/>
      <c r="R2591" s="72"/>
      <c r="S2591" s="73"/>
      <c r="T2591" s="72"/>
      <c r="U2591" s="73"/>
      <c r="V2591" s="72"/>
      <c r="W2591" s="73"/>
      <c r="X2591" s="72"/>
      <c r="Y2591" s="73"/>
      <c r="Z2591" s="74" t="b">
        <v>0</v>
      </c>
      <c r="AA2591" s="130">
        <f t="shared" si="1033"/>
        <v>0</v>
      </c>
      <c r="AB2591" s="131">
        <f t="shared" si="1034"/>
        <v>0</v>
      </c>
      <c r="AC2591" s="132">
        <f t="shared" si="1035"/>
        <v>0</v>
      </c>
      <c r="AD2591" s="133">
        <f t="shared" si="1036"/>
        <v>0</v>
      </c>
      <c r="AE2591" s="131">
        <f t="shared" si="1037"/>
        <v>0</v>
      </c>
      <c r="AF2591" s="133">
        <f t="shared" si="1038"/>
        <v>0</v>
      </c>
      <c r="AG2591" s="1"/>
    </row>
    <row r="2592" ht="21.0" customHeight="1">
      <c r="A2592" s="1"/>
      <c r="B2592" s="48" t="s">
        <v>43</v>
      </c>
      <c r="C2592" s="49"/>
      <c r="D2592" s="86" t="b">
        <v>0</v>
      </c>
      <c r="E2592" s="66"/>
      <c r="F2592" s="52" t="s">
        <v>37</v>
      </c>
      <c r="G2592" s="67"/>
      <c r="H2592" s="80"/>
      <c r="I2592" s="69"/>
      <c r="J2592" s="72"/>
      <c r="K2592" s="73"/>
      <c r="L2592" s="72"/>
      <c r="M2592" s="73"/>
      <c r="N2592" s="72"/>
      <c r="O2592" s="73"/>
      <c r="P2592" s="72"/>
      <c r="Q2592" s="73"/>
      <c r="R2592" s="72"/>
      <c r="S2592" s="73"/>
      <c r="T2592" s="72"/>
      <c r="U2592" s="73"/>
      <c r="V2592" s="72"/>
      <c r="W2592" s="73"/>
      <c r="X2592" s="72"/>
      <c r="Y2592" s="73"/>
      <c r="Z2592" s="74" t="b">
        <v>0</v>
      </c>
      <c r="AA2592" s="130">
        <f t="shared" si="1033"/>
        <v>0</v>
      </c>
      <c r="AB2592" s="131">
        <f t="shared" si="1034"/>
        <v>0</v>
      </c>
      <c r="AC2592" s="132">
        <f t="shared" si="1035"/>
        <v>0</v>
      </c>
      <c r="AD2592" s="133">
        <f t="shared" si="1036"/>
        <v>0</v>
      </c>
      <c r="AE2592" s="131">
        <f t="shared" si="1037"/>
        <v>0</v>
      </c>
      <c r="AF2592" s="133">
        <f t="shared" si="1038"/>
        <v>0</v>
      </c>
      <c r="AG2592" s="1"/>
    </row>
    <row r="2593" ht="21.0" customHeight="1">
      <c r="A2593" s="1"/>
      <c r="B2593" s="87" t="str">
        <f t="array" ref="B2593">"📌최근 인바디 결과 : "&amp;text(xlookup(B2585,'현황'!O:O,'현황'!O:O,,-1,-1),"m/d(ddd)")</f>
        <v>#REF!</v>
      </c>
      <c r="C2593" s="88"/>
      <c r="D2593" s="49"/>
      <c r="E2593" s="41"/>
      <c r="F2593" s="52" t="s">
        <v>40</v>
      </c>
      <c r="G2593" s="79"/>
      <c r="H2593" s="80"/>
      <c r="I2593" s="69"/>
      <c r="J2593" s="72"/>
      <c r="K2593" s="73"/>
      <c r="L2593" s="72"/>
      <c r="M2593" s="73"/>
      <c r="N2593" s="72"/>
      <c r="O2593" s="73"/>
      <c r="P2593" s="72"/>
      <c r="Q2593" s="73"/>
      <c r="R2593" s="72"/>
      <c r="S2593" s="73"/>
      <c r="T2593" s="72"/>
      <c r="U2593" s="73"/>
      <c r="V2593" s="72"/>
      <c r="W2593" s="73"/>
      <c r="X2593" s="72"/>
      <c r="Y2593" s="73"/>
      <c r="Z2593" s="74" t="b">
        <v>0</v>
      </c>
      <c r="AA2593" s="130">
        <f t="shared" si="1033"/>
        <v>0</v>
      </c>
      <c r="AB2593" s="131">
        <f t="shared" si="1034"/>
        <v>0</v>
      </c>
      <c r="AC2593" s="132">
        <f t="shared" si="1035"/>
        <v>0</v>
      </c>
      <c r="AD2593" s="133">
        <f t="shared" si="1036"/>
        <v>0</v>
      </c>
      <c r="AE2593" s="131">
        <f t="shared" si="1037"/>
        <v>0</v>
      </c>
      <c r="AF2593" s="133">
        <f t="shared" si="1038"/>
        <v>0</v>
      </c>
      <c r="AG2593" s="1"/>
    </row>
    <row r="2594" ht="21.0" customHeight="1">
      <c r="A2594" s="1"/>
      <c r="B2594" s="89" t="s">
        <v>44</v>
      </c>
      <c r="C2594" s="49"/>
      <c r="D2594" s="90">
        <f t="array" ref="D2594">iferror(vlookup(xlookup(B2585,'현황'!O:O,'현황'!O:O,,-1,-1),'현황'!O:S,2,false),0)</f>
        <v>0</v>
      </c>
      <c r="E2594" s="51" t="s">
        <v>45</v>
      </c>
      <c r="F2594" s="52" t="s">
        <v>34</v>
      </c>
      <c r="G2594" s="83"/>
      <c r="H2594" s="84"/>
      <c r="I2594" s="85"/>
      <c r="J2594" s="72"/>
      <c r="K2594" s="73"/>
      <c r="L2594" s="72"/>
      <c r="M2594" s="73"/>
      <c r="N2594" s="72"/>
      <c r="O2594" s="73"/>
      <c r="P2594" s="72"/>
      <c r="Q2594" s="73"/>
      <c r="R2594" s="72"/>
      <c r="S2594" s="73"/>
      <c r="T2594" s="72"/>
      <c r="U2594" s="73"/>
      <c r="V2594" s="72"/>
      <c r="W2594" s="73"/>
      <c r="X2594" s="72"/>
      <c r="Y2594" s="73"/>
      <c r="Z2594" s="74" t="b">
        <v>0</v>
      </c>
      <c r="AA2594" s="130">
        <f t="shared" si="1033"/>
        <v>0</v>
      </c>
      <c r="AB2594" s="131">
        <f t="shared" si="1034"/>
        <v>0</v>
      </c>
      <c r="AC2594" s="132">
        <f t="shared" si="1035"/>
        <v>0</v>
      </c>
      <c r="AD2594" s="133">
        <f t="shared" si="1036"/>
        <v>0</v>
      </c>
      <c r="AE2594" s="131">
        <f t="shared" si="1037"/>
        <v>0</v>
      </c>
      <c r="AF2594" s="133">
        <f t="shared" si="1038"/>
        <v>0</v>
      </c>
      <c r="AG2594" s="1"/>
    </row>
    <row r="2595" ht="21.0" customHeight="1">
      <c r="A2595" s="1"/>
      <c r="B2595" s="48" t="s">
        <v>46</v>
      </c>
      <c r="C2595" s="49"/>
      <c r="D2595" s="91">
        <f t="array" ref="D2595">iferror(vlookup(xlookup(B2585,'현황'!O:O,'현황'!O:O,,-1,-1),'현황'!O:S,3,false),0)</f>
        <v>0</v>
      </c>
      <c r="E2595" s="66"/>
      <c r="F2595" s="52" t="s">
        <v>37</v>
      </c>
      <c r="G2595" s="67"/>
      <c r="H2595" s="80"/>
      <c r="I2595" s="69"/>
      <c r="J2595" s="72"/>
      <c r="K2595" s="73"/>
      <c r="L2595" s="72"/>
      <c r="M2595" s="73"/>
      <c r="N2595" s="72"/>
      <c r="O2595" s="73"/>
      <c r="P2595" s="72"/>
      <c r="Q2595" s="73"/>
      <c r="R2595" s="72"/>
      <c r="S2595" s="73"/>
      <c r="T2595" s="72"/>
      <c r="U2595" s="73"/>
      <c r="V2595" s="72"/>
      <c r="W2595" s="73"/>
      <c r="X2595" s="72"/>
      <c r="Y2595" s="73"/>
      <c r="Z2595" s="74" t="b">
        <v>0</v>
      </c>
      <c r="AA2595" s="130">
        <f t="shared" si="1033"/>
        <v>0</v>
      </c>
      <c r="AB2595" s="131">
        <f t="shared" si="1034"/>
        <v>0</v>
      </c>
      <c r="AC2595" s="132">
        <f t="shared" si="1035"/>
        <v>0</v>
      </c>
      <c r="AD2595" s="133">
        <f t="shared" si="1036"/>
        <v>0</v>
      </c>
      <c r="AE2595" s="131">
        <f t="shared" si="1037"/>
        <v>0</v>
      </c>
      <c r="AF2595" s="133">
        <f t="shared" si="1038"/>
        <v>0</v>
      </c>
      <c r="AG2595" s="1"/>
    </row>
    <row r="2596" ht="21.0" customHeight="1">
      <c r="A2596" s="1"/>
      <c r="B2596" s="48" t="s">
        <v>47</v>
      </c>
      <c r="C2596" s="49"/>
      <c r="D2596" s="91">
        <f t="array" ref="D2596">iferror(vlookup(xlookup(B2585,'현황'!O:O,'현황'!O:O,,-1,-1),'현황'!O:S,4,false),0)</f>
        <v>0</v>
      </c>
      <c r="E2596" s="41"/>
      <c r="F2596" s="92" t="s">
        <v>40</v>
      </c>
      <c r="G2596" s="79"/>
      <c r="H2596" s="93"/>
      <c r="I2596" s="94"/>
      <c r="J2596" s="95"/>
      <c r="K2596" s="96"/>
      <c r="L2596" s="95"/>
      <c r="M2596" s="96"/>
      <c r="N2596" s="95"/>
      <c r="O2596" s="96"/>
      <c r="P2596" s="95"/>
      <c r="Q2596" s="96"/>
      <c r="R2596" s="95"/>
      <c r="S2596" s="96"/>
      <c r="T2596" s="95"/>
      <c r="U2596" s="96"/>
      <c r="V2596" s="95"/>
      <c r="W2596" s="96"/>
      <c r="X2596" s="95"/>
      <c r="Y2596" s="96"/>
      <c r="Z2596" s="97" t="b">
        <v>0</v>
      </c>
      <c r="AA2596" s="135">
        <f t="shared" si="1033"/>
        <v>0</v>
      </c>
      <c r="AB2596" s="136">
        <f t="shared" si="1034"/>
        <v>0</v>
      </c>
      <c r="AC2596" s="137">
        <f t="shared" si="1035"/>
        <v>0</v>
      </c>
      <c r="AD2596" s="138">
        <f t="shared" si="1036"/>
        <v>0</v>
      </c>
      <c r="AE2596" s="136">
        <f t="shared" si="1037"/>
        <v>0</v>
      </c>
      <c r="AF2596" s="138">
        <f t="shared" si="1038"/>
        <v>0</v>
      </c>
      <c r="AG2596" s="1"/>
    </row>
    <row r="2597" ht="21.0" customHeight="1">
      <c r="A2597" s="1"/>
      <c r="B2597" s="102" t="s">
        <v>48</v>
      </c>
      <c r="C2597" s="103"/>
      <c r="D2597" s="104">
        <f>iferror(D2596/D2594,0)</f>
        <v>0</v>
      </c>
      <c r="E2597" s="102" t="s">
        <v>49</v>
      </c>
      <c r="F2597" s="103"/>
      <c r="G2597" s="105"/>
      <c r="H2597" s="106" t="s">
        <v>50</v>
      </c>
      <c r="I2597" s="107"/>
      <c r="J2597" s="11"/>
      <c r="K2597" s="11"/>
      <c r="L2597" s="11"/>
      <c r="M2597" s="11"/>
      <c r="N2597" s="11"/>
      <c r="O2597" s="11"/>
      <c r="P2597" s="108" t="s">
        <v>51</v>
      </c>
      <c r="Q2597" s="12"/>
      <c r="R2597" s="109"/>
      <c r="S2597" s="11"/>
      <c r="T2597" s="11"/>
      <c r="U2597" s="11"/>
      <c r="V2597" s="11"/>
      <c r="W2597" s="11"/>
      <c r="X2597" s="11"/>
      <c r="Y2597" s="11"/>
      <c r="Z2597" s="12"/>
      <c r="AA2597" s="139">
        <f>SUM(AA2588:AA2596)</f>
        <v>0</v>
      </c>
      <c r="AB2597" s="140" t="s">
        <v>443</v>
      </c>
      <c r="AG2597" s="1"/>
    </row>
    <row r="2598" ht="21.0" customHeight="1">
      <c r="A2598" s="1"/>
      <c r="B2598" s="1"/>
      <c r="C2598" s="1"/>
      <c r="D2598" s="1"/>
      <c r="E2598" s="1"/>
      <c r="F2598" s="1"/>
      <c r="G2598" s="1"/>
      <c r="H2598" s="1"/>
      <c r="I2598" s="1"/>
      <c r="AA2598" s="1"/>
      <c r="AB2598" s="1"/>
      <c r="AC2598" s="3"/>
      <c r="AD2598" s="1"/>
      <c r="AE2598" s="1"/>
      <c r="AF2598" s="1"/>
      <c r="AG2598" s="1"/>
    </row>
    <row r="2599" ht="21.0" customHeight="1">
      <c r="A2599" s="1"/>
      <c r="B2599" s="4" t="s">
        <v>1</v>
      </c>
      <c r="C2599" s="5"/>
      <c r="D2599" s="6" t="s">
        <v>2</v>
      </c>
      <c r="E2599" s="7"/>
      <c r="F2599" s="7"/>
      <c r="G2599" s="5"/>
      <c r="H2599" s="8" t="s">
        <v>3</v>
      </c>
      <c r="I2599" s="8" t="s">
        <v>4</v>
      </c>
      <c r="J2599" s="9" t="s">
        <v>5</v>
      </c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5"/>
      <c r="AA2599" s="117" t="s">
        <v>6</v>
      </c>
      <c r="AB2599" s="11"/>
      <c r="AC2599" s="11"/>
      <c r="AD2599" s="11"/>
      <c r="AE2599" s="11"/>
      <c r="AF2599" s="12"/>
      <c r="AG2599" s="1"/>
    </row>
    <row r="2600" ht="21.0" customHeight="1">
      <c r="A2600" s="1"/>
      <c r="B2600" s="149" t="s">
        <v>138</v>
      </c>
      <c r="C2600" s="14" t="str">
        <f>if(B2600="0/0","",choose(weekday(B2600),"(일)","(월)","(화)","(수)","(목)","(금)","(토)"))</f>
        <v/>
      </c>
      <c r="D2600" s="15" t="s">
        <v>7</v>
      </c>
      <c r="E2600" s="16" t="s">
        <v>8</v>
      </c>
      <c r="F2600" s="17"/>
      <c r="G2600" s="18" t="s">
        <v>9</v>
      </c>
      <c r="H2600" s="150" t="s">
        <v>139</v>
      </c>
      <c r="I2600" s="151"/>
      <c r="J2600" s="21" t="s">
        <v>12</v>
      </c>
      <c r="K2600" s="22"/>
      <c r="L2600" s="21" t="s">
        <v>13</v>
      </c>
      <c r="M2600" s="22"/>
      <c r="N2600" s="21" t="s">
        <v>14</v>
      </c>
      <c r="O2600" s="22"/>
      <c r="P2600" s="21" t="s">
        <v>15</v>
      </c>
      <c r="Q2600" s="22"/>
      <c r="R2600" s="23" t="s">
        <v>16</v>
      </c>
      <c r="S2600" s="22"/>
      <c r="T2600" s="23" t="s">
        <v>17</v>
      </c>
      <c r="U2600" s="22"/>
      <c r="V2600" s="23" t="s">
        <v>18</v>
      </c>
      <c r="W2600" s="22"/>
      <c r="X2600" s="23" t="s">
        <v>19</v>
      </c>
      <c r="Y2600" s="22"/>
      <c r="Z2600" s="24" t="s">
        <v>444</v>
      </c>
      <c r="AA2600" s="118" t="s">
        <v>21</v>
      </c>
      <c r="AB2600" s="119" t="s">
        <v>22</v>
      </c>
      <c r="AC2600" s="7"/>
      <c r="AD2600" s="22"/>
      <c r="AE2600" s="120" t="s">
        <v>23</v>
      </c>
      <c r="AF2600" s="22"/>
      <c r="AG2600" s="1"/>
    </row>
    <row r="2601" ht="21.0" customHeight="1">
      <c r="A2601" s="1"/>
      <c r="B2601" s="27">
        <f>iferror(B2600-'현황'!$C$4+1,0)</f>
        <v>0</v>
      </c>
      <c r="C2601" s="28"/>
      <c r="D2601" s="29">
        <v>0.0</v>
      </c>
      <c r="E2601" s="30">
        <v>0.0</v>
      </c>
      <c r="F2601" s="31"/>
      <c r="G2601" s="32">
        <v>0.0</v>
      </c>
      <c r="H2601" s="33">
        <v>0.0</v>
      </c>
      <c r="I2601" s="34"/>
      <c r="J2601" s="35"/>
      <c r="K2601" s="36"/>
      <c r="L2601" s="35"/>
      <c r="M2601" s="36"/>
      <c r="N2601" s="35"/>
      <c r="O2601" s="36"/>
      <c r="P2601" s="35"/>
      <c r="Q2601" s="36"/>
      <c r="R2601" s="35"/>
      <c r="S2601" s="36"/>
      <c r="T2601" s="35"/>
      <c r="U2601" s="36"/>
      <c r="V2601" s="35"/>
      <c r="W2601" s="36"/>
      <c r="X2601" s="35"/>
      <c r="Y2601" s="36"/>
      <c r="Z2601" s="37"/>
      <c r="AA2601" s="37"/>
      <c r="AB2601" s="35"/>
      <c r="AC2601" s="38"/>
      <c r="AD2601" s="36"/>
      <c r="AE2601" s="35"/>
      <c r="AF2601" s="36"/>
      <c r="AG2601" s="1"/>
    </row>
    <row r="2602" ht="21.0" customHeight="1">
      <c r="A2602" s="1"/>
      <c r="B2602" s="39" t="s">
        <v>24</v>
      </c>
      <c r="C2602" s="40"/>
      <c r="D2602" s="41"/>
      <c r="E2602" s="42" t="s">
        <v>25</v>
      </c>
      <c r="F2602" s="40"/>
      <c r="G2602" s="41"/>
      <c r="H2602" s="43" t="s">
        <v>26</v>
      </c>
      <c r="J2602" s="44" t="s">
        <v>27</v>
      </c>
      <c r="K2602" s="45" t="s">
        <v>28</v>
      </c>
      <c r="L2602" s="44" t="s">
        <v>27</v>
      </c>
      <c r="M2602" s="45" t="s">
        <v>28</v>
      </c>
      <c r="N2602" s="44" t="s">
        <v>27</v>
      </c>
      <c r="O2602" s="45" t="s">
        <v>28</v>
      </c>
      <c r="P2602" s="44" t="s">
        <v>27</v>
      </c>
      <c r="Q2602" s="45" t="s">
        <v>28</v>
      </c>
      <c r="R2602" s="44" t="s">
        <v>27</v>
      </c>
      <c r="S2602" s="45" t="s">
        <v>28</v>
      </c>
      <c r="T2602" s="44" t="s">
        <v>27</v>
      </c>
      <c r="U2602" s="45" t="s">
        <v>28</v>
      </c>
      <c r="V2602" s="44" t="s">
        <v>27</v>
      </c>
      <c r="W2602" s="45" t="s">
        <v>28</v>
      </c>
      <c r="X2602" s="44" t="s">
        <v>27</v>
      </c>
      <c r="Y2602" s="45" t="s">
        <v>28</v>
      </c>
      <c r="Z2602" s="46"/>
      <c r="AA2602" s="46"/>
      <c r="AB2602" s="121" t="s">
        <v>29</v>
      </c>
      <c r="AC2602" s="122" t="s">
        <v>30</v>
      </c>
      <c r="AD2602" s="123" t="s">
        <v>31</v>
      </c>
      <c r="AE2602" s="121" t="s">
        <v>27</v>
      </c>
      <c r="AF2602" s="123" t="s">
        <v>28</v>
      </c>
      <c r="AG2602" s="1"/>
    </row>
    <row r="2603" ht="21.0" customHeight="1">
      <c r="A2603" s="1"/>
      <c r="B2603" s="48" t="s">
        <v>32</v>
      </c>
      <c r="C2603" s="49"/>
      <c r="D2603" s="50"/>
      <c r="E2603" s="51" t="s">
        <v>33</v>
      </c>
      <c r="F2603" s="52" t="s">
        <v>34</v>
      </c>
      <c r="G2603" s="53"/>
      <c r="H2603" s="148"/>
      <c r="I2603" s="55"/>
      <c r="J2603" s="58"/>
      <c r="K2603" s="59"/>
      <c r="L2603" s="58"/>
      <c r="M2603" s="59"/>
      <c r="N2603" s="58"/>
      <c r="O2603" s="59"/>
      <c r="P2603" s="58"/>
      <c r="Q2603" s="59"/>
      <c r="R2603" s="58"/>
      <c r="S2603" s="59"/>
      <c r="T2603" s="58"/>
      <c r="U2603" s="59"/>
      <c r="V2603" s="58"/>
      <c r="W2603" s="59"/>
      <c r="X2603" s="58"/>
      <c r="Y2603" s="59"/>
      <c r="Z2603" s="60" t="b">
        <v>0</v>
      </c>
      <c r="AA2603" s="125">
        <f t="shared" ref="AA2603:AA2611" si="1039">(J2603*K2603+L2603*M2603+N2603*O2603+P2603*Q2603+R2603*S2603+T2603*U2603+V2603*W2603+X2603*Y2603)*if(Z2603=true,0.453592,1)</f>
        <v>0</v>
      </c>
      <c r="AB2603" s="126">
        <f t="shared" ref="AB2603:AB2611" si="1040">SUM(AE2603*AF2603*0.025,AE2603)</f>
        <v>0</v>
      </c>
      <c r="AC2603" s="127">
        <f t="shared" ref="AC2603:AC2611" si="1041">AB2603*87%</f>
        <v>0</v>
      </c>
      <c r="AD2603" s="128">
        <f t="shared" ref="AD2603:AD2611" si="1042">AB2603*67%</f>
        <v>0</v>
      </c>
      <c r="AE2603" s="126">
        <f t="shared" ref="AE2603:AE2611" si="1043">MAX(J2603,L2603,N2603,P2603,R2603,T2603,V2603,X2603)*if(Z2603=true,0.453592,1)</f>
        <v>0</v>
      </c>
      <c r="AF2603" s="128">
        <f t="shared" ref="AF2603:AF2611" si="1044">MAX(IF(J2603*if(Z2603=true,0.453592,1)=$AE2603,K2603,0),IF(L2603*if(Z2603=true,0.453592,1)=$AE2603,M2603,0),IF(N2603*if(Z2603=true,0.453592,1)=$AE2603,O2603,0),IF(P2603*if(Z2603=true,0.453592,1)=$AE2603,Q2603,0),IF(R2603*if(Z2603=true,0.453592,1)=$AE2603,S2603,0),IF(T2603*if(Z2603=true,0.453592,1)=$AE2603,U2603,0),IF(V2603*if(Z2603=true,0.453592,1)=$AE2603,W2603,0),IF(X2603*if(Z2603=true,0.453592,1)=$AE2603,Y2603,0))</f>
        <v>0</v>
      </c>
      <c r="AG2603" s="1"/>
    </row>
    <row r="2604" ht="21.0" customHeight="1">
      <c r="A2604" s="1"/>
      <c r="B2604" s="48" t="s">
        <v>36</v>
      </c>
      <c r="C2604" s="49"/>
      <c r="D2604" s="65"/>
      <c r="E2604" s="66"/>
      <c r="F2604" s="52" t="s">
        <v>37</v>
      </c>
      <c r="G2604" s="67"/>
      <c r="H2604" s="129"/>
      <c r="I2604" s="69"/>
      <c r="J2604" s="72"/>
      <c r="K2604" s="73"/>
      <c r="L2604" s="72"/>
      <c r="M2604" s="73"/>
      <c r="N2604" s="72"/>
      <c r="O2604" s="73"/>
      <c r="P2604" s="72"/>
      <c r="Q2604" s="73"/>
      <c r="R2604" s="72"/>
      <c r="S2604" s="73"/>
      <c r="T2604" s="72"/>
      <c r="U2604" s="73"/>
      <c r="V2604" s="72"/>
      <c r="W2604" s="73"/>
      <c r="X2604" s="72"/>
      <c r="Y2604" s="73"/>
      <c r="Z2604" s="74" t="b">
        <v>0</v>
      </c>
      <c r="AA2604" s="130">
        <f t="shared" si="1039"/>
        <v>0</v>
      </c>
      <c r="AB2604" s="131">
        <f t="shared" si="1040"/>
        <v>0</v>
      </c>
      <c r="AC2604" s="132">
        <f t="shared" si="1041"/>
        <v>0</v>
      </c>
      <c r="AD2604" s="133">
        <f t="shared" si="1042"/>
        <v>0</v>
      </c>
      <c r="AE2604" s="131">
        <f t="shared" si="1043"/>
        <v>0</v>
      </c>
      <c r="AF2604" s="133">
        <f t="shared" si="1044"/>
        <v>0</v>
      </c>
      <c r="AG2604" s="1"/>
    </row>
    <row r="2605" ht="21.0" customHeight="1">
      <c r="A2605" s="1"/>
      <c r="B2605" s="48" t="s">
        <v>39</v>
      </c>
      <c r="C2605" s="49"/>
      <c r="D2605" s="65"/>
      <c r="E2605" s="41"/>
      <c r="F2605" s="52" t="s">
        <v>40</v>
      </c>
      <c r="G2605" s="79"/>
      <c r="H2605" s="80"/>
      <c r="I2605" s="69"/>
      <c r="J2605" s="72"/>
      <c r="K2605" s="73"/>
      <c r="L2605" s="72"/>
      <c r="M2605" s="73"/>
      <c r="N2605" s="72"/>
      <c r="O2605" s="73"/>
      <c r="P2605" s="72"/>
      <c r="Q2605" s="73"/>
      <c r="R2605" s="72"/>
      <c r="S2605" s="73"/>
      <c r="T2605" s="72"/>
      <c r="U2605" s="73"/>
      <c r="V2605" s="72"/>
      <c r="W2605" s="73"/>
      <c r="X2605" s="72"/>
      <c r="Y2605" s="73"/>
      <c r="Z2605" s="74" t="b">
        <v>0</v>
      </c>
      <c r="AA2605" s="130">
        <f t="shared" si="1039"/>
        <v>0</v>
      </c>
      <c r="AB2605" s="131">
        <f t="shared" si="1040"/>
        <v>0</v>
      </c>
      <c r="AC2605" s="132">
        <f t="shared" si="1041"/>
        <v>0</v>
      </c>
      <c r="AD2605" s="133">
        <f t="shared" si="1042"/>
        <v>0</v>
      </c>
      <c r="AE2605" s="131">
        <f t="shared" si="1043"/>
        <v>0</v>
      </c>
      <c r="AF2605" s="133">
        <f t="shared" si="1044"/>
        <v>0</v>
      </c>
      <c r="AG2605" s="1"/>
    </row>
    <row r="2606" ht="21.0" customHeight="1">
      <c r="A2606" s="1"/>
      <c r="B2606" s="48" t="s">
        <v>41</v>
      </c>
      <c r="C2606" s="81"/>
      <c r="D2606" s="82" t="b">
        <v>0</v>
      </c>
      <c r="E2606" s="51" t="s">
        <v>42</v>
      </c>
      <c r="F2606" s="52" t="s">
        <v>34</v>
      </c>
      <c r="G2606" s="83"/>
      <c r="H2606" s="84"/>
      <c r="I2606" s="85"/>
      <c r="J2606" s="72"/>
      <c r="K2606" s="73"/>
      <c r="L2606" s="72"/>
      <c r="M2606" s="73"/>
      <c r="N2606" s="72"/>
      <c r="O2606" s="73"/>
      <c r="P2606" s="72"/>
      <c r="Q2606" s="73"/>
      <c r="R2606" s="72"/>
      <c r="S2606" s="73"/>
      <c r="T2606" s="72"/>
      <c r="U2606" s="73"/>
      <c r="V2606" s="72"/>
      <c r="W2606" s="73"/>
      <c r="X2606" s="72"/>
      <c r="Y2606" s="73"/>
      <c r="Z2606" s="74" t="b">
        <v>0</v>
      </c>
      <c r="AA2606" s="130">
        <f t="shared" si="1039"/>
        <v>0</v>
      </c>
      <c r="AB2606" s="131">
        <f t="shared" si="1040"/>
        <v>0</v>
      </c>
      <c r="AC2606" s="132">
        <f t="shared" si="1041"/>
        <v>0</v>
      </c>
      <c r="AD2606" s="133">
        <f t="shared" si="1042"/>
        <v>0</v>
      </c>
      <c r="AE2606" s="131">
        <f t="shared" si="1043"/>
        <v>0</v>
      </c>
      <c r="AF2606" s="133">
        <f t="shared" si="1044"/>
        <v>0</v>
      </c>
      <c r="AG2606" s="1"/>
    </row>
    <row r="2607" ht="21.0" customHeight="1">
      <c r="A2607" s="1"/>
      <c r="B2607" s="48" t="s">
        <v>43</v>
      </c>
      <c r="C2607" s="49"/>
      <c r="D2607" s="86" t="b">
        <v>0</v>
      </c>
      <c r="E2607" s="66"/>
      <c r="F2607" s="52" t="s">
        <v>37</v>
      </c>
      <c r="G2607" s="67"/>
      <c r="H2607" s="80"/>
      <c r="I2607" s="69"/>
      <c r="J2607" s="72"/>
      <c r="K2607" s="73"/>
      <c r="L2607" s="72"/>
      <c r="M2607" s="73"/>
      <c r="N2607" s="72"/>
      <c r="O2607" s="73"/>
      <c r="P2607" s="72"/>
      <c r="Q2607" s="73"/>
      <c r="R2607" s="72"/>
      <c r="S2607" s="73"/>
      <c r="T2607" s="72"/>
      <c r="U2607" s="73"/>
      <c r="V2607" s="72"/>
      <c r="W2607" s="73"/>
      <c r="X2607" s="72"/>
      <c r="Y2607" s="73"/>
      <c r="Z2607" s="74" t="b">
        <v>0</v>
      </c>
      <c r="AA2607" s="130">
        <f t="shared" si="1039"/>
        <v>0</v>
      </c>
      <c r="AB2607" s="131">
        <f t="shared" si="1040"/>
        <v>0</v>
      </c>
      <c r="AC2607" s="132">
        <f t="shared" si="1041"/>
        <v>0</v>
      </c>
      <c r="AD2607" s="133">
        <f t="shared" si="1042"/>
        <v>0</v>
      </c>
      <c r="AE2607" s="131">
        <f t="shared" si="1043"/>
        <v>0</v>
      </c>
      <c r="AF2607" s="133">
        <f t="shared" si="1044"/>
        <v>0</v>
      </c>
      <c r="AG2607" s="1"/>
    </row>
    <row r="2608" ht="21.0" customHeight="1">
      <c r="A2608" s="1"/>
      <c r="B2608" s="87" t="str">
        <f t="array" ref="B2608">"📌최근 인바디 결과 : "&amp;text(xlookup(B2600,'현황'!O:O,'현황'!O:O,,-1,-1),"m/d(ddd)")</f>
        <v>#REF!</v>
      </c>
      <c r="C2608" s="88"/>
      <c r="D2608" s="49"/>
      <c r="E2608" s="41"/>
      <c r="F2608" s="52" t="s">
        <v>40</v>
      </c>
      <c r="G2608" s="79"/>
      <c r="H2608" s="80"/>
      <c r="I2608" s="69"/>
      <c r="J2608" s="72"/>
      <c r="K2608" s="73"/>
      <c r="L2608" s="72"/>
      <c r="M2608" s="73"/>
      <c r="N2608" s="72"/>
      <c r="O2608" s="73"/>
      <c r="P2608" s="72"/>
      <c r="Q2608" s="73"/>
      <c r="R2608" s="72"/>
      <c r="S2608" s="73"/>
      <c r="T2608" s="72"/>
      <c r="U2608" s="73"/>
      <c r="V2608" s="72"/>
      <c r="W2608" s="73"/>
      <c r="X2608" s="72"/>
      <c r="Y2608" s="73"/>
      <c r="Z2608" s="74" t="b">
        <v>0</v>
      </c>
      <c r="AA2608" s="130">
        <f t="shared" si="1039"/>
        <v>0</v>
      </c>
      <c r="AB2608" s="131">
        <f t="shared" si="1040"/>
        <v>0</v>
      </c>
      <c r="AC2608" s="132">
        <f t="shared" si="1041"/>
        <v>0</v>
      </c>
      <c r="AD2608" s="133">
        <f t="shared" si="1042"/>
        <v>0</v>
      </c>
      <c r="AE2608" s="131">
        <f t="shared" si="1043"/>
        <v>0</v>
      </c>
      <c r="AF2608" s="133">
        <f t="shared" si="1044"/>
        <v>0</v>
      </c>
      <c r="AG2608" s="1"/>
    </row>
    <row r="2609" ht="21.0" customHeight="1">
      <c r="A2609" s="1"/>
      <c r="B2609" s="89" t="s">
        <v>44</v>
      </c>
      <c r="C2609" s="49"/>
      <c r="D2609" s="90">
        <f t="array" ref="D2609">iferror(vlookup(xlookup(B2600,'현황'!O:O,'현황'!O:O,,-1,-1),'현황'!O:S,2,false),0)</f>
        <v>0</v>
      </c>
      <c r="E2609" s="51" t="s">
        <v>45</v>
      </c>
      <c r="F2609" s="52" t="s">
        <v>34</v>
      </c>
      <c r="G2609" s="83"/>
      <c r="H2609" s="84"/>
      <c r="I2609" s="85"/>
      <c r="J2609" s="72"/>
      <c r="K2609" s="73"/>
      <c r="L2609" s="72"/>
      <c r="M2609" s="73"/>
      <c r="N2609" s="72"/>
      <c r="O2609" s="73"/>
      <c r="P2609" s="72"/>
      <c r="Q2609" s="73"/>
      <c r="R2609" s="72"/>
      <c r="S2609" s="73"/>
      <c r="T2609" s="72"/>
      <c r="U2609" s="73"/>
      <c r="V2609" s="72"/>
      <c r="W2609" s="73"/>
      <c r="X2609" s="72"/>
      <c r="Y2609" s="73"/>
      <c r="Z2609" s="74" t="b">
        <v>0</v>
      </c>
      <c r="AA2609" s="130">
        <f t="shared" si="1039"/>
        <v>0</v>
      </c>
      <c r="AB2609" s="131">
        <f t="shared" si="1040"/>
        <v>0</v>
      </c>
      <c r="AC2609" s="132">
        <f t="shared" si="1041"/>
        <v>0</v>
      </c>
      <c r="AD2609" s="133">
        <f t="shared" si="1042"/>
        <v>0</v>
      </c>
      <c r="AE2609" s="131">
        <f t="shared" si="1043"/>
        <v>0</v>
      </c>
      <c r="AF2609" s="133">
        <f t="shared" si="1044"/>
        <v>0</v>
      </c>
      <c r="AG2609" s="1"/>
    </row>
    <row r="2610" ht="21.0" customHeight="1">
      <c r="A2610" s="1"/>
      <c r="B2610" s="48" t="s">
        <v>46</v>
      </c>
      <c r="C2610" s="49"/>
      <c r="D2610" s="91">
        <f t="array" ref="D2610">iferror(vlookup(xlookup(B2600,'현황'!O:O,'현황'!O:O,,-1,-1),'현황'!O:S,3,false),0)</f>
        <v>0</v>
      </c>
      <c r="E2610" s="66"/>
      <c r="F2610" s="52" t="s">
        <v>37</v>
      </c>
      <c r="G2610" s="67"/>
      <c r="H2610" s="80"/>
      <c r="I2610" s="69"/>
      <c r="J2610" s="72"/>
      <c r="K2610" s="73"/>
      <c r="L2610" s="72"/>
      <c r="M2610" s="73"/>
      <c r="N2610" s="72"/>
      <c r="O2610" s="73"/>
      <c r="P2610" s="72"/>
      <c r="Q2610" s="73"/>
      <c r="R2610" s="72"/>
      <c r="S2610" s="73"/>
      <c r="T2610" s="72"/>
      <c r="U2610" s="73"/>
      <c r="V2610" s="72"/>
      <c r="W2610" s="73"/>
      <c r="X2610" s="72"/>
      <c r="Y2610" s="73"/>
      <c r="Z2610" s="74" t="b">
        <v>0</v>
      </c>
      <c r="AA2610" s="130">
        <f t="shared" si="1039"/>
        <v>0</v>
      </c>
      <c r="AB2610" s="131">
        <f t="shared" si="1040"/>
        <v>0</v>
      </c>
      <c r="AC2610" s="132">
        <f t="shared" si="1041"/>
        <v>0</v>
      </c>
      <c r="AD2610" s="133">
        <f t="shared" si="1042"/>
        <v>0</v>
      </c>
      <c r="AE2610" s="131">
        <f t="shared" si="1043"/>
        <v>0</v>
      </c>
      <c r="AF2610" s="133">
        <f t="shared" si="1044"/>
        <v>0</v>
      </c>
      <c r="AG2610" s="1"/>
    </row>
    <row r="2611" ht="21.0" customHeight="1">
      <c r="A2611" s="1"/>
      <c r="B2611" s="48" t="s">
        <v>47</v>
      </c>
      <c r="C2611" s="49"/>
      <c r="D2611" s="91">
        <f t="array" ref="D2611">iferror(vlookup(xlookup(B2600,'현황'!O:O,'현황'!O:O,,-1,-1),'현황'!O:S,4,false),0)</f>
        <v>0</v>
      </c>
      <c r="E2611" s="41"/>
      <c r="F2611" s="92" t="s">
        <v>40</v>
      </c>
      <c r="G2611" s="79"/>
      <c r="H2611" s="93"/>
      <c r="I2611" s="94"/>
      <c r="J2611" s="95"/>
      <c r="K2611" s="96"/>
      <c r="L2611" s="95"/>
      <c r="M2611" s="96"/>
      <c r="N2611" s="95"/>
      <c r="O2611" s="96"/>
      <c r="P2611" s="95"/>
      <c r="Q2611" s="96"/>
      <c r="R2611" s="95"/>
      <c r="S2611" s="96"/>
      <c r="T2611" s="95"/>
      <c r="U2611" s="96"/>
      <c r="V2611" s="95"/>
      <c r="W2611" s="96"/>
      <c r="X2611" s="95"/>
      <c r="Y2611" s="96"/>
      <c r="Z2611" s="97" t="b">
        <v>0</v>
      </c>
      <c r="AA2611" s="135">
        <f t="shared" si="1039"/>
        <v>0</v>
      </c>
      <c r="AB2611" s="136">
        <f t="shared" si="1040"/>
        <v>0</v>
      </c>
      <c r="AC2611" s="137">
        <f t="shared" si="1041"/>
        <v>0</v>
      </c>
      <c r="AD2611" s="138">
        <f t="shared" si="1042"/>
        <v>0</v>
      </c>
      <c r="AE2611" s="136">
        <f t="shared" si="1043"/>
        <v>0</v>
      </c>
      <c r="AF2611" s="138">
        <f t="shared" si="1044"/>
        <v>0</v>
      </c>
      <c r="AG2611" s="1"/>
    </row>
    <row r="2612" ht="21.0" customHeight="1">
      <c r="A2612" s="1"/>
      <c r="B2612" s="102" t="s">
        <v>48</v>
      </c>
      <c r="C2612" s="103"/>
      <c r="D2612" s="104">
        <f>iferror(D2611/D2609,0)</f>
        <v>0</v>
      </c>
      <c r="E2612" s="102" t="s">
        <v>49</v>
      </c>
      <c r="F2612" s="103"/>
      <c r="G2612" s="105"/>
      <c r="H2612" s="106" t="s">
        <v>50</v>
      </c>
      <c r="I2612" s="107"/>
      <c r="J2612" s="11"/>
      <c r="K2612" s="11"/>
      <c r="L2612" s="11"/>
      <c r="M2612" s="11"/>
      <c r="N2612" s="11"/>
      <c r="O2612" s="11"/>
      <c r="P2612" s="108" t="s">
        <v>51</v>
      </c>
      <c r="Q2612" s="12"/>
      <c r="R2612" s="109"/>
      <c r="S2612" s="11"/>
      <c r="T2612" s="11"/>
      <c r="U2612" s="11"/>
      <c r="V2612" s="11"/>
      <c r="W2612" s="11"/>
      <c r="X2612" s="11"/>
      <c r="Y2612" s="11"/>
      <c r="Z2612" s="12"/>
      <c r="AA2612" s="139">
        <f>SUM(AA2603:AA2611)</f>
        <v>0</v>
      </c>
      <c r="AB2612" s="140" t="s">
        <v>445</v>
      </c>
      <c r="AG2612" s="1"/>
    </row>
    <row r="2613" ht="21.0" customHeight="1">
      <c r="A2613" s="1"/>
      <c r="B2613" s="1"/>
      <c r="C2613" s="1"/>
      <c r="D2613" s="1"/>
      <c r="E2613" s="1"/>
      <c r="F2613" s="1"/>
      <c r="G2613" s="1"/>
      <c r="H2613" s="1"/>
      <c r="I2613" s="1"/>
      <c r="AA2613" s="1"/>
      <c r="AB2613" s="1"/>
      <c r="AC2613" s="3"/>
      <c r="AD2613" s="1"/>
      <c r="AE2613" s="1"/>
      <c r="AF2613" s="1"/>
      <c r="AG2613" s="1"/>
    </row>
    <row r="2614" ht="21.0" customHeight="1">
      <c r="A2614" s="1"/>
      <c r="B2614" s="4" t="s">
        <v>1</v>
      </c>
      <c r="C2614" s="5"/>
      <c r="D2614" s="6" t="s">
        <v>2</v>
      </c>
      <c r="E2614" s="7"/>
      <c r="F2614" s="7"/>
      <c r="G2614" s="5"/>
      <c r="H2614" s="8" t="s">
        <v>3</v>
      </c>
      <c r="I2614" s="8" t="s">
        <v>4</v>
      </c>
      <c r="J2614" s="9" t="s">
        <v>5</v>
      </c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5"/>
      <c r="AA2614" s="117" t="s">
        <v>6</v>
      </c>
      <c r="AB2614" s="11"/>
      <c r="AC2614" s="11"/>
      <c r="AD2614" s="11"/>
      <c r="AE2614" s="11"/>
      <c r="AF2614" s="12"/>
      <c r="AG2614" s="1"/>
    </row>
    <row r="2615" ht="21.0" customHeight="1">
      <c r="A2615" s="1"/>
      <c r="B2615" s="149" t="s">
        <v>138</v>
      </c>
      <c r="C2615" s="14" t="str">
        <f>if(B2615="0/0","",choose(weekday(B2615),"(일)","(월)","(화)","(수)","(목)","(금)","(토)"))</f>
        <v/>
      </c>
      <c r="D2615" s="15" t="s">
        <v>7</v>
      </c>
      <c r="E2615" s="16" t="s">
        <v>8</v>
      </c>
      <c r="F2615" s="17"/>
      <c r="G2615" s="18" t="s">
        <v>9</v>
      </c>
      <c r="H2615" s="150" t="s">
        <v>139</v>
      </c>
      <c r="I2615" s="151"/>
      <c r="J2615" s="21" t="s">
        <v>12</v>
      </c>
      <c r="K2615" s="22"/>
      <c r="L2615" s="21" t="s">
        <v>13</v>
      </c>
      <c r="M2615" s="22"/>
      <c r="N2615" s="21" t="s">
        <v>14</v>
      </c>
      <c r="O2615" s="22"/>
      <c r="P2615" s="21" t="s">
        <v>15</v>
      </c>
      <c r="Q2615" s="22"/>
      <c r="R2615" s="23" t="s">
        <v>16</v>
      </c>
      <c r="S2615" s="22"/>
      <c r="T2615" s="23" t="s">
        <v>17</v>
      </c>
      <c r="U2615" s="22"/>
      <c r="V2615" s="23" t="s">
        <v>18</v>
      </c>
      <c r="W2615" s="22"/>
      <c r="X2615" s="23" t="s">
        <v>19</v>
      </c>
      <c r="Y2615" s="22"/>
      <c r="Z2615" s="24" t="s">
        <v>446</v>
      </c>
      <c r="AA2615" s="118" t="s">
        <v>21</v>
      </c>
      <c r="AB2615" s="119" t="s">
        <v>22</v>
      </c>
      <c r="AC2615" s="7"/>
      <c r="AD2615" s="22"/>
      <c r="AE2615" s="120" t="s">
        <v>23</v>
      </c>
      <c r="AF2615" s="22"/>
      <c r="AG2615" s="1"/>
    </row>
    <row r="2616" ht="21.0" customHeight="1">
      <c r="A2616" s="1"/>
      <c r="B2616" s="27">
        <f>iferror(B2615-'현황'!$C$4+1,0)</f>
        <v>0</v>
      </c>
      <c r="C2616" s="28"/>
      <c r="D2616" s="29">
        <v>0.0</v>
      </c>
      <c r="E2616" s="30">
        <v>0.0</v>
      </c>
      <c r="F2616" s="31"/>
      <c r="G2616" s="32">
        <v>0.0</v>
      </c>
      <c r="H2616" s="33">
        <v>0.0</v>
      </c>
      <c r="I2616" s="34"/>
      <c r="J2616" s="35"/>
      <c r="K2616" s="36"/>
      <c r="L2616" s="35"/>
      <c r="M2616" s="36"/>
      <c r="N2616" s="35"/>
      <c r="O2616" s="36"/>
      <c r="P2616" s="35"/>
      <c r="Q2616" s="36"/>
      <c r="R2616" s="35"/>
      <c r="S2616" s="36"/>
      <c r="T2616" s="35"/>
      <c r="U2616" s="36"/>
      <c r="V2616" s="35"/>
      <c r="W2616" s="36"/>
      <c r="X2616" s="35"/>
      <c r="Y2616" s="36"/>
      <c r="Z2616" s="37"/>
      <c r="AA2616" s="37"/>
      <c r="AB2616" s="35"/>
      <c r="AC2616" s="38"/>
      <c r="AD2616" s="36"/>
      <c r="AE2616" s="35"/>
      <c r="AF2616" s="36"/>
      <c r="AG2616" s="1"/>
    </row>
    <row r="2617" ht="21.0" customHeight="1">
      <c r="A2617" s="1"/>
      <c r="B2617" s="39" t="s">
        <v>24</v>
      </c>
      <c r="C2617" s="40"/>
      <c r="D2617" s="41"/>
      <c r="E2617" s="42" t="s">
        <v>25</v>
      </c>
      <c r="F2617" s="40"/>
      <c r="G2617" s="41"/>
      <c r="H2617" s="43" t="s">
        <v>26</v>
      </c>
      <c r="J2617" s="44" t="s">
        <v>27</v>
      </c>
      <c r="K2617" s="45" t="s">
        <v>28</v>
      </c>
      <c r="L2617" s="44" t="s">
        <v>27</v>
      </c>
      <c r="M2617" s="45" t="s">
        <v>28</v>
      </c>
      <c r="N2617" s="44" t="s">
        <v>27</v>
      </c>
      <c r="O2617" s="45" t="s">
        <v>28</v>
      </c>
      <c r="P2617" s="44" t="s">
        <v>27</v>
      </c>
      <c r="Q2617" s="45" t="s">
        <v>28</v>
      </c>
      <c r="R2617" s="44" t="s">
        <v>27</v>
      </c>
      <c r="S2617" s="45" t="s">
        <v>28</v>
      </c>
      <c r="T2617" s="44" t="s">
        <v>27</v>
      </c>
      <c r="U2617" s="45" t="s">
        <v>28</v>
      </c>
      <c r="V2617" s="44" t="s">
        <v>27</v>
      </c>
      <c r="W2617" s="45" t="s">
        <v>28</v>
      </c>
      <c r="X2617" s="44" t="s">
        <v>27</v>
      </c>
      <c r="Y2617" s="45" t="s">
        <v>28</v>
      </c>
      <c r="Z2617" s="46"/>
      <c r="AA2617" s="46"/>
      <c r="AB2617" s="121" t="s">
        <v>29</v>
      </c>
      <c r="AC2617" s="122" t="s">
        <v>30</v>
      </c>
      <c r="AD2617" s="123" t="s">
        <v>31</v>
      </c>
      <c r="AE2617" s="121" t="s">
        <v>27</v>
      </c>
      <c r="AF2617" s="123" t="s">
        <v>28</v>
      </c>
      <c r="AG2617" s="1"/>
    </row>
    <row r="2618" ht="21.0" customHeight="1">
      <c r="A2618" s="1"/>
      <c r="B2618" s="48" t="s">
        <v>32</v>
      </c>
      <c r="C2618" s="49"/>
      <c r="D2618" s="50"/>
      <c r="E2618" s="51" t="s">
        <v>33</v>
      </c>
      <c r="F2618" s="52" t="s">
        <v>34</v>
      </c>
      <c r="G2618" s="53"/>
      <c r="H2618" s="148"/>
      <c r="I2618" s="55"/>
      <c r="J2618" s="58"/>
      <c r="K2618" s="59"/>
      <c r="L2618" s="58"/>
      <c r="M2618" s="59"/>
      <c r="N2618" s="58"/>
      <c r="O2618" s="59"/>
      <c r="P2618" s="58"/>
      <c r="Q2618" s="59"/>
      <c r="R2618" s="58"/>
      <c r="S2618" s="59"/>
      <c r="T2618" s="58"/>
      <c r="U2618" s="59"/>
      <c r="V2618" s="58"/>
      <c r="W2618" s="59"/>
      <c r="X2618" s="58"/>
      <c r="Y2618" s="59"/>
      <c r="Z2618" s="60" t="b">
        <v>0</v>
      </c>
      <c r="AA2618" s="125">
        <f t="shared" ref="AA2618:AA2626" si="1045">(J2618*K2618+L2618*M2618+N2618*O2618+P2618*Q2618+R2618*S2618+T2618*U2618+V2618*W2618+X2618*Y2618)*if(Z2618=true,0.453592,1)</f>
        <v>0</v>
      </c>
      <c r="AB2618" s="126">
        <f t="shared" ref="AB2618:AB2626" si="1046">SUM(AE2618*AF2618*0.025,AE2618)</f>
        <v>0</v>
      </c>
      <c r="AC2618" s="127">
        <f t="shared" ref="AC2618:AC2626" si="1047">AB2618*87%</f>
        <v>0</v>
      </c>
      <c r="AD2618" s="128">
        <f t="shared" ref="AD2618:AD2626" si="1048">AB2618*67%</f>
        <v>0</v>
      </c>
      <c r="AE2618" s="126">
        <f t="shared" ref="AE2618:AE2626" si="1049">MAX(J2618,L2618,N2618,P2618,R2618,T2618,V2618,X2618)*if(Z2618=true,0.453592,1)</f>
        <v>0</v>
      </c>
      <c r="AF2618" s="128">
        <f t="shared" ref="AF2618:AF2626" si="1050">MAX(IF(J2618*if(Z2618=true,0.453592,1)=$AE2618,K2618,0),IF(L2618*if(Z2618=true,0.453592,1)=$AE2618,M2618,0),IF(N2618*if(Z2618=true,0.453592,1)=$AE2618,O2618,0),IF(P2618*if(Z2618=true,0.453592,1)=$AE2618,Q2618,0),IF(R2618*if(Z2618=true,0.453592,1)=$AE2618,S2618,0),IF(T2618*if(Z2618=true,0.453592,1)=$AE2618,U2618,0),IF(V2618*if(Z2618=true,0.453592,1)=$AE2618,W2618,0),IF(X2618*if(Z2618=true,0.453592,1)=$AE2618,Y2618,0))</f>
        <v>0</v>
      </c>
      <c r="AG2618" s="1"/>
    </row>
    <row r="2619" ht="21.0" customHeight="1">
      <c r="A2619" s="1"/>
      <c r="B2619" s="48" t="s">
        <v>36</v>
      </c>
      <c r="C2619" s="49"/>
      <c r="D2619" s="65"/>
      <c r="E2619" s="66"/>
      <c r="F2619" s="52" t="s">
        <v>37</v>
      </c>
      <c r="G2619" s="67"/>
      <c r="H2619" s="129"/>
      <c r="I2619" s="69"/>
      <c r="J2619" s="72"/>
      <c r="K2619" s="73"/>
      <c r="L2619" s="72"/>
      <c r="M2619" s="73"/>
      <c r="N2619" s="72"/>
      <c r="O2619" s="73"/>
      <c r="P2619" s="72"/>
      <c r="Q2619" s="73"/>
      <c r="R2619" s="72"/>
      <c r="S2619" s="73"/>
      <c r="T2619" s="72"/>
      <c r="U2619" s="73"/>
      <c r="V2619" s="72"/>
      <c r="W2619" s="73"/>
      <c r="X2619" s="72"/>
      <c r="Y2619" s="73"/>
      <c r="Z2619" s="74" t="b">
        <v>0</v>
      </c>
      <c r="AA2619" s="130">
        <f t="shared" si="1045"/>
        <v>0</v>
      </c>
      <c r="AB2619" s="131">
        <f t="shared" si="1046"/>
        <v>0</v>
      </c>
      <c r="AC2619" s="132">
        <f t="shared" si="1047"/>
        <v>0</v>
      </c>
      <c r="AD2619" s="133">
        <f t="shared" si="1048"/>
        <v>0</v>
      </c>
      <c r="AE2619" s="131">
        <f t="shared" si="1049"/>
        <v>0</v>
      </c>
      <c r="AF2619" s="133">
        <f t="shared" si="1050"/>
        <v>0</v>
      </c>
      <c r="AG2619" s="1"/>
    </row>
    <row r="2620" ht="21.0" customHeight="1">
      <c r="A2620" s="1"/>
      <c r="B2620" s="48" t="s">
        <v>39</v>
      </c>
      <c r="C2620" s="49"/>
      <c r="D2620" s="65"/>
      <c r="E2620" s="41"/>
      <c r="F2620" s="52" t="s">
        <v>40</v>
      </c>
      <c r="G2620" s="79"/>
      <c r="H2620" s="80"/>
      <c r="I2620" s="69"/>
      <c r="J2620" s="72"/>
      <c r="K2620" s="73"/>
      <c r="L2620" s="72"/>
      <c r="M2620" s="73"/>
      <c r="N2620" s="72"/>
      <c r="O2620" s="73"/>
      <c r="P2620" s="72"/>
      <c r="Q2620" s="73"/>
      <c r="R2620" s="72"/>
      <c r="S2620" s="73"/>
      <c r="T2620" s="72"/>
      <c r="U2620" s="73"/>
      <c r="V2620" s="72"/>
      <c r="W2620" s="73"/>
      <c r="X2620" s="72"/>
      <c r="Y2620" s="73"/>
      <c r="Z2620" s="74" t="b">
        <v>0</v>
      </c>
      <c r="AA2620" s="130">
        <f t="shared" si="1045"/>
        <v>0</v>
      </c>
      <c r="AB2620" s="131">
        <f t="shared" si="1046"/>
        <v>0</v>
      </c>
      <c r="AC2620" s="132">
        <f t="shared" si="1047"/>
        <v>0</v>
      </c>
      <c r="AD2620" s="133">
        <f t="shared" si="1048"/>
        <v>0</v>
      </c>
      <c r="AE2620" s="131">
        <f t="shared" si="1049"/>
        <v>0</v>
      </c>
      <c r="AF2620" s="133">
        <f t="shared" si="1050"/>
        <v>0</v>
      </c>
      <c r="AG2620" s="1"/>
    </row>
    <row r="2621" ht="21.0" customHeight="1">
      <c r="A2621" s="1"/>
      <c r="B2621" s="48" t="s">
        <v>41</v>
      </c>
      <c r="C2621" s="81"/>
      <c r="D2621" s="82" t="b">
        <v>0</v>
      </c>
      <c r="E2621" s="51" t="s">
        <v>42</v>
      </c>
      <c r="F2621" s="52" t="s">
        <v>34</v>
      </c>
      <c r="G2621" s="83"/>
      <c r="H2621" s="84"/>
      <c r="I2621" s="85"/>
      <c r="J2621" s="72"/>
      <c r="K2621" s="73"/>
      <c r="L2621" s="72"/>
      <c r="M2621" s="73"/>
      <c r="N2621" s="72"/>
      <c r="O2621" s="73"/>
      <c r="P2621" s="72"/>
      <c r="Q2621" s="73"/>
      <c r="R2621" s="72"/>
      <c r="S2621" s="73"/>
      <c r="T2621" s="72"/>
      <c r="U2621" s="73"/>
      <c r="V2621" s="72"/>
      <c r="W2621" s="73"/>
      <c r="X2621" s="72"/>
      <c r="Y2621" s="73"/>
      <c r="Z2621" s="74" t="b">
        <v>0</v>
      </c>
      <c r="AA2621" s="130">
        <f t="shared" si="1045"/>
        <v>0</v>
      </c>
      <c r="AB2621" s="131">
        <f t="shared" si="1046"/>
        <v>0</v>
      </c>
      <c r="AC2621" s="132">
        <f t="shared" si="1047"/>
        <v>0</v>
      </c>
      <c r="AD2621" s="133">
        <f t="shared" si="1048"/>
        <v>0</v>
      </c>
      <c r="AE2621" s="131">
        <f t="shared" si="1049"/>
        <v>0</v>
      </c>
      <c r="AF2621" s="133">
        <f t="shared" si="1050"/>
        <v>0</v>
      </c>
      <c r="AG2621" s="1"/>
    </row>
    <row r="2622" ht="21.0" customHeight="1">
      <c r="A2622" s="1"/>
      <c r="B2622" s="48" t="s">
        <v>43</v>
      </c>
      <c r="C2622" s="49"/>
      <c r="D2622" s="86" t="b">
        <v>0</v>
      </c>
      <c r="E2622" s="66"/>
      <c r="F2622" s="52" t="s">
        <v>37</v>
      </c>
      <c r="G2622" s="67"/>
      <c r="H2622" s="80"/>
      <c r="I2622" s="69"/>
      <c r="J2622" s="72"/>
      <c r="K2622" s="73"/>
      <c r="L2622" s="72"/>
      <c r="M2622" s="73"/>
      <c r="N2622" s="72"/>
      <c r="O2622" s="73"/>
      <c r="P2622" s="72"/>
      <c r="Q2622" s="73"/>
      <c r="R2622" s="72"/>
      <c r="S2622" s="73"/>
      <c r="T2622" s="72"/>
      <c r="U2622" s="73"/>
      <c r="V2622" s="72"/>
      <c r="W2622" s="73"/>
      <c r="X2622" s="72"/>
      <c r="Y2622" s="73"/>
      <c r="Z2622" s="74" t="b">
        <v>0</v>
      </c>
      <c r="AA2622" s="130">
        <f t="shared" si="1045"/>
        <v>0</v>
      </c>
      <c r="AB2622" s="131">
        <f t="shared" si="1046"/>
        <v>0</v>
      </c>
      <c r="AC2622" s="132">
        <f t="shared" si="1047"/>
        <v>0</v>
      </c>
      <c r="AD2622" s="133">
        <f t="shared" si="1048"/>
        <v>0</v>
      </c>
      <c r="AE2622" s="131">
        <f t="shared" si="1049"/>
        <v>0</v>
      </c>
      <c r="AF2622" s="133">
        <f t="shared" si="1050"/>
        <v>0</v>
      </c>
      <c r="AG2622" s="1"/>
    </row>
    <row r="2623" ht="21.0" customHeight="1">
      <c r="A2623" s="1"/>
      <c r="B2623" s="87" t="str">
        <f t="array" ref="B2623">"📌최근 인바디 결과 : "&amp;text(xlookup(B2615,'현황'!O:O,'현황'!O:O,,-1,-1),"m/d(ddd)")</f>
        <v>#REF!</v>
      </c>
      <c r="C2623" s="88"/>
      <c r="D2623" s="49"/>
      <c r="E2623" s="41"/>
      <c r="F2623" s="52" t="s">
        <v>40</v>
      </c>
      <c r="G2623" s="79"/>
      <c r="H2623" s="80"/>
      <c r="I2623" s="69"/>
      <c r="J2623" s="72"/>
      <c r="K2623" s="73"/>
      <c r="L2623" s="72"/>
      <c r="M2623" s="73"/>
      <c r="N2623" s="72"/>
      <c r="O2623" s="73"/>
      <c r="P2623" s="72"/>
      <c r="Q2623" s="73"/>
      <c r="R2623" s="72"/>
      <c r="S2623" s="73"/>
      <c r="T2623" s="72"/>
      <c r="U2623" s="73"/>
      <c r="V2623" s="72"/>
      <c r="W2623" s="73"/>
      <c r="X2623" s="72"/>
      <c r="Y2623" s="73"/>
      <c r="Z2623" s="74" t="b">
        <v>0</v>
      </c>
      <c r="AA2623" s="130">
        <f t="shared" si="1045"/>
        <v>0</v>
      </c>
      <c r="AB2623" s="131">
        <f t="shared" si="1046"/>
        <v>0</v>
      </c>
      <c r="AC2623" s="132">
        <f t="shared" si="1047"/>
        <v>0</v>
      </c>
      <c r="AD2623" s="133">
        <f t="shared" si="1048"/>
        <v>0</v>
      </c>
      <c r="AE2623" s="131">
        <f t="shared" si="1049"/>
        <v>0</v>
      </c>
      <c r="AF2623" s="133">
        <f t="shared" si="1050"/>
        <v>0</v>
      </c>
      <c r="AG2623" s="1"/>
    </row>
    <row r="2624" ht="21.0" customHeight="1">
      <c r="A2624" s="1"/>
      <c r="B2624" s="89" t="s">
        <v>44</v>
      </c>
      <c r="C2624" s="49"/>
      <c r="D2624" s="90">
        <f t="array" ref="D2624">iferror(vlookup(xlookup(B2615,'현황'!O:O,'현황'!O:O,,-1,-1),'현황'!O:S,2,false),0)</f>
        <v>0</v>
      </c>
      <c r="E2624" s="51" t="s">
        <v>45</v>
      </c>
      <c r="F2624" s="52" t="s">
        <v>34</v>
      </c>
      <c r="G2624" s="83"/>
      <c r="H2624" s="84"/>
      <c r="I2624" s="85"/>
      <c r="J2624" s="72"/>
      <c r="K2624" s="73"/>
      <c r="L2624" s="72"/>
      <c r="M2624" s="73"/>
      <c r="N2624" s="72"/>
      <c r="O2624" s="73"/>
      <c r="P2624" s="72"/>
      <c r="Q2624" s="73"/>
      <c r="R2624" s="72"/>
      <c r="S2624" s="73"/>
      <c r="T2624" s="72"/>
      <c r="U2624" s="73"/>
      <c r="V2624" s="72"/>
      <c r="W2624" s="73"/>
      <c r="X2624" s="72"/>
      <c r="Y2624" s="73"/>
      <c r="Z2624" s="74" t="b">
        <v>0</v>
      </c>
      <c r="AA2624" s="130">
        <f t="shared" si="1045"/>
        <v>0</v>
      </c>
      <c r="AB2624" s="131">
        <f t="shared" si="1046"/>
        <v>0</v>
      </c>
      <c r="AC2624" s="132">
        <f t="shared" si="1047"/>
        <v>0</v>
      </c>
      <c r="AD2624" s="133">
        <f t="shared" si="1048"/>
        <v>0</v>
      </c>
      <c r="AE2624" s="131">
        <f t="shared" si="1049"/>
        <v>0</v>
      </c>
      <c r="AF2624" s="133">
        <f t="shared" si="1050"/>
        <v>0</v>
      </c>
      <c r="AG2624" s="1"/>
    </row>
    <row r="2625" ht="21.0" customHeight="1">
      <c r="A2625" s="1"/>
      <c r="B2625" s="48" t="s">
        <v>46</v>
      </c>
      <c r="C2625" s="49"/>
      <c r="D2625" s="91">
        <f t="array" ref="D2625">iferror(vlookup(xlookup(B2615,'현황'!O:O,'현황'!O:O,,-1,-1),'현황'!O:S,3,false),0)</f>
        <v>0</v>
      </c>
      <c r="E2625" s="66"/>
      <c r="F2625" s="52" t="s">
        <v>37</v>
      </c>
      <c r="G2625" s="67"/>
      <c r="H2625" s="80"/>
      <c r="I2625" s="69"/>
      <c r="J2625" s="72"/>
      <c r="K2625" s="73"/>
      <c r="L2625" s="72"/>
      <c r="M2625" s="73"/>
      <c r="N2625" s="72"/>
      <c r="O2625" s="73"/>
      <c r="P2625" s="72"/>
      <c r="Q2625" s="73"/>
      <c r="R2625" s="72"/>
      <c r="S2625" s="73"/>
      <c r="T2625" s="72"/>
      <c r="U2625" s="73"/>
      <c r="V2625" s="72"/>
      <c r="W2625" s="73"/>
      <c r="X2625" s="72"/>
      <c r="Y2625" s="73"/>
      <c r="Z2625" s="74" t="b">
        <v>0</v>
      </c>
      <c r="AA2625" s="130">
        <f t="shared" si="1045"/>
        <v>0</v>
      </c>
      <c r="AB2625" s="131">
        <f t="shared" si="1046"/>
        <v>0</v>
      </c>
      <c r="AC2625" s="132">
        <f t="shared" si="1047"/>
        <v>0</v>
      </c>
      <c r="AD2625" s="133">
        <f t="shared" si="1048"/>
        <v>0</v>
      </c>
      <c r="AE2625" s="131">
        <f t="shared" si="1049"/>
        <v>0</v>
      </c>
      <c r="AF2625" s="133">
        <f t="shared" si="1050"/>
        <v>0</v>
      </c>
      <c r="AG2625" s="1"/>
    </row>
    <row r="2626" ht="21.0" customHeight="1">
      <c r="A2626" s="1"/>
      <c r="B2626" s="48" t="s">
        <v>47</v>
      </c>
      <c r="C2626" s="49"/>
      <c r="D2626" s="91">
        <f t="array" ref="D2626">iferror(vlookup(xlookup(B2615,'현황'!O:O,'현황'!O:O,,-1,-1),'현황'!O:S,4,false),0)</f>
        <v>0</v>
      </c>
      <c r="E2626" s="41"/>
      <c r="F2626" s="92" t="s">
        <v>40</v>
      </c>
      <c r="G2626" s="79"/>
      <c r="H2626" s="93"/>
      <c r="I2626" s="94"/>
      <c r="J2626" s="95"/>
      <c r="K2626" s="96"/>
      <c r="L2626" s="95"/>
      <c r="M2626" s="96"/>
      <c r="N2626" s="95"/>
      <c r="O2626" s="96"/>
      <c r="P2626" s="95"/>
      <c r="Q2626" s="96"/>
      <c r="R2626" s="95"/>
      <c r="S2626" s="96"/>
      <c r="T2626" s="95"/>
      <c r="U2626" s="96"/>
      <c r="V2626" s="95"/>
      <c r="W2626" s="96"/>
      <c r="X2626" s="95"/>
      <c r="Y2626" s="96"/>
      <c r="Z2626" s="97" t="b">
        <v>0</v>
      </c>
      <c r="AA2626" s="135">
        <f t="shared" si="1045"/>
        <v>0</v>
      </c>
      <c r="AB2626" s="136">
        <f t="shared" si="1046"/>
        <v>0</v>
      </c>
      <c r="AC2626" s="137">
        <f t="shared" si="1047"/>
        <v>0</v>
      </c>
      <c r="AD2626" s="138">
        <f t="shared" si="1048"/>
        <v>0</v>
      </c>
      <c r="AE2626" s="136">
        <f t="shared" si="1049"/>
        <v>0</v>
      </c>
      <c r="AF2626" s="138">
        <f t="shared" si="1050"/>
        <v>0</v>
      </c>
      <c r="AG2626" s="1"/>
    </row>
    <row r="2627" ht="21.0" customHeight="1">
      <c r="A2627" s="1"/>
      <c r="B2627" s="102" t="s">
        <v>48</v>
      </c>
      <c r="C2627" s="103"/>
      <c r="D2627" s="104">
        <f>iferror(D2626/D2624,0)</f>
        <v>0</v>
      </c>
      <c r="E2627" s="102" t="s">
        <v>49</v>
      </c>
      <c r="F2627" s="103"/>
      <c r="G2627" s="105"/>
      <c r="H2627" s="106" t="s">
        <v>50</v>
      </c>
      <c r="I2627" s="107"/>
      <c r="J2627" s="11"/>
      <c r="K2627" s="11"/>
      <c r="L2627" s="11"/>
      <c r="M2627" s="11"/>
      <c r="N2627" s="11"/>
      <c r="O2627" s="11"/>
      <c r="P2627" s="108" t="s">
        <v>51</v>
      </c>
      <c r="Q2627" s="12"/>
      <c r="R2627" s="109"/>
      <c r="S2627" s="11"/>
      <c r="T2627" s="11"/>
      <c r="U2627" s="11"/>
      <c r="V2627" s="11"/>
      <c r="W2627" s="11"/>
      <c r="X2627" s="11"/>
      <c r="Y2627" s="11"/>
      <c r="Z2627" s="12"/>
      <c r="AA2627" s="139">
        <f>SUM(AA2618:AA2626)</f>
        <v>0</v>
      </c>
      <c r="AB2627" s="140" t="s">
        <v>447</v>
      </c>
      <c r="AG2627" s="1"/>
    </row>
    <row r="2628" ht="21.0" customHeight="1">
      <c r="A2628" s="1"/>
      <c r="B2628" s="1"/>
      <c r="C2628" s="1"/>
      <c r="D2628" s="1"/>
      <c r="E2628" s="1"/>
      <c r="F2628" s="1"/>
      <c r="G2628" s="1"/>
      <c r="H2628" s="1"/>
      <c r="I2628" s="1"/>
      <c r="AA2628" s="1"/>
      <c r="AB2628" s="1"/>
      <c r="AC2628" s="3"/>
      <c r="AD2628" s="1"/>
      <c r="AE2628" s="1"/>
      <c r="AF2628" s="1"/>
      <c r="AG2628" s="1"/>
    </row>
    <row r="2629" ht="21.0" customHeight="1">
      <c r="A2629" s="1"/>
      <c r="B2629" s="4" t="s">
        <v>1</v>
      </c>
      <c r="C2629" s="5"/>
      <c r="D2629" s="6" t="s">
        <v>2</v>
      </c>
      <c r="E2629" s="7"/>
      <c r="F2629" s="7"/>
      <c r="G2629" s="5"/>
      <c r="H2629" s="8" t="s">
        <v>3</v>
      </c>
      <c r="I2629" s="8" t="s">
        <v>4</v>
      </c>
      <c r="J2629" s="9" t="s">
        <v>5</v>
      </c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5"/>
      <c r="AA2629" s="117" t="s">
        <v>6</v>
      </c>
      <c r="AB2629" s="11"/>
      <c r="AC2629" s="11"/>
      <c r="AD2629" s="11"/>
      <c r="AE2629" s="11"/>
      <c r="AF2629" s="12"/>
      <c r="AG2629" s="1"/>
    </row>
    <row r="2630" ht="21.0" customHeight="1">
      <c r="A2630" s="1"/>
      <c r="B2630" s="149" t="s">
        <v>138</v>
      </c>
      <c r="C2630" s="14" t="str">
        <f>if(B2630="0/0","",choose(weekday(B2630),"(일)","(월)","(화)","(수)","(목)","(금)","(토)"))</f>
        <v/>
      </c>
      <c r="D2630" s="15" t="s">
        <v>7</v>
      </c>
      <c r="E2630" s="16" t="s">
        <v>8</v>
      </c>
      <c r="F2630" s="17"/>
      <c r="G2630" s="18" t="s">
        <v>9</v>
      </c>
      <c r="H2630" s="150" t="s">
        <v>139</v>
      </c>
      <c r="I2630" s="151"/>
      <c r="J2630" s="21" t="s">
        <v>12</v>
      </c>
      <c r="K2630" s="22"/>
      <c r="L2630" s="21" t="s">
        <v>13</v>
      </c>
      <c r="M2630" s="22"/>
      <c r="N2630" s="21" t="s">
        <v>14</v>
      </c>
      <c r="O2630" s="22"/>
      <c r="P2630" s="21" t="s">
        <v>15</v>
      </c>
      <c r="Q2630" s="22"/>
      <c r="R2630" s="23" t="s">
        <v>16</v>
      </c>
      <c r="S2630" s="22"/>
      <c r="T2630" s="23" t="s">
        <v>17</v>
      </c>
      <c r="U2630" s="22"/>
      <c r="V2630" s="23" t="s">
        <v>18</v>
      </c>
      <c r="W2630" s="22"/>
      <c r="X2630" s="23" t="s">
        <v>19</v>
      </c>
      <c r="Y2630" s="22"/>
      <c r="Z2630" s="24" t="s">
        <v>448</v>
      </c>
      <c r="AA2630" s="118" t="s">
        <v>21</v>
      </c>
      <c r="AB2630" s="119" t="s">
        <v>22</v>
      </c>
      <c r="AC2630" s="7"/>
      <c r="AD2630" s="22"/>
      <c r="AE2630" s="120" t="s">
        <v>23</v>
      </c>
      <c r="AF2630" s="22"/>
      <c r="AG2630" s="1"/>
    </row>
    <row r="2631" ht="21.0" customHeight="1">
      <c r="A2631" s="1"/>
      <c r="B2631" s="27">
        <f>iferror(B2630-'현황'!$C$4+1,0)</f>
        <v>0</v>
      </c>
      <c r="C2631" s="28"/>
      <c r="D2631" s="29">
        <v>0.0</v>
      </c>
      <c r="E2631" s="30">
        <v>0.0</v>
      </c>
      <c r="F2631" s="31"/>
      <c r="G2631" s="32">
        <v>0.0</v>
      </c>
      <c r="H2631" s="33">
        <v>0.0</v>
      </c>
      <c r="I2631" s="34"/>
      <c r="J2631" s="35"/>
      <c r="K2631" s="36"/>
      <c r="L2631" s="35"/>
      <c r="M2631" s="36"/>
      <c r="N2631" s="35"/>
      <c r="O2631" s="36"/>
      <c r="P2631" s="35"/>
      <c r="Q2631" s="36"/>
      <c r="R2631" s="35"/>
      <c r="S2631" s="36"/>
      <c r="T2631" s="35"/>
      <c r="U2631" s="36"/>
      <c r="V2631" s="35"/>
      <c r="W2631" s="36"/>
      <c r="X2631" s="35"/>
      <c r="Y2631" s="36"/>
      <c r="Z2631" s="37"/>
      <c r="AA2631" s="37"/>
      <c r="AB2631" s="35"/>
      <c r="AC2631" s="38"/>
      <c r="AD2631" s="36"/>
      <c r="AE2631" s="35"/>
      <c r="AF2631" s="36"/>
      <c r="AG2631" s="1"/>
    </row>
    <row r="2632" ht="21.0" customHeight="1">
      <c r="A2632" s="1"/>
      <c r="B2632" s="39" t="s">
        <v>24</v>
      </c>
      <c r="C2632" s="40"/>
      <c r="D2632" s="41"/>
      <c r="E2632" s="42" t="s">
        <v>25</v>
      </c>
      <c r="F2632" s="40"/>
      <c r="G2632" s="41"/>
      <c r="H2632" s="43" t="s">
        <v>26</v>
      </c>
      <c r="J2632" s="44" t="s">
        <v>27</v>
      </c>
      <c r="K2632" s="45" t="s">
        <v>28</v>
      </c>
      <c r="L2632" s="44" t="s">
        <v>27</v>
      </c>
      <c r="M2632" s="45" t="s">
        <v>28</v>
      </c>
      <c r="N2632" s="44" t="s">
        <v>27</v>
      </c>
      <c r="O2632" s="45" t="s">
        <v>28</v>
      </c>
      <c r="P2632" s="44" t="s">
        <v>27</v>
      </c>
      <c r="Q2632" s="45" t="s">
        <v>28</v>
      </c>
      <c r="R2632" s="44" t="s">
        <v>27</v>
      </c>
      <c r="S2632" s="45" t="s">
        <v>28</v>
      </c>
      <c r="T2632" s="44" t="s">
        <v>27</v>
      </c>
      <c r="U2632" s="45" t="s">
        <v>28</v>
      </c>
      <c r="V2632" s="44" t="s">
        <v>27</v>
      </c>
      <c r="W2632" s="45" t="s">
        <v>28</v>
      </c>
      <c r="X2632" s="44" t="s">
        <v>27</v>
      </c>
      <c r="Y2632" s="45" t="s">
        <v>28</v>
      </c>
      <c r="Z2632" s="46"/>
      <c r="AA2632" s="46"/>
      <c r="AB2632" s="121" t="s">
        <v>29</v>
      </c>
      <c r="AC2632" s="122" t="s">
        <v>30</v>
      </c>
      <c r="AD2632" s="123" t="s">
        <v>31</v>
      </c>
      <c r="AE2632" s="121" t="s">
        <v>27</v>
      </c>
      <c r="AF2632" s="123" t="s">
        <v>28</v>
      </c>
      <c r="AG2632" s="1"/>
    </row>
    <row r="2633" ht="21.0" customHeight="1">
      <c r="A2633" s="1"/>
      <c r="B2633" s="48" t="s">
        <v>32</v>
      </c>
      <c r="C2633" s="49"/>
      <c r="D2633" s="50"/>
      <c r="E2633" s="51" t="s">
        <v>33</v>
      </c>
      <c r="F2633" s="52" t="s">
        <v>34</v>
      </c>
      <c r="G2633" s="53"/>
      <c r="H2633" s="148"/>
      <c r="I2633" s="55"/>
      <c r="J2633" s="58"/>
      <c r="K2633" s="59"/>
      <c r="L2633" s="58"/>
      <c r="M2633" s="59"/>
      <c r="N2633" s="58"/>
      <c r="O2633" s="59"/>
      <c r="P2633" s="58"/>
      <c r="Q2633" s="59"/>
      <c r="R2633" s="58"/>
      <c r="S2633" s="59"/>
      <c r="T2633" s="58"/>
      <c r="U2633" s="59"/>
      <c r="V2633" s="58"/>
      <c r="W2633" s="59"/>
      <c r="X2633" s="58"/>
      <c r="Y2633" s="59"/>
      <c r="Z2633" s="60" t="b">
        <v>0</v>
      </c>
      <c r="AA2633" s="125">
        <f t="shared" ref="AA2633:AA2641" si="1051">(J2633*K2633+L2633*M2633+N2633*O2633+P2633*Q2633+R2633*S2633+T2633*U2633+V2633*W2633+X2633*Y2633)*if(Z2633=true,0.453592,1)</f>
        <v>0</v>
      </c>
      <c r="AB2633" s="126">
        <f t="shared" ref="AB2633:AB2641" si="1052">SUM(AE2633*AF2633*0.025,AE2633)</f>
        <v>0</v>
      </c>
      <c r="AC2633" s="127">
        <f t="shared" ref="AC2633:AC2641" si="1053">AB2633*87%</f>
        <v>0</v>
      </c>
      <c r="AD2633" s="128">
        <f t="shared" ref="AD2633:AD2641" si="1054">AB2633*67%</f>
        <v>0</v>
      </c>
      <c r="AE2633" s="126">
        <f t="shared" ref="AE2633:AE2641" si="1055">MAX(J2633,L2633,N2633,P2633,R2633,T2633,V2633,X2633)*if(Z2633=true,0.453592,1)</f>
        <v>0</v>
      </c>
      <c r="AF2633" s="128">
        <f t="shared" ref="AF2633:AF2641" si="1056">MAX(IF(J2633*if(Z2633=true,0.453592,1)=$AE2633,K2633,0),IF(L2633*if(Z2633=true,0.453592,1)=$AE2633,M2633,0),IF(N2633*if(Z2633=true,0.453592,1)=$AE2633,O2633,0),IF(P2633*if(Z2633=true,0.453592,1)=$AE2633,Q2633,0),IF(R2633*if(Z2633=true,0.453592,1)=$AE2633,S2633,0),IF(T2633*if(Z2633=true,0.453592,1)=$AE2633,U2633,0),IF(V2633*if(Z2633=true,0.453592,1)=$AE2633,W2633,0),IF(X2633*if(Z2633=true,0.453592,1)=$AE2633,Y2633,0))</f>
        <v>0</v>
      </c>
      <c r="AG2633" s="1"/>
    </row>
    <row r="2634" ht="21.0" customHeight="1">
      <c r="A2634" s="1"/>
      <c r="B2634" s="48" t="s">
        <v>36</v>
      </c>
      <c r="C2634" s="49"/>
      <c r="D2634" s="65"/>
      <c r="E2634" s="66"/>
      <c r="F2634" s="52" t="s">
        <v>37</v>
      </c>
      <c r="G2634" s="67"/>
      <c r="H2634" s="129"/>
      <c r="I2634" s="69"/>
      <c r="J2634" s="72"/>
      <c r="K2634" s="73"/>
      <c r="L2634" s="72"/>
      <c r="M2634" s="73"/>
      <c r="N2634" s="72"/>
      <c r="O2634" s="73"/>
      <c r="P2634" s="72"/>
      <c r="Q2634" s="73"/>
      <c r="R2634" s="72"/>
      <c r="S2634" s="73"/>
      <c r="T2634" s="72"/>
      <c r="U2634" s="73"/>
      <c r="V2634" s="72"/>
      <c r="W2634" s="73"/>
      <c r="X2634" s="72"/>
      <c r="Y2634" s="73"/>
      <c r="Z2634" s="74" t="b">
        <v>0</v>
      </c>
      <c r="AA2634" s="130">
        <f t="shared" si="1051"/>
        <v>0</v>
      </c>
      <c r="AB2634" s="131">
        <f t="shared" si="1052"/>
        <v>0</v>
      </c>
      <c r="AC2634" s="132">
        <f t="shared" si="1053"/>
        <v>0</v>
      </c>
      <c r="AD2634" s="133">
        <f t="shared" si="1054"/>
        <v>0</v>
      </c>
      <c r="AE2634" s="131">
        <f t="shared" si="1055"/>
        <v>0</v>
      </c>
      <c r="AF2634" s="133">
        <f t="shared" si="1056"/>
        <v>0</v>
      </c>
      <c r="AG2634" s="1"/>
    </row>
    <row r="2635" ht="21.0" customHeight="1">
      <c r="A2635" s="1"/>
      <c r="B2635" s="48" t="s">
        <v>39</v>
      </c>
      <c r="C2635" s="49"/>
      <c r="D2635" s="65"/>
      <c r="E2635" s="41"/>
      <c r="F2635" s="52" t="s">
        <v>40</v>
      </c>
      <c r="G2635" s="79"/>
      <c r="H2635" s="80"/>
      <c r="I2635" s="69"/>
      <c r="J2635" s="72"/>
      <c r="K2635" s="73"/>
      <c r="L2635" s="72"/>
      <c r="M2635" s="73"/>
      <c r="N2635" s="72"/>
      <c r="O2635" s="73"/>
      <c r="P2635" s="72"/>
      <c r="Q2635" s="73"/>
      <c r="R2635" s="72"/>
      <c r="S2635" s="73"/>
      <c r="T2635" s="72"/>
      <c r="U2635" s="73"/>
      <c r="V2635" s="72"/>
      <c r="W2635" s="73"/>
      <c r="X2635" s="72"/>
      <c r="Y2635" s="73"/>
      <c r="Z2635" s="74" t="b">
        <v>0</v>
      </c>
      <c r="AA2635" s="130">
        <f t="shared" si="1051"/>
        <v>0</v>
      </c>
      <c r="AB2635" s="131">
        <f t="shared" si="1052"/>
        <v>0</v>
      </c>
      <c r="AC2635" s="132">
        <f t="shared" si="1053"/>
        <v>0</v>
      </c>
      <c r="AD2635" s="133">
        <f t="shared" si="1054"/>
        <v>0</v>
      </c>
      <c r="AE2635" s="131">
        <f t="shared" si="1055"/>
        <v>0</v>
      </c>
      <c r="AF2635" s="133">
        <f t="shared" si="1056"/>
        <v>0</v>
      </c>
      <c r="AG2635" s="1"/>
    </row>
    <row r="2636" ht="21.0" customHeight="1">
      <c r="A2636" s="1"/>
      <c r="B2636" s="48" t="s">
        <v>41</v>
      </c>
      <c r="C2636" s="81"/>
      <c r="D2636" s="82" t="b">
        <v>0</v>
      </c>
      <c r="E2636" s="51" t="s">
        <v>42</v>
      </c>
      <c r="F2636" s="52" t="s">
        <v>34</v>
      </c>
      <c r="G2636" s="83"/>
      <c r="H2636" s="84"/>
      <c r="I2636" s="85"/>
      <c r="J2636" s="72"/>
      <c r="K2636" s="73"/>
      <c r="L2636" s="72"/>
      <c r="M2636" s="73"/>
      <c r="N2636" s="72"/>
      <c r="O2636" s="73"/>
      <c r="P2636" s="72"/>
      <c r="Q2636" s="73"/>
      <c r="R2636" s="72"/>
      <c r="S2636" s="73"/>
      <c r="T2636" s="72"/>
      <c r="U2636" s="73"/>
      <c r="V2636" s="72"/>
      <c r="W2636" s="73"/>
      <c r="X2636" s="72"/>
      <c r="Y2636" s="73"/>
      <c r="Z2636" s="74" t="b">
        <v>0</v>
      </c>
      <c r="AA2636" s="130">
        <f t="shared" si="1051"/>
        <v>0</v>
      </c>
      <c r="AB2636" s="131">
        <f t="shared" si="1052"/>
        <v>0</v>
      </c>
      <c r="AC2636" s="132">
        <f t="shared" si="1053"/>
        <v>0</v>
      </c>
      <c r="AD2636" s="133">
        <f t="shared" si="1054"/>
        <v>0</v>
      </c>
      <c r="AE2636" s="131">
        <f t="shared" si="1055"/>
        <v>0</v>
      </c>
      <c r="AF2636" s="133">
        <f t="shared" si="1056"/>
        <v>0</v>
      </c>
      <c r="AG2636" s="1"/>
    </row>
    <row r="2637" ht="21.0" customHeight="1">
      <c r="A2637" s="1"/>
      <c r="B2637" s="48" t="s">
        <v>43</v>
      </c>
      <c r="C2637" s="49"/>
      <c r="D2637" s="86" t="b">
        <v>0</v>
      </c>
      <c r="E2637" s="66"/>
      <c r="F2637" s="52" t="s">
        <v>37</v>
      </c>
      <c r="G2637" s="67"/>
      <c r="H2637" s="80"/>
      <c r="I2637" s="69"/>
      <c r="J2637" s="72"/>
      <c r="K2637" s="73"/>
      <c r="L2637" s="72"/>
      <c r="M2637" s="73"/>
      <c r="N2637" s="72"/>
      <c r="O2637" s="73"/>
      <c r="P2637" s="72"/>
      <c r="Q2637" s="73"/>
      <c r="R2637" s="72"/>
      <c r="S2637" s="73"/>
      <c r="T2637" s="72"/>
      <c r="U2637" s="73"/>
      <c r="V2637" s="72"/>
      <c r="W2637" s="73"/>
      <c r="X2637" s="72"/>
      <c r="Y2637" s="73"/>
      <c r="Z2637" s="74" t="b">
        <v>0</v>
      </c>
      <c r="AA2637" s="130">
        <f t="shared" si="1051"/>
        <v>0</v>
      </c>
      <c r="AB2637" s="131">
        <f t="shared" si="1052"/>
        <v>0</v>
      </c>
      <c r="AC2637" s="132">
        <f t="shared" si="1053"/>
        <v>0</v>
      </c>
      <c r="AD2637" s="133">
        <f t="shared" si="1054"/>
        <v>0</v>
      </c>
      <c r="AE2637" s="131">
        <f t="shared" si="1055"/>
        <v>0</v>
      </c>
      <c r="AF2637" s="133">
        <f t="shared" si="1056"/>
        <v>0</v>
      </c>
      <c r="AG2637" s="1"/>
    </row>
    <row r="2638" ht="21.0" customHeight="1">
      <c r="A2638" s="1"/>
      <c r="B2638" s="87" t="str">
        <f t="array" ref="B2638">"📌최근 인바디 결과 : "&amp;text(xlookup(B2630,'현황'!O:O,'현황'!O:O,,-1,-1),"m/d(ddd)")</f>
        <v>#REF!</v>
      </c>
      <c r="C2638" s="88"/>
      <c r="D2638" s="49"/>
      <c r="E2638" s="41"/>
      <c r="F2638" s="52" t="s">
        <v>40</v>
      </c>
      <c r="G2638" s="79"/>
      <c r="H2638" s="80"/>
      <c r="I2638" s="69"/>
      <c r="J2638" s="72"/>
      <c r="K2638" s="73"/>
      <c r="L2638" s="72"/>
      <c r="M2638" s="73"/>
      <c r="N2638" s="72"/>
      <c r="O2638" s="73"/>
      <c r="P2638" s="72"/>
      <c r="Q2638" s="73"/>
      <c r="R2638" s="72"/>
      <c r="S2638" s="73"/>
      <c r="T2638" s="72"/>
      <c r="U2638" s="73"/>
      <c r="V2638" s="72"/>
      <c r="W2638" s="73"/>
      <c r="X2638" s="72"/>
      <c r="Y2638" s="73"/>
      <c r="Z2638" s="74" t="b">
        <v>0</v>
      </c>
      <c r="AA2638" s="130">
        <f t="shared" si="1051"/>
        <v>0</v>
      </c>
      <c r="AB2638" s="131">
        <f t="shared" si="1052"/>
        <v>0</v>
      </c>
      <c r="AC2638" s="132">
        <f t="shared" si="1053"/>
        <v>0</v>
      </c>
      <c r="AD2638" s="133">
        <f t="shared" si="1054"/>
        <v>0</v>
      </c>
      <c r="AE2638" s="131">
        <f t="shared" si="1055"/>
        <v>0</v>
      </c>
      <c r="AF2638" s="133">
        <f t="shared" si="1056"/>
        <v>0</v>
      </c>
      <c r="AG2638" s="1"/>
    </row>
    <row r="2639" ht="21.0" customHeight="1">
      <c r="A2639" s="1"/>
      <c r="B2639" s="89" t="s">
        <v>44</v>
      </c>
      <c r="C2639" s="49"/>
      <c r="D2639" s="90">
        <f t="array" ref="D2639">iferror(vlookup(xlookup(B2630,'현황'!O:O,'현황'!O:O,,-1,-1),'현황'!O:S,2,false),0)</f>
        <v>0</v>
      </c>
      <c r="E2639" s="51" t="s">
        <v>45</v>
      </c>
      <c r="F2639" s="52" t="s">
        <v>34</v>
      </c>
      <c r="G2639" s="83"/>
      <c r="H2639" s="84"/>
      <c r="I2639" s="85"/>
      <c r="J2639" s="72"/>
      <c r="K2639" s="73"/>
      <c r="L2639" s="72"/>
      <c r="M2639" s="73"/>
      <c r="N2639" s="72"/>
      <c r="O2639" s="73"/>
      <c r="P2639" s="72"/>
      <c r="Q2639" s="73"/>
      <c r="R2639" s="72"/>
      <c r="S2639" s="73"/>
      <c r="T2639" s="72"/>
      <c r="U2639" s="73"/>
      <c r="V2639" s="72"/>
      <c r="W2639" s="73"/>
      <c r="X2639" s="72"/>
      <c r="Y2639" s="73"/>
      <c r="Z2639" s="74" t="b">
        <v>0</v>
      </c>
      <c r="AA2639" s="130">
        <f t="shared" si="1051"/>
        <v>0</v>
      </c>
      <c r="AB2639" s="131">
        <f t="shared" si="1052"/>
        <v>0</v>
      </c>
      <c r="AC2639" s="132">
        <f t="shared" si="1053"/>
        <v>0</v>
      </c>
      <c r="AD2639" s="133">
        <f t="shared" si="1054"/>
        <v>0</v>
      </c>
      <c r="AE2639" s="131">
        <f t="shared" si="1055"/>
        <v>0</v>
      </c>
      <c r="AF2639" s="133">
        <f t="shared" si="1056"/>
        <v>0</v>
      </c>
      <c r="AG2639" s="1"/>
    </row>
    <row r="2640" ht="21.0" customHeight="1">
      <c r="A2640" s="1"/>
      <c r="B2640" s="48" t="s">
        <v>46</v>
      </c>
      <c r="C2640" s="49"/>
      <c r="D2640" s="91">
        <f t="array" ref="D2640">iferror(vlookup(xlookup(B2630,'현황'!O:O,'현황'!O:O,,-1,-1),'현황'!O:S,3,false),0)</f>
        <v>0</v>
      </c>
      <c r="E2640" s="66"/>
      <c r="F2640" s="52" t="s">
        <v>37</v>
      </c>
      <c r="G2640" s="67"/>
      <c r="H2640" s="80"/>
      <c r="I2640" s="69"/>
      <c r="J2640" s="72"/>
      <c r="K2640" s="73"/>
      <c r="L2640" s="72"/>
      <c r="M2640" s="73"/>
      <c r="N2640" s="72"/>
      <c r="O2640" s="73"/>
      <c r="P2640" s="72"/>
      <c r="Q2640" s="73"/>
      <c r="R2640" s="72"/>
      <c r="S2640" s="73"/>
      <c r="T2640" s="72"/>
      <c r="U2640" s="73"/>
      <c r="V2640" s="72"/>
      <c r="W2640" s="73"/>
      <c r="X2640" s="72"/>
      <c r="Y2640" s="73"/>
      <c r="Z2640" s="74" t="b">
        <v>0</v>
      </c>
      <c r="AA2640" s="130">
        <f t="shared" si="1051"/>
        <v>0</v>
      </c>
      <c r="AB2640" s="131">
        <f t="shared" si="1052"/>
        <v>0</v>
      </c>
      <c r="AC2640" s="132">
        <f t="shared" si="1053"/>
        <v>0</v>
      </c>
      <c r="AD2640" s="133">
        <f t="shared" si="1054"/>
        <v>0</v>
      </c>
      <c r="AE2640" s="131">
        <f t="shared" si="1055"/>
        <v>0</v>
      </c>
      <c r="AF2640" s="133">
        <f t="shared" si="1056"/>
        <v>0</v>
      </c>
      <c r="AG2640" s="1"/>
    </row>
    <row r="2641" ht="21.0" customHeight="1">
      <c r="A2641" s="1"/>
      <c r="B2641" s="48" t="s">
        <v>47</v>
      </c>
      <c r="C2641" s="49"/>
      <c r="D2641" s="91">
        <f t="array" ref="D2641">iferror(vlookup(xlookup(B2630,'현황'!O:O,'현황'!O:O,,-1,-1),'현황'!O:S,4,false),0)</f>
        <v>0</v>
      </c>
      <c r="E2641" s="41"/>
      <c r="F2641" s="92" t="s">
        <v>40</v>
      </c>
      <c r="G2641" s="79"/>
      <c r="H2641" s="93"/>
      <c r="I2641" s="94"/>
      <c r="J2641" s="95"/>
      <c r="K2641" s="96"/>
      <c r="L2641" s="95"/>
      <c r="M2641" s="96"/>
      <c r="N2641" s="95"/>
      <c r="O2641" s="96"/>
      <c r="P2641" s="95"/>
      <c r="Q2641" s="96"/>
      <c r="R2641" s="95"/>
      <c r="S2641" s="96"/>
      <c r="T2641" s="95"/>
      <c r="U2641" s="96"/>
      <c r="V2641" s="95"/>
      <c r="W2641" s="96"/>
      <c r="X2641" s="95"/>
      <c r="Y2641" s="96"/>
      <c r="Z2641" s="97" t="b">
        <v>0</v>
      </c>
      <c r="AA2641" s="135">
        <f t="shared" si="1051"/>
        <v>0</v>
      </c>
      <c r="AB2641" s="136">
        <f t="shared" si="1052"/>
        <v>0</v>
      </c>
      <c r="AC2641" s="137">
        <f t="shared" si="1053"/>
        <v>0</v>
      </c>
      <c r="AD2641" s="138">
        <f t="shared" si="1054"/>
        <v>0</v>
      </c>
      <c r="AE2641" s="136">
        <f t="shared" si="1055"/>
        <v>0</v>
      </c>
      <c r="AF2641" s="138">
        <f t="shared" si="1056"/>
        <v>0</v>
      </c>
      <c r="AG2641" s="1"/>
    </row>
    <row r="2642" ht="21.0" customHeight="1">
      <c r="A2642" s="1"/>
      <c r="B2642" s="102" t="s">
        <v>48</v>
      </c>
      <c r="C2642" s="103"/>
      <c r="D2642" s="104">
        <f>iferror(D2641/D2639,0)</f>
        <v>0</v>
      </c>
      <c r="E2642" s="102" t="s">
        <v>49</v>
      </c>
      <c r="F2642" s="103"/>
      <c r="G2642" s="105"/>
      <c r="H2642" s="143" t="s">
        <v>50</v>
      </c>
      <c r="I2642" s="144"/>
      <c r="J2642" s="11"/>
      <c r="K2642" s="11"/>
      <c r="L2642" s="11"/>
      <c r="M2642" s="11"/>
      <c r="N2642" s="11"/>
      <c r="O2642" s="11"/>
      <c r="P2642" s="145" t="s">
        <v>51</v>
      </c>
      <c r="Q2642" s="12"/>
      <c r="R2642" s="146"/>
      <c r="S2642" s="11"/>
      <c r="T2642" s="11"/>
      <c r="U2642" s="11"/>
      <c r="V2642" s="11"/>
      <c r="W2642" s="11"/>
      <c r="X2642" s="11"/>
      <c r="Y2642" s="11"/>
      <c r="Z2642" s="12"/>
      <c r="AA2642" s="139">
        <f>SUM(AA2633:AA2641)</f>
        <v>0</v>
      </c>
      <c r="AB2642" s="140" t="s">
        <v>449</v>
      </c>
      <c r="AG2642" s="1"/>
    </row>
    <row r="2643" ht="21.0" customHeight="1">
      <c r="A2643" s="1"/>
      <c r="B2643" s="1"/>
      <c r="C2643" s="1"/>
      <c r="D2643" s="1"/>
      <c r="E2643" s="1"/>
      <c r="F2643" s="1"/>
      <c r="G2643" s="1"/>
      <c r="H2643" s="1"/>
      <c r="I2643" s="1"/>
      <c r="AA2643" s="1"/>
      <c r="AB2643" s="1"/>
      <c r="AC2643" s="3"/>
      <c r="AD2643" s="1"/>
      <c r="AE2643" s="1"/>
      <c r="AF2643" s="1"/>
      <c r="AG2643" s="1"/>
    </row>
    <row r="2644" ht="21.0" customHeight="1">
      <c r="A2644" s="1"/>
      <c r="B2644" s="4" t="s">
        <v>1</v>
      </c>
      <c r="C2644" s="5"/>
      <c r="D2644" s="6" t="s">
        <v>2</v>
      </c>
      <c r="E2644" s="7"/>
      <c r="F2644" s="7"/>
      <c r="G2644" s="5"/>
      <c r="H2644" s="8" t="s">
        <v>3</v>
      </c>
      <c r="I2644" s="8" t="s">
        <v>4</v>
      </c>
      <c r="J2644" s="9" t="s">
        <v>5</v>
      </c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5"/>
      <c r="AA2644" s="117" t="s">
        <v>6</v>
      </c>
      <c r="AB2644" s="11"/>
      <c r="AC2644" s="11"/>
      <c r="AD2644" s="11"/>
      <c r="AE2644" s="11"/>
      <c r="AF2644" s="12"/>
      <c r="AG2644" s="1"/>
    </row>
    <row r="2645" ht="21.0" customHeight="1">
      <c r="A2645" s="1"/>
      <c r="B2645" s="149" t="s">
        <v>138</v>
      </c>
      <c r="C2645" s="14" t="str">
        <f>if(B2645="0/0","",choose(weekday(B2645),"(일)","(월)","(화)","(수)","(목)","(금)","(토)"))</f>
        <v/>
      </c>
      <c r="D2645" s="15" t="s">
        <v>7</v>
      </c>
      <c r="E2645" s="16" t="s">
        <v>8</v>
      </c>
      <c r="F2645" s="17"/>
      <c r="G2645" s="18" t="s">
        <v>9</v>
      </c>
      <c r="H2645" s="150" t="s">
        <v>139</v>
      </c>
      <c r="I2645" s="151"/>
      <c r="J2645" s="21" t="s">
        <v>12</v>
      </c>
      <c r="K2645" s="22"/>
      <c r="L2645" s="21" t="s">
        <v>13</v>
      </c>
      <c r="M2645" s="22"/>
      <c r="N2645" s="21" t="s">
        <v>14</v>
      </c>
      <c r="O2645" s="22"/>
      <c r="P2645" s="21" t="s">
        <v>15</v>
      </c>
      <c r="Q2645" s="22"/>
      <c r="R2645" s="23" t="s">
        <v>16</v>
      </c>
      <c r="S2645" s="22"/>
      <c r="T2645" s="23" t="s">
        <v>17</v>
      </c>
      <c r="U2645" s="22"/>
      <c r="V2645" s="23" t="s">
        <v>18</v>
      </c>
      <c r="W2645" s="22"/>
      <c r="X2645" s="23" t="s">
        <v>19</v>
      </c>
      <c r="Y2645" s="22"/>
      <c r="Z2645" s="24" t="s">
        <v>450</v>
      </c>
      <c r="AA2645" s="118" t="s">
        <v>21</v>
      </c>
      <c r="AB2645" s="119" t="s">
        <v>22</v>
      </c>
      <c r="AC2645" s="7"/>
      <c r="AD2645" s="22"/>
      <c r="AE2645" s="120" t="s">
        <v>23</v>
      </c>
      <c r="AF2645" s="22"/>
      <c r="AG2645" s="1"/>
    </row>
    <row r="2646" ht="21.0" customHeight="1">
      <c r="A2646" s="1"/>
      <c r="B2646" s="27">
        <f>iferror(B2645-'현황'!$C$4+1,0)</f>
        <v>0</v>
      </c>
      <c r="C2646" s="28"/>
      <c r="D2646" s="29">
        <v>0.0</v>
      </c>
      <c r="E2646" s="30">
        <v>0.0</v>
      </c>
      <c r="F2646" s="31"/>
      <c r="G2646" s="32">
        <v>0.0</v>
      </c>
      <c r="H2646" s="33">
        <v>0.0</v>
      </c>
      <c r="I2646" s="34"/>
      <c r="J2646" s="35"/>
      <c r="K2646" s="36"/>
      <c r="L2646" s="35"/>
      <c r="M2646" s="36"/>
      <c r="N2646" s="35"/>
      <c r="O2646" s="36"/>
      <c r="P2646" s="35"/>
      <c r="Q2646" s="36"/>
      <c r="R2646" s="35"/>
      <c r="S2646" s="36"/>
      <c r="T2646" s="35"/>
      <c r="U2646" s="36"/>
      <c r="V2646" s="35"/>
      <c r="W2646" s="36"/>
      <c r="X2646" s="35"/>
      <c r="Y2646" s="36"/>
      <c r="Z2646" s="37"/>
      <c r="AA2646" s="37"/>
      <c r="AB2646" s="35"/>
      <c r="AC2646" s="38"/>
      <c r="AD2646" s="36"/>
      <c r="AE2646" s="35"/>
      <c r="AF2646" s="36"/>
      <c r="AG2646" s="1"/>
    </row>
    <row r="2647" ht="21.0" customHeight="1">
      <c r="A2647" s="1"/>
      <c r="B2647" s="39" t="s">
        <v>24</v>
      </c>
      <c r="C2647" s="40"/>
      <c r="D2647" s="41"/>
      <c r="E2647" s="42" t="s">
        <v>25</v>
      </c>
      <c r="F2647" s="40"/>
      <c r="G2647" s="41"/>
      <c r="H2647" s="43" t="s">
        <v>26</v>
      </c>
      <c r="J2647" s="44" t="s">
        <v>27</v>
      </c>
      <c r="K2647" s="45" t="s">
        <v>28</v>
      </c>
      <c r="L2647" s="44" t="s">
        <v>27</v>
      </c>
      <c r="M2647" s="45" t="s">
        <v>28</v>
      </c>
      <c r="N2647" s="44" t="s">
        <v>27</v>
      </c>
      <c r="O2647" s="45" t="s">
        <v>28</v>
      </c>
      <c r="P2647" s="44" t="s">
        <v>27</v>
      </c>
      <c r="Q2647" s="45" t="s">
        <v>28</v>
      </c>
      <c r="R2647" s="44" t="s">
        <v>27</v>
      </c>
      <c r="S2647" s="45" t="s">
        <v>28</v>
      </c>
      <c r="T2647" s="44" t="s">
        <v>27</v>
      </c>
      <c r="U2647" s="45" t="s">
        <v>28</v>
      </c>
      <c r="V2647" s="44" t="s">
        <v>27</v>
      </c>
      <c r="W2647" s="45" t="s">
        <v>28</v>
      </c>
      <c r="X2647" s="44" t="s">
        <v>27</v>
      </c>
      <c r="Y2647" s="45" t="s">
        <v>28</v>
      </c>
      <c r="Z2647" s="46"/>
      <c r="AA2647" s="46"/>
      <c r="AB2647" s="121" t="s">
        <v>29</v>
      </c>
      <c r="AC2647" s="122" t="s">
        <v>30</v>
      </c>
      <c r="AD2647" s="123" t="s">
        <v>31</v>
      </c>
      <c r="AE2647" s="121" t="s">
        <v>27</v>
      </c>
      <c r="AF2647" s="123" t="s">
        <v>28</v>
      </c>
      <c r="AG2647" s="1"/>
    </row>
    <row r="2648" ht="21.0" customHeight="1">
      <c r="A2648" s="1"/>
      <c r="B2648" s="48" t="s">
        <v>32</v>
      </c>
      <c r="C2648" s="49"/>
      <c r="D2648" s="50"/>
      <c r="E2648" s="51" t="s">
        <v>33</v>
      </c>
      <c r="F2648" s="52" t="s">
        <v>34</v>
      </c>
      <c r="G2648" s="53"/>
      <c r="H2648" s="148"/>
      <c r="I2648" s="55"/>
      <c r="J2648" s="58"/>
      <c r="K2648" s="59"/>
      <c r="L2648" s="58"/>
      <c r="M2648" s="59"/>
      <c r="N2648" s="58"/>
      <c r="O2648" s="59"/>
      <c r="P2648" s="58"/>
      <c r="Q2648" s="59"/>
      <c r="R2648" s="58"/>
      <c r="S2648" s="59"/>
      <c r="T2648" s="58"/>
      <c r="U2648" s="59"/>
      <c r="V2648" s="58"/>
      <c r="W2648" s="59"/>
      <c r="X2648" s="58"/>
      <c r="Y2648" s="59"/>
      <c r="Z2648" s="60" t="b">
        <v>0</v>
      </c>
      <c r="AA2648" s="125">
        <f t="shared" ref="AA2648:AA2656" si="1057">(J2648*K2648+L2648*M2648+N2648*O2648+P2648*Q2648+R2648*S2648+T2648*U2648+V2648*W2648+X2648*Y2648)*if(Z2648=true,0.453592,1)</f>
        <v>0</v>
      </c>
      <c r="AB2648" s="126">
        <f t="shared" ref="AB2648:AB2656" si="1058">SUM(AE2648*AF2648*0.025,AE2648)</f>
        <v>0</v>
      </c>
      <c r="AC2648" s="127">
        <f t="shared" ref="AC2648:AC2656" si="1059">AB2648*87%</f>
        <v>0</v>
      </c>
      <c r="AD2648" s="128">
        <f t="shared" ref="AD2648:AD2656" si="1060">AB2648*67%</f>
        <v>0</v>
      </c>
      <c r="AE2648" s="126">
        <f t="shared" ref="AE2648:AE2656" si="1061">MAX(J2648,L2648,N2648,P2648,R2648,T2648,V2648,X2648)*if(Z2648=true,0.453592,1)</f>
        <v>0</v>
      </c>
      <c r="AF2648" s="128">
        <f t="shared" ref="AF2648:AF2656" si="1062">MAX(IF(J2648*if(Z2648=true,0.453592,1)=$AE2648,K2648,0),IF(L2648*if(Z2648=true,0.453592,1)=$AE2648,M2648,0),IF(N2648*if(Z2648=true,0.453592,1)=$AE2648,O2648,0),IF(P2648*if(Z2648=true,0.453592,1)=$AE2648,Q2648,0),IF(R2648*if(Z2648=true,0.453592,1)=$AE2648,S2648,0),IF(T2648*if(Z2648=true,0.453592,1)=$AE2648,U2648,0),IF(V2648*if(Z2648=true,0.453592,1)=$AE2648,W2648,0),IF(X2648*if(Z2648=true,0.453592,1)=$AE2648,Y2648,0))</f>
        <v>0</v>
      </c>
      <c r="AG2648" s="1"/>
    </row>
    <row r="2649" ht="21.0" customHeight="1">
      <c r="A2649" s="1"/>
      <c r="B2649" s="48" t="s">
        <v>36</v>
      </c>
      <c r="C2649" s="49"/>
      <c r="D2649" s="65"/>
      <c r="E2649" s="66"/>
      <c r="F2649" s="52" t="s">
        <v>37</v>
      </c>
      <c r="G2649" s="67"/>
      <c r="H2649" s="129"/>
      <c r="I2649" s="69"/>
      <c r="J2649" s="72"/>
      <c r="K2649" s="73"/>
      <c r="L2649" s="72"/>
      <c r="M2649" s="73"/>
      <c r="N2649" s="72"/>
      <c r="O2649" s="73"/>
      <c r="P2649" s="72"/>
      <c r="Q2649" s="73"/>
      <c r="R2649" s="72"/>
      <c r="S2649" s="73"/>
      <c r="T2649" s="72"/>
      <c r="U2649" s="73"/>
      <c r="V2649" s="72"/>
      <c r="W2649" s="73"/>
      <c r="X2649" s="72"/>
      <c r="Y2649" s="73"/>
      <c r="Z2649" s="74" t="b">
        <v>0</v>
      </c>
      <c r="AA2649" s="130">
        <f t="shared" si="1057"/>
        <v>0</v>
      </c>
      <c r="AB2649" s="131">
        <f t="shared" si="1058"/>
        <v>0</v>
      </c>
      <c r="AC2649" s="132">
        <f t="shared" si="1059"/>
        <v>0</v>
      </c>
      <c r="AD2649" s="133">
        <f t="shared" si="1060"/>
        <v>0</v>
      </c>
      <c r="AE2649" s="131">
        <f t="shared" si="1061"/>
        <v>0</v>
      </c>
      <c r="AF2649" s="133">
        <f t="shared" si="1062"/>
        <v>0</v>
      </c>
      <c r="AG2649" s="1"/>
    </row>
    <row r="2650" ht="21.0" customHeight="1">
      <c r="A2650" s="1"/>
      <c r="B2650" s="48" t="s">
        <v>39</v>
      </c>
      <c r="C2650" s="49"/>
      <c r="D2650" s="65"/>
      <c r="E2650" s="41"/>
      <c r="F2650" s="52" t="s">
        <v>40</v>
      </c>
      <c r="G2650" s="79"/>
      <c r="H2650" s="80"/>
      <c r="I2650" s="69"/>
      <c r="J2650" s="72"/>
      <c r="K2650" s="73"/>
      <c r="L2650" s="72"/>
      <c r="M2650" s="73"/>
      <c r="N2650" s="72"/>
      <c r="O2650" s="73"/>
      <c r="P2650" s="72"/>
      <c r="Q2650" s="73"/>
      <c r="R2650" s="72"/>
      <c r="S2650" s="73"/>
      <c r="T2650" s="72"/>
      <c r="U2650" s="73"/>
      <c r="V2650" s="72"/>
      <c r="W2650" s="73"/>
      <c r="X2650" s="72"/>
      <c r="Y2650" s="73"/>
      <c r="Z2650" s="74" t="b">
        <v>0</v>
      </c>
      <c r="AA2650" s="130">
        <f t="shared" si="1057"/>
        <v>0</v>
      </c>
      <c r="AB2650" s="131">
        <f t="shared" si="1058"/>
        <v>0</v>
      </c>
      <c r="AC2650" s="132">
        <f t="shared" si="1059"/>
        <v>0</v>
      </c>
      <c r="AD2650" s="133">
        <f t="shared" si="1060"/>
        <v>0</v>
      </c>
      <c r="AE2650" s="131">
        <f t="shared" si="1061"/>
        <v>0</v>
      </c>
      <c r="AF2650" s="133">
        <f t="shared" si="1062"/>
        <v>0</v>
      </c>
      <c r="AG2650" s="1"/>
    </row>
    <row r="2651" ht="21.0" customHeight="1">
      <c r="A2651" s="1"/>
      <c r="B2651" s="48" t="s">
        <v>41</v>
      </c>
      <c r="C2651" s="81"/>
      <c r="D2651" s="82" t="b">
        <v>0</v>
      </c>
      <c r="E2651" s="51" t="s">
        <v>42</v>
      </c>
      <c r="F2651" s="52" t="s">
        <v>34</v>
      </c>
      <c r="G2651" s="83"/>
      <c r="H2651" s="84"/>
      <c r="I2651" s="85"/>
      <c r="J2651" s="72"/>
      <c r="K2651" s="73"/>
      <c r="L2651" s="72"/>
      <c r="M2651" s="73"/>
      <c r="N2651" s="72"/>
      <c r="O2651" s="73"/>
      <c r="P2651" s="72"/>
      <c r="Q2651" s="73"/>
      <c r="R2651" s="72"/>
      <c r="S2651" s="73"/>
      <c r="T2651" s="72"/>
      <c r="U2651" s="73"/>
      <c r="V2651" s="72"/>
      <c r="W2651" s="73"/>
      <c r="X2651" s="72"/>
      <c r="Y2651" s="73"/>
      <c r="Z2651" s="74" t="b">
        <v>0</v>
      </c>
      <c r="AA2651" s="130">
        <f t="shared" si="1057"/>
        <v>0</v>
      </c>
      <c r="AB2651" s="131">
        <f t="shared" si="1058"/>
        <v>0</v>
      </c>
      <c r="AC2651" s="132">
        <f t="shared" si="1059"/>
        <v>0</v>
      </c>
      <c r="AD2651" s="133">
        <f t="shared" si="1060"/>
        <v>0</v>
      </c>
      <c r="AE2651" s="131">
        <f t="shared" si="1061"/>
        <v>0</v>
      </c>
      <c r="AF2651" s="133">
        <f t="shared" si="1062"/>
        <v>0</v>
      </c>
      <c r="AG2651" s="1"/>
    </row>
    <row r="2652" ht="21.0" customHeight="1">
      <c r="A2652" s="1"/>
      <c r="B2652" s="48" t="s">
        <v>43</v>
      </c>
      <c r="C2652" s="49"/>
      <c r="D2652" s="86" t="b">
        <v>0</v>
      </c>
      <c r="E2652" s="66"/>
      <c r="F2652" s="52" t="s">
        <v>37</v>
      </c>
      <c r="G2652" s="67"/>
      <c r="H2652" s="80"/>
      <c r="I2652" s="69"/>
      <c r="J2652" s="72"/>
      <c r="K2652" s="73"/>
      <c r="L2652" s="72"/>
      <c r="M2652" s="73"/>
      <c r="N2652" s="72"/>
      <c r="O2652" s="73"/>
      <c r="P2652" s="72"/>
      <c r="Q2652" s="73"/>
      <c r="R2652" s="72"/>
      <c r="S2652" s="73"/>
      <c r="T2652" s="72"/>
      <c r="U2652" s="73"/>
      <c r="V2652" s="72"/>
      <c r="W2652" s="73"/>
      <c r="X2652" s="72"/>
      <c r="Y2652" s="73"/>
      <c r="Z2652" s="74" t="b">
        <v>0</v>
      </c>
      <c r="AA2652" s="130">
        <f t="shared" si="1057"/>
        <v>0</v>
      </c>
      <c r="AB2652" s="131">
        <f t="shared" si="1058"/>
        <v>0</v>
      </c>
      <c r="AC2652" s="132">
        <f t="shared" si="1059"/>
        <v>0</v>
      </c>
      <c r="AD2652" s="133">
        <f t="shared" si="1060"/>
        <v>0</v>
      </c>
      <c r="AE2652" s="131">
        <f t="shared" si="1061"/>
        <v>0</v>
      </c>
      <c r="AF2652" s="133">
        <f t="shared" si="1062"/>
        <v>0</v>
      </c>
      <c r="AG2652" s="1"/>
    </row>
    <row r="2653" ht="21.0" customHeight="1">
      <c r="A2653" s="1"/>
      <c r="B2653" s="87" t="str">
        <f t="array" ref="B2653">"📌최근 인바디 결과 : "&amp;text(xlookup(B2645,'현황'!O:O,'현황'!O:O,,-1,-1),"m/d(ddd)")</f>
        <v>#REF!</v>
      </c>
      <c r="C2653" s="88"/>
      <c r="D2653" s="49"/>
      <c r="E2653" s="41"/>
      <c r="F2653" s="52" t="s">
        <v>40</v>
      </c>
      <c r="G2653" s="79"/>
      <c r="H2653" s="80"/>
      <c r="I2653" s="69"/>
      <c r="J2653" s="72"/>
      <c r="K2653" s="73"/>
      <c r="L2653" s="72"/>
      <c r="M2653" s="73"/>
      <c r="N2653" s="72"/>
      <c r="O2653" s="73"/>
      <c r="P2653" s="72"/>
      <c r="Q2653" s="73"/>
      <c r="R2653" s="72"/>
      <c r="S2653" s="73"/>
      <c r="T2653" s="72"/>
      <c r="U2653" s="73"/>
      <c r="V2653" s="72"/>
      <c r="W2653" s="73"/>
      <c r="X2653" s="72"/>
      <c r="Y2653" s="73"/>
      <c r="Z2653" s="74" t="b">
        <v>0</v>
      </c>
      <c r="AA2653" s="130">
        <f t="shared" si="1057"/>
        <v>0</v>
      </c>
      <c r="AB2653" s="131">
        <f t="shared" si="1058"/>
        <v>0</v>
      </c>
      <c r="AC2653" s="132">
        <f t="shared" si="1059"/>
        <v>0</v>
      </c>
      <c r="AD2653" s="133">
        <f t="shared" si="1060"/>
        <v>0</v>
      </c>
      <c r="AE2653" s="131">
        <f t="shared" si="1061"/>
        <v>0</v>
      </c>
      <c r="AF2653" s="133">
        <f t="shared" si="1062"/>
        <v>0</v>
      </c>
      <c r="AG2653" s="1"/>
    </row>
    <row r="2654" ht="21.0" customHeight="1">
      <c r="A2654" s="1"/>
      <c r="B2654" s="89" t="s">
        <v>44</v>
      </c>
      <c r="C2654" s="49"/>
      <c r="D2654" s="90">
        <f t="array" ref="D2654">iferror(vlookup(xlookup(B2645,'현황'!O:O,'현황'!O:O,,-1,-1),'현황'!O:S,2,false),0)</f>
        <v>0</v>
      </c>
      <c r="E2654" s="51" t="s">
        <v>45</v>
      </c>
      <c r="F2654" s="52" t="s">
        <v>34</v>
      </c>
      <c r="G2654" s="83"/>
      <c r="H2654" s="84"/>
      <c r="I2654" s="85"/>
      <c r="J2654" s="72"/>
      <c r="K2654" s="73"/>
      <c r="L2654" s="72"/>
      <c r="M2654" s="73"/>
      <c r="N2654" s="72"/>
      <c r="O2654" s="73"/>
      <c r="P2654" s="72"/>
      <c r="Q2654" s="73"/>
      <c r="R2654" s="72"/>
      <c r="S2654" s="73"/>
      <c r="T2654" s="72"/>
      <c r="U2654" s="73"/>
      <c r="V2654" s="72"/>
      <c r="W2654" s="73"/>
      <c r="X2654" s="72"/>
      <c r="Y2654" s="73"/>
      <c r="Z2654" s="74" t="b">
        <v>0</v>
      </c>
      <c r="AA2654" s="130">
        <f t="shared" si="1057"/>
        <v>0</v>
      </c>
      <c r="AB2654" s="131">
        <f t="shared" si="1058"/>
        <v>0</v>
      </c>
      <c r="AC2654" s="132">
        <f t="shared" si="1059"/>
        <v>0</v>
      </c>
      <c r="AD2654" s="133">
        <f t="shared" si="1060"/>
        <v>0</v>
      </c>
      <c r="AE2654" s="131">
        <f t="shared" si="1061"/>
        <v>0</v>
      </c>
      <c r="AF2654" s="133">
        <f t="shared" si="1062"/>
        <v>0</v>
      </c>
      <c r="AG2654" s="1"/>
    </row>
    <row r="2655" ht="21.0" customHeight="1">
      <c r="A2655" s="1"/>
      <c r="B2655" s="48" t="s">
        <v>46</v>
      </c>
      <c r="C2655" s="49"/>
      <c r="D2655" s="91">
        <f t="array" ref="D2655">iferror(vlookup(xlookup(B2645,'현황'!O:O,'현황'!O:O,,-1,-1),'현황'!O:S,3,false),0)</f>
        <v>0</v>
      </c>
      <c r="E2655" s="66"/>
      <c r="F2655" s="52" t="s">
        <v>37</v>
      </c>
      <c r="G2655" s="67"/>
      <c r="H2655" s="80"/>
      <c r="I2655" s="69"/>
      <c r="J2655" s="72"/>
      <c r="K2655" s="73"/>
      <c r="L2655" s="72"/>
      <c r="M2655" s="73"/>
      <c r="N2655" s="72"/>
      <c r="O2655" s="73"/>
      <c r="P2655" s="72"/>
      <c r="Q2655" s="73"/>
      <c r="R2655" s="72"/>
      <c r="S2655" s="73"/>
      <c r="T2655" s="72"/>
      <c r="U2655" s="73"/>
      <c r="V2655" s="72"/>
      <c r="W2655" s="73"/>
      <c r="X2655" s="72"/>
      <c r="Y2655" s="73"/>
      <c r="Z2655" s="74" t="b">
        <v>0</v>
      </c>
      <c r="AA2655" s="130">
        <f t="shared" si="1057"/>
        <v>0</v>
      </c>
      <c r="AB2655" s="131">
        <f t="shared" si="1058"/>
        <v>0</v>
      </c>
      <c r="AC2655" s="132">
        <f t="shared" si="1059"/>
        <v>0</v>
      </c>
      <c r="AD2655" s="133">
        <f t="shared" si="1060"/>
        <v>0</v>
      </c>
      <c r="AE2655" s="131">
        <f t="shared" si="1061"/>
        <v>0</v>
      </c>
      <c r="AF2655" s="133">
        <f t="shared" si="1062"/>
        <v>0</v>
      </c>
      <c r="AG2655" s="1"/>
    </row>
    <row r="2656" ht="21.0" customHeight="1">
      <c r="A2656" s="1"/>
      <c r="B2656" s="48" t="s">
        <v>47</v>
      </c>
      <c r="C2656" s="49"/>
      <c r="D2656" s="91">
        <f t="array" ref="D2656">iferror(vlookup(xlookup(B2645,'현황'!O:O,'현황'!O:O,,-1,-1),'현황'!O:S,4,false),0)</f>
        <v>0</v>
      </c>
      <c r="E2656" s="41"/>
      <c r="F2656" s="92" t="s">
        <v>40</v>
      </c>
      <c r="G2656" s="79"/>
      <c r="H2656" s="93"/>
      <c r="I2656" s="94"/>
      <c r="J2656" s="95"/>
      <c r="K2656" s="96"/>
      <c r="L2656" s="95"/>
      <c r="M2656" s="96"/>
      <c r="N2656" s="95"/>
      <c r="O2656" s="96"/>
      <c r="P2656" s="95"/>
      <c r="Q2656" s="96"/>
      <c r="R2656" s="95"/>
      <c r="S2656" s="96"/>
      <c r="T2656" s="95"/>
      <c r="U2656" s="96"/>
      <c r="V2656" s="95"/>
      <c r="W2656" s="96"/>
      <c r="X2656" s="95"/>
      <c r="Y2656" s="96"/>
      <c r="Z2656" s="97" t="b">
        <v>0</v>
      </c>
      <c r="AA2656" s="135">
        <f t="shared" si="1057"/>
        <v>0</v>
      </c>
      <c r="AB2656" s="136">
        <f t="shared" si="1058"/>
        <v>0</v>
      </c>
      <c r="AC2656" s="137">
        <f t="shared" si="1059"/>
        <v>0</v>
      </c>
      <c r="AD2656" s="138">
        <f t="shared" si="1060"/>
        <v>0</v>
      </c>
      <c r="AE2656" s="136">
        <f t="shared" si="1061"/>
        <v>0</v>
      </c>
      <c r="AF2656" s="138">
        <f t="shared" si="1062"/>
        <v>0</v>
      </c>
      <c r="AG2656" s="1"/>
    </row>
    <row r="2657" ht="21.0" customHeight="1">
      <c r="A2657" s="1"/>
      <c r="B2657" s="102" t="s">
        <v>48</v>
      </c>
      <c r="C2657" s="103"/>
      <c r="D2657" s="104">
        <f>iferror(D2656/D2654,0)</f>
        <v>0</v>
      </c>
      <c r="E2657" s="102" t="s">
        <v>49</v>
      </c>
      <c r="F2657" s="103"/>
      <c r="G2657" s="105"/>
      <c r="H2657" s="106" t="s">
        <v>50</v>
      </c>
      <c r="I2657" s="107"/>
      <c r="J2657" s="11"/>
      <c r="K2657" s="11"/>
      <c r="L2657" s="11"/>
      <c r="M2657" s="11"/>
      <c r="N2657" s="11"/>
      <c r="O2657" s="11"/>
      <c r="P2657" s="108" t="s">
        <v>51</v>
      </c>
      <c r="Q2657" s="12"/>
      <c r="R2657" s="109"/>
      <c r="S2657" s="11"/>
      <c r="T2657" s="11"/>
      <c r="U2657" s="11"/>
      <c r="V2657" s="11"/>
      <c r="W2657" s="11"/>
      <c r="X2657" s="11"/>
      <c r="Y2657" s="11"/>
      <c r="Z2657" s="12"/>
      <c r="AA2657" s="139">
        <f>SUM(AA2648:AA2656)</f>
        <v>0</v>
      </c>
      <c r="AB2657" s="140" t="s">
        <v>451</v>
      </c>
      <c r="AG2657" s="1"/>
    </row>
    <row r="2658" ht="21.0" customHeight="1">
      <c r="A2658" s="1"/>
      <c r="B2658" s="1"/>
      <c r="C2658" s="1"/>
      <c r="D2658" s="1"/>
      <c r="E2658" s="1"/>
      <c r="F2658" s="1"/>
      <c r="G2658" s="1"/>
      <c r="H2658" s="1"/>
      <c r="I2658" s="1"/>
      <c r="AA2658" s="1"/>
      <c r="AB2658" s="1"/>
      <c r="AC2658" s="3"/>
      <c r="AD2658" s="1"/>
      <c r="AE2658" s="1"/>
      <c r="AF2658" s="1"/>
      <c r="AG2658" s="1"/>
    </row>
    <row r="2659" ht="21.0" customHeight="1">
      <c r="A2659" s="1"/>
      <c r="B2659" s="4" t="s">
        <v>1</v>
      </c>
      <c r="C2659" s="5"/>
      <c r="D2659" s="6" t="s">
        <v>2</v>
      </c>
      <c r="E2659" s="7"/>
      <c r="F2659" s="7"/>
      <c r="G2659" s="5"/>
      <c r="H2659" s="8" t="s">
        <v>3</v>
      </c>
      <c r="I2659" s="8" t="s">
        <v>4</v>
      </c>
      <c r="J2659" s="9" t="s">
        <v>5</v>
      </c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5"/>
      <c r="AA2659" s="117" t="s">
        <v>6</v>
      </c>
      <c r="AB2659" s="11"/>
      <c r="AC2659" s="11"/>
      <c r="AD2659" s="11"/>
      <c r="AE2659" s="11"/>
      <c r="AF2659" s="12"/>
      <c r="AG2659" s="1"/>
    </row>
    <row r="2660" ht="21.0" customHeight="1">
      <c r="A2660" s="1"/>
      <c r="B2660" s="149" t="s">
        <v>138</v>
      </c>
      <c r="C2660" s="14" t="str">
        <f>if(B2660="0/0","",choose(weekday(B2660),"(일)","(월)","(화)","(수)","(목)","(금)","(토)"))</f>
        <v/>
      </c>
      <c r="D2660" s="15" t="s">
        <v>7</v>
      </c>
      <c r="E2660" s="16" t="s">
        <v>8</v>
      </c>
      <c r="F2660" s="17"/>
      <c r="G2660" s="18" t="s">
        <v>9</v>
      </c>
      <c r="H2660" s="150" t="s">
        <v>139</v>
      </c>
      <c r="I2660" s="151"/>
      <c r="J2660" s="21" t="s">
        <v>12</v>
      </c>
      <c r="K2660" s="22"/>
      <c r="L2660" s="21" t="s">
        <v>13</v>
      </c>
      <c r="M2660" s="22"/>
      <c r="N2660" s="21" t="s">
        <v>14</v>
      </c>
      <c r="O2660" s="22"/>
      <c r="P2660" s="21" t="s">
        <v>15</v>
      </c>
      <c r="Q2660" s="22"/>
      <c r="R2660" s="23" t="s">
        <v>16</v>
      </c>
      <c r="S2660" s="22"/>
      <c r="T2660" s="23" t="s">
        <v>17</v>
      </c>
      <c r="U2660" s="22"/>
      <c r="V2660" s="23" t="s">
        <v>18</v>
      </c>
      <c r="W2660" s="22"/>
      <c r="X2660" s="23" t="s">
        <v>19</v>
      </c>
      <c r="Y2660" s="22"/>
      <c r="Z2660" s="24" t="s">
        <v>452</v>
      </c>
      <c r="AA2660" s="118" t="s">
        <v>21</v>
      </c>
      <c r="AB2660" s="119" t="s">
        <v>22</v>
      </c>
      <c r="AC2660" s="7"/>
      <c r="AD2660" s="22"/>
      <c r="AE2660" s="120" t="s">
        <v>23</v>
      </c>
      <c r="AF2660" s="22"/>
      <c r="AG2660" s="1"/>
    </row>
    <row r="2661" ht="21.0" customHeight="1">
      <c r="A2661" s="1"/>
      <c r="B2661" s="27">
        <f>iferror(B2660-'현황'!$C$4+1,0)</f>
        <v>0</v>
      </c>
      <c r="C2661" s="28"/>
      <c r="D2661" s="29">
        <v>0.0</v>
      </c>
      <c r="E2661" s="30">
        <v>0.0</v>
      </c>
      <c r="F2661" s="31"/>
      <c r="G2661" s="32">
        <v>0.0</v>
      </c>
      <c r="H2661" s="33">
        <v>0.0</v>
      </c>
      <c r="I2661" s="34"/>
      <c r="J2661" s="35"/>
      <c r="K2661" s="36"/>
      <c r="L2661" s="35"/>
      <c r="M2661" s="36"/>
      <c r="N2661" s="35"/>
      <c r="O2661" s="36"/>
      <c r="P2661" s="35"/>
      <c r="Q2661" s="36"/>
      <c r="R2661" s="35"/>
      <c r="S2661" s="36"/>
      <c r="T2661" s="35"/>
      <c r="U2661" s="36"/>
      <c r="V2661" s="35"/>
      <c r="W2661" s="36"/>
      <c r="X2661" s="35"/>
      <c r="Y2661" s="36"/>
      <c r="Z2661" s="37"/>
      <c r="AA2661" s="37"/>
      <c r="AB2661" s="35"/>
      <c r="AC2661" s="38"/>
      <c r="AD2661" s="36"/>
      <c r="AE2661" s="35"/>
      <c r="AF2661" s="36"/>
      <c r="AG2661" s="1"/>
    </row>
    <row r="2662" ht="21.0" customHeight="1">
      <c r="A2662" s="1"/>
      <c r="B2662" s="39" t="s">
        <v>24</v>
      </c>
      <c r="C2662" s="40"/>
      <c r="D2662" s="41"/>
      <c r="E2662" s="42" t="s">
        <v>25</v>
      </c>
      <c r="F2662" s="40"/>
      <c r="G2662" s="41"/>
      <c r="H2662" s="43" t="s">
        <v>26</v>
      </c>
      <c r="J2662" s="44" t="s">
        <v>27</v>
      </c>
      <c r="K2662" s="45" t="s">
        <v>28</v>
      </c>
      <c r="L2662" s="44" t="s">
        <v>27</v>
      </c>
      <c r="M2662" s="45" t="s">
        <v>28</v>
      </c>
      <c r="N2662" s="44" t="s">
        <v>27</v>
      </c>
      <c r="O2662" s="45" t="s">
        <v>28</v>
      </c>
      <c r="P2662" s="44" t="s">
        <v>27</v>
      </c>
      <c r="Q2662" s="45" t="s">
        <v>28</v>
      </c>
      <c r="R2662" s="44" t="s">
        <v>27</v>
      </c>
      <c r="S2662" s="45" t="s">
        <v>28</v>
      </c>
      <c r="T2662" s="44" t="s">
        <v>27</v>
      </c>
      <c r="U2662" s="45" t="s">
        <v>28</v>
      </c>
      <c r="V2662" s="44" t="s">
        <v>27</v>
      </c>
      <c r="W2662" s="45" t="s">
        <v>28</v>
      </c>
      <c r="X2662" s="44" t="s">
        <v>27</v>
      </c>
      <c r="Y2662" s="45" t="s">
        <v>28</v>
      </c>
      <c r="Z2662" s="46"/>
      <c r="AA2662" s="46"/>
      <c r="AB2662" s="121" t="s">
        <v>29</v>
      </c>
      <c r="AC2662" s="122" t="s">
        <v>30</v>
      </c>
      <c r="AD2662" s="123" t="s">
        <v>31</v>
      </c>
      <c r="AE2662" s="121" t="s">
        <v>27</v>
      </c>
      <c r="AF2662" s="123" t="s">
        <v>28</v>
      </c>
      <c r="AG2662" s="1"/>
    </row>
    <row r="2663" ht="21.0" customHeight="1">
      <c r="A2663" s="1"/>
      <c r="B2663" s="48" t="s">
        <v>32</v>
      </c>
      <c r="C2663" s="49"/>
      <c r="D2663" s="50"/>
      <c r="E2663" s="51" t="s">
        <v>33</v>
      </c>
      <c r="F2663" s="52" t="s">
        <v>34</v>
      </c>
      <c r="G2663" s="53"/>
      <c r="H2663" s="148"/>
      <c r="I2663" s="55"/>
      <c r="J2663" s="58"/>
      <c r="K2663" s="59"/>
      <c r="L2663" s="58"/>
      <c r="M2663" s="59"/>
      <c r="N2663" s="58"/>
      <c r="O2663" s="59"/>
      <c r="P2663" s="58"/>
      <c r="Q2663" s="59"/>
      <c r="R2663" s="58"/>
      <c r="S2663" s="59"/>
      <c r="T2663" s="58"/>
      <c r="U2663" s="59"/>
      <c r="V2663" s="58"/>
      <c r="W2663" s="59"/>
      <c r="X2663" s="58"/>
      <c r="Y2663" s="59"/>
      <c r="Z2663" s="60" t="b">
        <v>0</v>
      </c>
      <c r="AA2663" s="125">
        <f t="shared" ref="AA2663:AA2671" si="1063">(J2663*K2663+L2663*M2663+N2663*O2663+P2663*Q2663+R2663*S2663+T2663*U2663+V2663*W2663+X2663*Y2663)*if(Z2663=true,0.453592,1)</f>
        <v>0</v>
      </c>
      <c r="AB2663" s="126">
        <f t="shared" ref="AB2663:AB2671" si="1064">SUM(AE2663*AF2663*0.025,AE2663)</f>
        <v>0</v>
      </c>
      <c r="AC2663" s="127">
        <f t="shared" ref="AC2663:AC2671" si="1065">AB2663*87%</f>
        <v>0</v>
      </c>
      <c r="AD2663" s="128">
        <f t="shared" ref="AD2663:AD2671" si="1066">AB2663*67%</f>
        <v>0</v>
      </c>
      <c r="AE2663" s="126">
        <f t="shared" ref="AE2663:AE2671" si="1067">MAX(J2663,L2663,N2663,P2663,R2663,T2663,V2663,X2663)*if(Z2663=true,0.453592,1)</f>
        <v>0</v>
      </c>
      <c r="AF2663" s="128">
        <f t="shared" ref="AF2663:AF2671" si="1068">MAX(IF(J2663*if(Z2663=true,0.453592,1)=$AE2663,K2663,0),IF(L2663*if(Z2663=true,0.453592,1)=$AE2663,M2663,0),IF(N2663*if(Z2663=true,0.453592,1)=$AE2663,O2663,0),IF(P2663*if(Z2663=true,0.453592,1)=$AE2663,Q2663,0),IF(R2663*if(Z2663=true,0.453592,1)=$AE2663,S2663,0),IF(T2663*if(Z2663=true,0.453592,1)=$AE2663,U2663,0),IF(V2663*if(Z2663=true,0.453592,1)=$AE2663,W2663,0),IF(X2663*if(Z2663=true,0.453592,1)=$AE2663,Y2663,0))</f>
        <v>0</v>
      </c>
      <c r="AG2663" s="1"/>
    </row>
    <row r="2664" ht="21.0" customHeight="1">
      <c r="A2664" s="1"/>
      <c r="B2664" s="48" t="s">
        <v>36</v>
      </c>
      <c r="C2664" s="49"/>
      <c r="D2664" s="65"/>
      <c r="E2664" s="66"/>
      <c r="F2664" s="52" t="s">
        <v>37</v>
      </c>
      <c r="G2664" s="67"/>
      <c r="H2664" s="129"/>
      <c r="I2664" s="69"/>
      <c r="J2664" s="72"/>
      <c r="K2664" s="73"/>
      <c r="L2664" s="72"/>
      <c r="M2664" s="73"/>
      <c r="N2664" s="72"/>
      <c r="O2664" s="73"/>
      <c r="P2664" s="72"/>
      <c r="Q2664" s="73"/>
      <c r="R2664" s="72"/>
      <c r="S2664" s="73"/>
      <c r="T2664" s="72"/>
      <c r="U2664" s="73"/>
      <c r="V2664" s="72"/>
      <c r="W2664" s="73"/>
      <c r="X2664" s="72"/>
      <c r="Y2664" s="73"/>
      <c r="Z2664" s="74" t="b">
        <v>0</v>
      </c>
      <c r="AA2664" s="130">
        <f t="shared" si="1063"/>
        <v>0</v>
      </c>
      <c r="AB2664" s="131">
        <f t="shared" si="1064"/>
        <v>0</v>
      </c>
      <c r="AC2664" s="132">
        <f t="shared" si="1065"/>
        <v>0</v>
      </c>
      <c r="AD2664" s="133">
        <f t="shared" si="1066"/>
        <v>0</v>
      </c>
      <c r="AE2664" s="131">
        <f t="shared" si="1067"/>
        <v>0</v>
      </c>
      <c r="AF2664" s="133">
        <f t="shared" si="1068"/>
        <v>0</v>
      </c>
      <c r="AG2664" s="1"/>
    </row>
    <row r="2665" ht="21.0" customHeight="1">
      <c r="A2665" s="1"/>
      <c r="B2665" s="48" t="s">
        <v>39</v>
      </c>
      <c r="C2665" s="49"/>
      <c r="D2665" s="65"/>
      <c r="E2665" s="41"/>
      <c r="F2665" s="52" t="s">
        <v>40</v>
      </c>
      <c r="G2665" s="79"/>
      <c r="H2665" s="80"/>
      <c r="I2665" s="69"/>
      <c r="J2665" s="72"/>
      <c r="K2665" s="73"/>
      <c r="L2665" s="72"/>
      <c r="M2665" s="73"/>
      <c r="N2665" s="72"/>
      <c r="O2665" s="73"/>
      <c r="P2665" s="72"/>
      <c r="Q2665" s="73"/>
      <c r="R2665" s="72"/>
      <c r="S2665" s="73"/>
      <c r="T2665" s="72"/>
      <c r="U2665" s="73"/>
      <c r="V2665" s="72"/>
      <c r="W2665" s="73"/>
      <c r="X2665" s="72"/>
      <c r="Y2665" s="73"/>
      <c r="Z2665" s="74" t="b">
        <v>0</v>
      </c>
      <c r="AA2665" s="130">
        <f t="shared" si="1063"/>
        <v>0</v>
      </c>
      <c r="AB2665" s="131">
        <f t="shared" si="1064"/>
        <v>0</v>
      </c>
      <c r="AC2665" s="132">
        <f t="shared" si="1065"/>
        <v>0</v>
      </c>
      <c r="AD2665" s="133">
        <f t="shared" si="1066"/>
        <v>0</v>
      </c>
      <c r="AE2665" s="131">
        <f t="shared" si="1067"/>
        <v>0</v>
      </c>
      <c r="AF2665" s="133">
        <f t="shared" si="1068"/>
        <v>0</v>
      </c>
      <c r="AG2665" s="1"/>
    </row>
    <row r="2666" ht="21.0" customHeight="1">
      <c r="A2666" s="1"/>
      <c r="B2666" s="48" t="s">
        <v>41</v>
      </c>
      <c r="C2666" s="81"/>
      <c r="D2666" s="82" t="b">
        <v>0</v>
      </c>
      <c r="E2666" s="51" t="s">
        <v>42</v>
      </c>
      <c r="F2666" s="52" t="s">
        <v>34</v>
      </c>
      <c r="G2666" s="83"/>
      <c r="H2666" s="84"/>
      <c r="I2666" s="85"/>
      <c r="J2666" s="72"/>
      <c r="K2666" s="73"/>
      <c r="L2666" s="72"/>
      <c r="M2666" s="73"/>
      <c r="N2666" s="72"/>
      <c r="O2666" s="73"/>
      <c r="P2666" s="72"/>
      <c r="Q2666" s="73"/>
      <c r="R2666" s="72"/>
      <c r="S2666" s="73"/>
      <c r="T2666" s="72"/>
      <c r="U2666" s="73"/>
      <c r="V2666" s="72"/>
      <c r="W2666" s="73"/>
      <c r="X2666" s="72"/>
      <c r="Y2666" s="73"/>
      <c r="Z2666" s="74" t="b">
        <v>0</v>
      </c>
      <c r="AA2666" s="130">
        <f t="shared" si="1063"/>
        <v>0</v>
      </c>
      <c r="AB2666" s="131">
        <f t="shared" si="1064"/>
        <v>0</v>
      </c>
      <c r="AC2666" s="132">
        <f t="shared" si="1065"/>
        <v>0</v>
      </c>
      <c r="AD2666" s="133">
        <f t="shared" si="1066"/>
        <v>0</v>
      </c>
      <c r="AE2666" s="131">
        <f t="shared" si="1067"/>
        <v>0</v>
      </c>
      <c r="AF2666" s="133">
        <f t="shared" si="1068"/>
        <v>0</v>
      </c>
      <c r="AG2666" s="1"/>
    </row>
    <row r="2667" ht="21.0" customHeight="1">
      <c r="A2667" s="1"/>
      <c r="B2667" s="48" t="s">
        <v>43</v>
      </c>
      <c r="C2667" s="49"/>
      <c r="D2667" s="86" t="b">
        <v>0</v>
      </c>
      <c r="E2667" s="66"/>
      <c r="F2667" s="52" t="s">
        <v>37</v>
      </c>
      <c r="G2667" s="67"/>
      <c r="H2667" s="80"/>
      <c r="I2667" s="69"/>
      <c r="J2667" s="72"/>
      <c r="K2667" s="73"/>
      <c r="L2667" s="72"/>
      <c r="M2667" s="73"/>
      <c r="N2667" s="72"/>
      <c r="O2667" s="73"/>
      <c r="P2667" s="72"/>
      <c r="Q2667" s="73"/>
      <c r="R2667" s="72"/>
      <c r="S2667" s="73"/>
      <c r="T2667" s="72"/>
      <c r="U2667" s="73"/>
      <c r="V2667" s="72"/>
      <c r="W2667" s="73"/>
      <c r="X2667" s="72"/>
      <c r="Y2667" s="73"/>
      <c r="Z2667" s="74" t="b">
        <v>0</v>
      </c>
      <c r="AA2667" s="130">
        <f t="shared" si="1063"/>
        <v>0</v>
      </c>
      <c r="AB2667" s="131">
        <f t="shared" si="1064"/>
        <v>0</v>
      </c>
      <c r="AC2667" s="132">
        <f t="shared" si="1065"/>
        <v>0</v>
      </c>
      <c r="AD2667" s="133">
        <f t="shared" si="1066"/>
        <v>0</v>
      </c>
      <c r="AE2667" s="131">
        <f t="shared" si="1067"/>
        <v>0</v>
      </c>
      <c r="AF2667" s="133">
        <f t="shared" si="1068"/>
        <v>0</v>
      </c>
      <c r="AG2667" s="1"/>
    </row>
    <row r="2668" ht="21.0" customHeight="1">
      <c r="A2668" s="1"/>
      <c r="B2668" s="87" t="str">
        <f t="array" ref="B2668">"📌최근 인바디 결과 : "&amp;text(xlookup(B2660,'현황'!O:O,'현황'!O:O,,-1,-1),"m/d(ddd)")</f>
        <v>#REF!</v>
      </c>
      <c r="C2668" s="88"/>
      <c r="D2668" s="49"/>
      <c r="E2668" s="41"/>
      <c r="F2668" s="52" t="s">
        <v>40</v>
      </c>
      <c r="G2668" s="79"/>
      <c r="H2668" s="80"/>
      <c r="I2668" s="69"/>
      <c r="J2668" s="72"/>
      <c r="K2668" s="73"/>
      <c r="L2668" s="72"/>
      <c r="M2668" s="73"/>
      <c r="N2668" s="72"/>
      <c r="O2668" s="73"/>
      <c r="P2668" s="72"/>
      <c r="Q2668" s="73"/>
      <c r="R2668" s="72"/>
      <c r="S2668" s="73"/>
      <c r="T2668" s="72"/>
      <c r="U2668" s="73"/>
      <c r="V2668" s="72"/>
      <c r="W2668" s="73"/>
      <c r="X2668" s="72"/>
      <c r="Y2668" s="73"/>
      <c r="Z2668" s="74" t="b">
        <v>0</v>
      </c>
      <c r="AA2668" s="130">
        <f t="shared" si="1063"/>
        <v>0</v>
      </c>
      <c r="AB2668" s="131">
        <f t="shared" si="1064"/>
        <v>0</v>
      </c>
      <c r="AC2668" s="132">
        <f t="shared" si="1065"/>
        <v>0</v>
      </c>
      <c r="AD2668" s="133">
        <f t="shared" si="1066"/>
        <v>0</v>
      </c>
      <c r="AE2668" s="131">
        <f t="shared" si="1067"/>
        <v>0</v>
      </c>
      <c r="AF2668" s="133">
        <f t="shared" si="1068"/>
        <v>0</v>
      </c>
      <c r="AG2668" s="1"/>
    </row>
    <row r="2669" ht="21.0" customHeight="1">
      <c r="A2669" s="1"/>
      <c r="B2669" s="89" t="s">
        <v>44</v>
      </c>
      <c r="C2669" s="49"/>
      <c r="D2669" s="90">
        <f t="array" ref="D2669">iferror(vlookup(xlookup(B2660,'현황'!O:O,'현황'!O:O,,-1,-1),'현황'!O:S,2,false),0)</f>
        <v>0</v>
      </c>
      <c r="E2669" s="51" t="s">
        <v>45</v>
      </c>
      <c r="F2669" s="52" t="s">
        <v>34</v>
      </c>
      <c r="G2669" s="83"/>
      <c r="H2669" s="84"/>
      <c r="I2669" s="85"/>
      <c r="J2669" s="72"/>
      <c r="K2669" s="73"/>
      <c r="L2669" s="72"/>
      <c r="M2669" s="73"/>
      <c r="N2669" s="72"/>
      <c r="O2669" s="73"/>
      <c r="P2669" s="72"/>
      <c r="Q2669" s="73"/>
      <c r="R2669" s="72"/>
      <c r="S2669" s="73"/>
      <c r="T2669" s="72"/>
      <c r="U2669" s="73"/>
      <c r="V2669" s="72"/>
      <c r="W2669" s="73"/>
      <c r="X2669" s="72"/>
      <c r="Y2669" s="73"/>
      <c r="Z2669" s="74" t="b">
        <v>0</v>
      </c>
      <c r="AA2669" s="130">
        <f t="shared" si="1063"/>
        <v>0</v>
      </c>
      <c r="AB2669" s="131">
        <f t="shared" si="1064"/>
        <v>0</v>
      </c>
      <c r="AC2669" s="132">
        <f t="shared" si="1065"/>
        <v>0</v>
      </c>
      <c r="AD2669" s="133">
        <f t="shared" si="1066"/>
        <v>0</v>
      </c>
      <c r="AE2669" s="131">
        <f t="shared" si="1067"/>
        <v>0</v>
      </c>
      <c r="AF2669" s="133">
        <f t="shared" si="1068"/>
        <v>0</v>
      </c>
      <c r="AG2669" s="1"/>
    </row>
    <row r="2670" ht="21.0" customHeight="1">
      <c r="A2670" s="1"/>
      <c r="B2670" s="48" t="s">
        <v>46</v>
      </c>
      <c r="C2670" s="49"/>
      <c r="D2670" s="91">
        <f t="array" ref="D2670">iferror(vlookup(xlookup(B2660,'현황'!O:O,'현황'!O:O,,-1,-1),'현황'!O:S,3,false),0)</f>
        <v>0</v>
      </c>
      <c r="E2670" s="66"/>
      <c r="F2670" s="52" t="s">
        <v>37</v>
      </c>
      <c r="G2670" s="67"/>
      <c r="H2670" s="80"/>
      <c r="I2670" s="69"/>
      <c r="J2670" s="72"/>
      <c r="K2670" s="73"/>
      <c r="L2670" s="72"/>
      <c r="M2670" s="73"/>
      <c r="N2670" s="72"/>
      <c r="O2670" s="73"/>
      <c r="P2670" s="72"/>
      <c r="Q2670" s="73"/>
      <c r="R2670" s="72"/>
      <c r="S2670" s="73"/>
      <c r="T2670" s="72"/>
      <c r="U2670" s="73"/>
      <c r="V2670" s="72"/>
      <c r="W2670" s="73"/>
      <c r="X2670" s="72"/>
      <c r="Y2670" s="73"/>
      <c r="Z2670" s="74" t="b">
        <v>0</v>
      </c>
      <c r="AA2670" s="130">
        <f t="shared" si="1063"/>
        <v>0</v>
      </c>
      <c r="AB2670" s="131">
        <f t="shared" si="1064"/>
        <v>0</v>
      </c>
      <c r="AC2670" s="132">
        <f t="shared" si="1065"/>
        <v>0</v>
      </c>
      <c r="AD2670" s="133">
        <f t="shared" si="1066"/>
        <v>0</v>
      </c>
      <c r="AE2670" s="131">
        <f t="shared" si="1067"/>
        <v>0</v>
      </c>
      <c r="AF2670" s="133">
        <f t="shared" si="1068"/>
        <v>0</v>
      </c>
      <c r="AG2670" s="1"/>
    </row>
    <row r="2671" ht="21.0" customHeight="1">
      <c r="A2671" s="1"/>
      <c r="B2671" s="48" t="s">
        <v>47</v>
      </c>
      <c r="C2671" s="49"/>
      <c r="D2671" s="91">
        <f t="array" ref="D2671">iferror(vlookup(xlookup(B2660,'현황'!O:O,'현황'!O:O,,-1,-1),'현황'!O:S,4,false),0)</f>
        <v>0</v>
      </c>
      <c r="E2671" s="41"/>
      <c r="F2671" s="92" t="s">
        <v>40</v>
      </c>
      <c r="G2671" s="79"/>
      <c r="H2671" s="93"/>
      <c r="I2671" s="94"/>
      <c r="J2671" s="95"/>
      <c r="K2671" s="96"/>
      <c r="L2671" s="95"/>
      <c r="M2671" s="96"/>
      <c r="N2671" s="95"/>
      <c r="O2671" s="96"/>
      <c r="P2671" s="95"/>
      <c r="Q2671" s="96"/>
      <c r="R2671" s="95"/>
      <c r="S2671" s="96"/>
      <c r="T2671" s="95"/>
      <c r="U2671" s="96"/>
      <c r="V2671" s="95"/>
      <c r="W2671" s="96"/>
      <c r="X2671" s="95"/>
      <c r="Y2671" s="96"/>
      <c r="Z2671" s="97" t="b">
        <v>0</v>
      </c>
      <c r="AA2671" s="135">
        <f t="shared" si="1063"/>
        <v>0</v>
      </c>
      <c r="AB2671" s="136">
        <f t="shared" si="1064"/>
        <v>0</v>
      </c>
      <c r="AC2671" s="137">
        <f t="shared" si="1065"/>
        <v>0</v>
      </c>
      <c r="AD2671" s="138">
        <f t="shared" si="1066"/>
        <v>0</v>
      </c>
      <c r="AE2671" s="136">
        <f t="shared" si="1067"/>
        <v>0</v>
      </c>
      <c r="AF2671" s="138">
        <f t="shared" si="1068"/>
        <v>0</v>
      </c>
      <c r="AG2671" s="1"/>
    </row>
    <row r="2672" ht="21.0" customHeight="1">
      <c r="A2672" s="1"/>
      <c r="B2672" s="102" t="s">
        <v>48</v>
      </c>
      <c r="C2672" s="103"/>
      <c r="D2672" s="104">
        <f>iferror(D2671/D2669,0)</f>
        <v>0</v>
      </c>
      <c r="E2672" s="102" t="s">
        <v>49</v>
      </c>
      <c r="F2672" s="103"/>
      <c r="G2672" s="105"/>
      <c r="H2672" s="106" t="s">
        <v>50</v>
      </c>
      <c r="I2672" s="107"/>
      <c r="J2672" s="11"/>
      <c r="K2672" s="11"/>
      <c r="L2672" s="11"/>
      <c r="M2672" s="11"/>
      <c r="N2672" s="11"/>
      <c r="O2672" s="11"/>
      <c r="P2672" s="108" t="s">
        <v>51</v>
      </c>
      <c r="Q2672" s="12"/>
      <c r="R2672" s="109"/>
      <c r="S2672" s="11"/>
      <c r="T2672" s="11"/>
      <c r="U2672" s="11"/>
      <c r="V2672" s="11"/>
      <c r="W2672" s="11"/>
      <c r="X2672" s="11"/>
      <c r="Y2672" s="11"/>
      <c r="Z2672" s="12"/>
      <c r="AA2672" s="139">
        <f>SUM(AA2663:AA2671)</f>
        <v>0</v>
      </c>
      <c r="AB2672" s="140" t="s">
        <v>453</v>
      </c>
      <c r="AG2672" s="1"/>
    </row>
    <row r="2673" ht="21.0" customHeight="1">
      <c r="A2673" s="1"/>
      <c r="B2673" s="1"/>
      <c r="C2673" s="1"/>
      <c r="D2673" s="1"/>
      <c r="E2673" s="1"/>
      <c r="F2673" s="1"/>
      <c r="G2673" s="1"/>
      <c r="H2673" s="1"/>
      <c r="I2673" s="1"/>
      <c r="AA2673" s="1"/>
      <c r="AB2673" s="1"/>
      <c r="AC2673" s="3"/>
      <c r="AD2673" s="1"/>
      <c r="AE2673" s="1"/>
      <c r="AF2673" s="1"/>
      <c r="AG2673" s="1"/>
    </row>
    <row r="2674" ht="21.0" customHeight="1">
      <c r="A2674" s="1"/>
      <c r="B2674" s="4" t="s">
        <v>1</v>
      </c>
      <c r="C2674" s="5"/>
      <c r="D2674" s="6" t="s">
        <v>2</v>
      </c>
      <c r="E2674" s="7"/>
      <c r="F2674" s="7"/>
      <c r="G2674" s="5"/>
      <c r="H2674" s="8" t="s">
        <v>3</v>
      </c>
      <c r="I2674" s="8" t="s">
        <v>4</v>
      </c>
      <c r="J2674" s="9" t="s">
        <v>5</v>
      </c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5"/>
      <c r="AA2674" s="117" t="s">
        <v>6</v>
      </c>
      <c r="AB2674" s="11"/>
      <c r="AC2674" s="11"/>
      <c r="AD2674" s="11"/>
      <c r="AE2674" s="11"/>
      <c r="AF2674" s="12"/>
      <c r="AG2674" s="1"/>
    </row>
    <row r="2675" ht="21.0" customHeight="1">
      <c r="A2675" s="1"/>
      <c r="B2675" s="149" t="s">
        <v>138</v>
      </c>
      <c r="C2675" s="14" t="str">
        <f>if(B2675="0/0","",choose(weekday(B2675),"(일)","(월)","(화)","(수)","(목)","(금)","(토)"))</f>
        <v/>
      </c>
      <c r="D2675" s="15" t="s">
        <v>7</v>
      </c>
      <c r="E2675" s="16" t="s">
        <v>8</v>
      </c>
      <c r="F2675" s="17"/>
      <c r="G2675" s="18" t="s">
        <v>9</v>
      </c>
      <c r="H2675" s="150" t="s">
        <v>139</v>
      </c>
      <c r="I2675" s="151"/>
      <c r="J2675" s="21" t="s">
        <v>12</v>
      </c>
      <c r="K2675" s="22"/>
      <c r="L2675" s="21" t="s">
        <v>13</v>
      </c>
      <c r="M2675" s="22"/>
      <c r="N2675" s="21" t="s">
        <v>14</v>
      </c>
      <c r="O2675" s="22"/>
      <c r="P2675" s="21" t="s">
        <v>15</v>
      </c>
      <c r="Q2675" s="22"/>
      <c r="R2675" s="23" t="s">
        <v>16</v>
      </c>
      <c r="S2675" s="22"/>
      <c r="T2675" s="23" t="s">
        <v>17</v>
      </c>
      <c r="U2675" s="22"/>
      <c r="V2675" s="23" t="s">
        <v>18</v>
      </c>
      <c r="W2675" s="22"/>
      <c r="X2675" s="23" t="s">
        <v>19</v>
      </c>
      <c r="Y2675" s="22"/>
      <c r="Z2675" s="24" t="s">
        <v>454</v>
      </c>
      <c r="AA2675" s="118" t="s">
        <v>21</v>
      </c>
      <c r="AB2675" s="119" t="s">
        <v>22</v>
      </c>
      <c r="AC2675" s="7"/>
      <c r="AD2675" s="22"/>
      <c r="AE2675" s="120" t="s">
        <v>23</v>
      </c>
      <c r="AF2675" s="22"/>
      <c r="AG2675" s="1"/>
    </row>
    <row r="2676" ht="21.0" customHeight="1">
      <c r="A2676" s="1"/>
      <c r="B2676" s="27">
        <f>iferror(B2675-'현황'!$C$4+1,0)</f>
        <v>0</v>
      </c>
      <c r="C2676" s="28"/>
      <c r="D2676" s="29">
        <v>0.0</v>
      </c>
      <c r="E2676" s="30">
        <v>0.0</v>
      </c>
      <c r="F2676" s="31"/>
      <c r="G2676" s="32">
        <v>0.0</v>
      </c>
      <c r="H2676" s="33">
        <v>0.0</v>
      </c>
      <c r="I2676" s="34"/>
      <c r="J2676" s="35"/>
      <c r="K2676" s="36"/>
      <c r="L2676" s="35"/>
      <c r="M2676" s="36"/>
      <c r="N2676" s="35"/>
      <c r="O2676" s="36"/>
      <c r="P2676" s="35"/>
      <c r="Q2676" s="36"/>
      <c r="R2676" s="35"/>
      <c r="S2676" s="36"/>
      <c r="T2676" s="35"/>
      <c r="U2676" s="36"/>
      <c r="V2676" s="35"/>
      <c r="W2676" s="36"/>
      <c r="X2676" s="35"/>
      <c r="Y2676" s="36"/>
      <c r="Z2676" s="37"/>
      <c r="AA2676" s="37"/>
      <c r="AB2676" s="35"/>
      <c r="AC2676" s="38"/>
      <c r="AD2676" s="36"/>
      <c r="AE2676" s="35"/>
      <c r="AF2676" s="36"/>
      <c r="AG2676" s="1"/>
    </row>
    <row r="2677" ht="21.0" customHeight="1">
      <c r="A2677" s="1"/>
      <c r="B2677" s="39" t="s">
        <v>24</v>
      </c>
      <c r="C2677" s="40"/>
      <c r="D2677" s="41"/>
      <c r="E2677" s="42" t="s">
        <v>25</v>
      </c>
      <c r="F2677" s="40"/>
      <c r="G2677" s="41"/>
      <c r="H2677" s="43" t="s">
        <v>26</v>
      </c>
      <c r="J2677" s="44" t="s">
        <v>27</v>
      </c>
      <c r="K2677" s="45" t="s">
        <v>28</v>
      </c>
      <c r="L2677" s="44" t="s">
        <v>27</v>
      </c>
      <c r="M2677" s="45" t="s">
        <v>28</v>
      </c>
      <c r="N2677" s="44" t="s">
        <v>27</v>
      </c>
      <c r="O2677" s="45" t="s">
        <v>28</v>
      </c>
      <c r="P2677" s="44" t="s">
        <v>27</v>
      </c>
      <c r="Q2677" s="45" t="s">
        <v>28</v>
      </c>
      <c r="R2677" s="44" t="s">
        <v>27</v>
      </c>
      <c r="S2677" s="45" t="s">
        <v>28</v>
      </c>
      <c r="T2677" s="44" t="s">
        <v>27</v>
      </c>
      <c r="U2677" s="45" t="s">
        <v>28</v>
      </c>
      <c r="V2677" s="44" t="s">
        <v>27</v>
      </c>
      <c r="W2677" s="45" t="s">
        <v>28</v>
      </c>
      <c r="X2677" s="44" t="s">
        <v>27</v>
      </c>
      <c r="Y2677" s="45" t="s">
        <v>28</v>
      </c>
      <c r="Z2677" s="46"/>
      <c r="AA2677" s="46"/>
      <c r="AB2677" s="121" t="s">
        <v>29</v>
      </c>
      <c r="AC2677" s="122" t="s">
        <v>30</v>
      </c>
      <c r="AD2677" s="123" t="s">
        <v>31</v>
      </c>
      <c r="AE2677" s="121" t="s">
        <v>27</v>
      </c>
      <c r="AF2677" s="123" t="s">
        <v>28</v>
      </c>
      <c r="AG2677" s="1"/>
    </row>
    <row r="2678" ht="21.0" customHeight="1">
      <c r="A2678" s="1"/>
      <c r="B2678" s="48" t="s">
        <v>32</v>
      </c>
      <c r="C2678" s="49"/>
      <c r="D2678" s="50"/>
      <c r="E2678" s="51" t="s">
        <v>33</v>
      </c>
      <c r="F2678" s="52" t="s">
        <v>34</v>
      </c>
      <c r="G2678" s="53"/>
      <c r="H2678" s="148"/>
      <c r="I2678" s="55"/>
      <c r="J2678" s="58"/>
      <c r="K2678" s="59"/>
      <c r="L2678" s="58"/>
      <c r="M2678" s="59"/>
      <c r="N2678" s="58"/>
      <c r="O2678" s="59"/>
      <c r="P2678" s="58"/>
      <c r="Q2678" s="59"/>
      <c r="R2678" s="58"/>
      <c r="S2678" s="59"/>
      <c r="T2678" s="58"/>
      <c r="U2678" s="59"/>
      <c r="V2678" s="58"/>
      <c r="W2678" s="59"/>
      <c r="X2678" s="58"/>
      <c r="Y2678" s="59"/>
      <c r="Z2678" s="60" t="b">
        <v>0</v>
      </c>
      <c r="AA2678" s="125">
        <f t="shared" ref="AA2678:AA2686" si="1069">(J2678*K2678+L2678*M2678+N2678*O2678+P2678*Q2678+R2678*S2678+T2678*U2678+V2678*W2678+X2678*Y2678)*if(Z2678=true,0.453592,1)</f>
        <v>0</v>
      </c>
      <c r="AB2678" s="126">
        <f t="shared" ref="AB2678:AB2686" si="1070">SUM(AE2678*AF2678*0.025,AE2678)</f>
        <v>0</v>
      </c>
      <c r="AC2678" s="127">
        <f t="shared" ref="AC2678:AC2686" si="1071">AB2678*87%</f>
        <v>0</v>
      </c>
      <c r="AD2678" s="128">
        <f t="shared" ref="AD2678:AD2686" si="1072">AB2678*67%</f>
        <v>0</v>
      </c>
      <c r="AE2678" s="126">
        <f t="shared" ref="AE2678:AE2686" si="1073">MAX(J2678,L2678,N2678,P2678,R2678,T2678,V2678,X2678)*if(Z2678=true,0.453592,1)</f>
        <v>0</v>
      </c>
      <c r="AF2678" s="128">
        <f t="shared" ref="AF2678:AF2686" si="1074">MAX(IF(J2678*if(Z2678=true,0.453592,1)=$AE2678,K2678,0),IF(L2678*if(Z2678=true,0.453592,1)=$AE2678,M2678,0),IF(N2678*if(Z2678=true,0.453592,1)=$AE2678,O2678,0),IF(P2678*if(Z2678=true,0.453592,1)=$AE2678,Q2678,0),IF(R2678*if(Z2678=true,0.453592,1)=$AE2678,S2678,0),IF(T2678*if(Z2678=true,0.453592,1)=$AE2678,U2678,0),IF(V2678*if(Z2678=true,0.453592,1)=$AE2678,W2678,0),IF(X2678*if(Z2678=true,0.453592,1)=$AE2678,Y2678,0))</f>
        <v>0</v>
      </c>
      <c r="AG2678" s="1"/>
    </row>
    <row r="2679" ht="21.0" customHeight="1">
      <c r="A2679" s="1"/>
      <c r="B2679" s="48" t="s">
        <v>36</v>
      </c>
      <c r="C2679" s="49"/>
      <c r="D2679" s="65"/>
      <c r="E2679" s="66"/>
      <c r="F2679" s="52" t="s">
        <v>37</v>
      </c>
      <c r="G2679" s="67"/>
      <c r="H2679" s="129"/>
      <c r="I2679" s="69"/>
      <c r="J2679" s="72"/>
      <c r="K2679" s="73"/>
      <c r="L2679" s="72"/>
      <c r="M2679" s="73"/>
      <c r="N2679" s="72"/>
      <c r="O2679" s="73"/>
      <c r="P2679" s="72"/>
      <c r="Q2679" s="73"/>
      <c r="R2679" s="72"/>
      <c r="S2679" s="73"/>
      <c r="T2679" s="72"/>
      <c r="U2679" s="73"/>
      <c r="V2679" s="72"/>
      <c r="W2679" s="73"/>
      <c r="X2679" s="72"/>
      <c r="Y2679" s="73"/>
      <c r="Z2679" s="74" t="b">
        <v>0</v>
      </c>
      <c r="AA2679" s="130">
        <f t="shared" si="1069"/>
        <v>0</v>
      </c>
      <c r="AB2679" s="131">
        <f t="shared" si="1070"/>
        <v>0</v>
      </c>
      <c r="AC2679" s="132">
        <f t="shared" si="1071"/>
        <v>0</v>
      </c>
      <c r="AD2679" s="133">
        <f t="shared" si="1072"/>
        <v>0</v>
      </c>
      <c r="AE2679" s="131">
        <f t="shared" si="1073"/>
        <v>0</v>
      </c>
      <c r="AF2679" s="133">
        <f t="shared" si="1074"/>
        <v>0</v>
      </c>
      <c r="AG2679" s="1"/>
    </row>
    <row r="2680" ht="21.0" customHeight="1">
      <c r="A2680" s="1"/>
      <c r="B2680" s="48" t="s">
        <v>39</v>
      </c>
      <c r="C2680" s="49"/>
      <c r="D2680" s="65"/>
      <c r="E2680" s="41"/>
      <c r="F2680" s="52" t="s">
        <v>40</v>
      </c>
      <c r="G2680" s="79"/>
      <c r="H2680" s="80"/>
      <c r="I2680" s="69"/>
      <c r="J2680" s="72"/>
      <c r="K2680" s="73"/>
      <c r="L2680" s="72"/>
      <c r="M2680" s="73"/>
      <c r="N2680" s="72"/>
      <c r="O2680" s="73"/>
      <c r="P2680" s="72"/>
      <c r="Q2680" s="73"/>
      <c r="R2680" s="72"/>
      <c r="S2680" s="73"/>
      <c r="T2680" s="72"/>
      <c r="U2680" s="73"/>
      <c r="V2680" s="72"/>
      <c r="W2680" s="73"/>
      <c r="X2680" s="72"/>
      <c r="Y2680" s="73"/>
      <c r="Z2680" s="74" t="b">
        <v>0</v>
      </c>
      <c r="AA2680" s="130">
        <f t="shared" si="1069"/>
        <v>0</v>
      </c>
      <c r="AB2680" s="131">
        <f t="shared" si="1070"/>
        <v>0</v>
      </c>
      <c r="AC2680" s="132">
        <f t="shared" si="1071"/>
        <v>0</v>
      </c>
      <c r="AD2680" s="133">
        <f t="shared" si="1072"/>
        <v>0</v>
      </c>
      <c r="AE2680" s="131">
        <f t="shared" si="1073"/>
        <v>0</v>
      </c>
      <c r="AF2680" s="133">
        <f t="shared" si="1074"/>
        <v>0</v>
      </c>
      <c r="AG2680" s="1"/>
    </row>
    <row r="2681" ht="21.0" customHeight="1">
      <c r="A2681" s="1"/>
      <c r="B2681" s="48" t="s">
        <v>41</v>
      </c>
      <c r="C2681" s="81"/>
      <c r="D2681" s="82" t="b">
        <v>0</v>
      </c>
      <c r="E2681" s="51" t="s">
        <v>42</v>
      </c>
      <c r="F2681" s="52" t="s">
        <v>34</v>
      </c>
      <c r="G2681" s="83"/>
      <c r="H2681" s="84"/>
      <c r="I2681" s="85"/>
      <c r="J2681" s="72"/>
      <c r="K2681" s="73"/>
      <c r="L2681" s="72"/>
      <c r="M2681" s="73"/>
      <c r="N2681" s="72"/>
      <c r="O2681" s="73"/>
      <c r="P2681" s="72"/>
      <c r="Q2681" s="73"/>
      <c r="R2681" s="72"/>
      <c r="S2681" s="73"/>
      <c r="T2681" s="72"/>
      <c r="U2681" s="73"/>
      <c r="V2681" s="72"/>
      <c r="W2681" s="73"/>
      <c r="X2681" s="72"/>
      <c r="Y2681" s="73"/>
      <c r="Z2681" s="74" t="b">
        <v>0</v>
      </c>
      <c r="AA2681" s="130">
        <f t="shared" si="1069"/>
        <v>0</v>
      </c>
      <c r="AB2681" s="131">
        <f t="shared" si="1070"/>
        <v>0</v>
      </c>
      <c r="AC2681" s="132">
        <f t="shared" si="1071"/>
        <v>0</v>
      </c>
      <c r="AD2681" s="133">
        <f t="shared" si="1072"/>
        <v>0</v>
      </c>
      <c r="AE2681" s="131">
        <f t="shared" si="1073"/>
        <v>0</v>
      </c>
      <c r="AF2681" s="133">
        <f t="shared" si="1074"/>
        <v>0</v>
      </c>
      <c r="AG2681" s="1"/>
    </row>
    <row r="2682" ht="21.0" customHeight="1">
      <c r="A2682" s="1"/>
      <c r="B2682" s="48" t="s">
        <v>43</v>
      </c>
      <c r="C2682" s="49"/>
      <c r="D2682" s="86" t="b">
        <v>0</v>
      </c>
      <c r="E2682" s="66"/>
      <c r="F2682" s="52" t="s">
        <v>37</v>
      </c>
      <c r="G2682" s="67"/>
      <c r="H2682" s="80"/>
      <c r="I2682" s="69"/>
      <c r="J2682" s="72"/>
      <c r="K2682" s="73"/>
      <c r="L2682" s="72"/>
      <c r="M2682" s="73"/>
      <c r="N2682" s="72"/>
      <c r="O2682" s="73"/>
      <c r="P2682" s="72"/>
      <c r="Q2682" s="73"/>
      <c r="R2682" s="72"/>
      <c r="S2682" s="73"/>
      <c r="T2682" s="72"/>
      <c r="U2682" s="73"/>
      <c r="V2682" s="72"/>
      <c r="W2682" s="73"/>
      <c r="X2682" s="72"/>
      <c r="Y2682" s="73"/>
      <c r="Z2682" s="74" t="b">
        <v>0</v>
      </c>
      <c r="AA2682" s="130">
        <f t="shared" si="1069"/>
        <v>0</v>
      </c>
      <c r="AB2682" s="131">
        <f t="shared" si="1070"/>
        <v>0</v>
      </c>
      <c r="AC2682" s="132">
        <f t="shared" si="1071"/>
        <v>0</v>
      </c>
      <c r="AD2682" s="133">
        <f t="shared" si="1072"/>
        <v>0</v>
      </c>
      <c r="AE2682" s="131">
        <f t="shared" si="1073"/>
        <v>0</v>
      </c>
      <c r="AF2682" s="133">
        <f t="shared" si="1074"/>
        <v>0</v>
      </c>
      <c r="AG2682" s="1"/>
    </row>
    <row r="2683" ht="21.0" customHeight="1">
      <c r="A2683" s="1"/>
      <c r="B2683" s="87" t="str">
        <f t="array" ref="B2683">"📌최근 인바디 결과 : "&amp;text(xlookup(B2675,'현황'!O:O,'현황'!O:O,,-1,-1),"m/d(ddd)")</f>
        <v>#REF!</v>
      </c>
      <c r="C2683" s="88"/>
      <c r="D2683" s="49"/>
      <c r="E2683" s="41"/>
      <c r="F2683" s="52" t="s">
        <v>40</v>
      </c>
      <c r="G2683" s="79"/>
      <c r="H2683" s="80"/>
      <c r="I2683" s="69"/>
      <c r="J2683" s="72"/>
      <c r="K2683" s="73"/>
      <c r="L2683" s="72"/>
      <c r="M2683" s="73"/>
      <c r="N2683" s="72"/>
      <c r="O2683" s="73"/>
      <c r="P2683" s="72"/>
      <c r="Q2683" s="73"/>
      <c r="R2683" s="72"/>
      <c r="S2683" s="73"/>
      <c r="T2683" s="72"/>
      <c r="U2683" s="73"/>
      <c r="V2683" s="72"/>
      <c r="W2683" s="73"/>
      <c r="X2683" s="72"/>
      <c r="Y2683" s="73"/>
      <c r="Z2683" s="74" t="b">
        <v>0</v>
      </c>
      <c r="AA2683" s="130">
        <f t="shared" si="1069"/>
        <v>0</v>
      </c>
      <c r="AB2683" s="131">
        <f t="shared" si="1070"/>
        <v>0</v>
      </c>
      <c r="AC2683" s="132">
        <f t="shared" si="1071"/>
        <v>0</v>
      </c>
      <c r="AD2683" s="133">
        <f t="shared" si="1072"/>
        <v>0</v>
      </c>
      <c r="AE2683" s="131">
        <f t="shared" si="1073"/>
        <v>0</v>
      </c>
      <c r="AF2683" s="133">
        <f t="shared" si="1074"/>
        <v>0</v>
      </c>
      <c r="AG2683" s="1"/>
    </row>
    <row r="2684" ht="21.0" customHeight="1">
      <c r="A2684" s="1"/>
      <c r="B2684" s="89" t="s">
        <v>44</v>
      </c>
      <c r="C2684" s="49"/>
      <c r="D2684" s="90">
        <f t="array" ref="D2684">iferror(vlookup(xlookup(B2675,'현황'!O:O,'현황'!O:O,,-1,-1),'현황'!O:S,2,false),0)</f>
        <v>0</v>
      </c>
      <c r="E2684" s="51" t="s">
        <v>45</v>
      </c>
      <c r="F2684" s="52" t="s">
        <v>34</v>
      </c>
      <c r="G2684" s="83"/>
      <c r="H2684" s="84"/>
      <c r="I2684" s="85"/>
      <c r="J2684" s="72"/>
      <c r="K2684" s="73"/>
      <c r="L2684" s="72"/>
      <c r="M2684" s="73"/>
      <c r="N2684" s="72"/>
      <c r="O2684" s="73"/>
      <c r="P2684" s="72"/>
      <c r="Q2684" s="73"/>
      <c r="R2684" s="72"/>
      <c r="S2684" s="73"/>
      <c r="T2684" s="72"/>
      <c r="U2684" s="73"/>
      <c r="V2684" s="72"/>
      <c r="W2684" s="73"/>
      <c r="X2684" s="72"/>
      <c r="Y2684" s="73"/>
      <c r="Z2684" s="74" t="b">
        <v>0</v>
      </c>
      <c r="AA2684" s="130">
        <f t="shared" si="1069"/>
        <v>0</v>
      </c>
      <c r="AB2684" s="131">
        <f t="shared" si="1070"/>
        <v>0</v>
      </c>
      <c r="AC2684" s="132">
        <f t="shared" si="1071"/>
        <v>0</v>
      </c>
      <c r="AD2684" s="133">
        <f t="shared" si="1072"/>
        <v>0</v>
      </c>
      <c r="AE2684" s="131">
        <f t="shared" si="1073"/>
        <v>0</v>
      </c>
      <c r="AF2684" s="133">
        <f t="shared" si="1074"/>
        <v>0</v>
      </c>
      <c r="AG2684" s="1"/>
    </row>
    <row r="2685" ht="21.0" customHeight="1">
      <c r="A2685" s="1"/>
      <c r="B2685" s="48" t="s">
        <v>46</v>
      </c>
      <c r="C2685" s="49"/>
      <c r="D2685" s="91">
        <f t="array" ref="D2685">iferror(vlookup(xlookup(B2675,'현황'!O:O,'현황'!O:O,,-1,-1),'현황'!O:S,3,false),0)</f>
        <v>0</v>
      </c>
      <c r="E2685" s="66"/>
      <c r="F2685" s="52" t="s">
        <v>37</v>
      </c>
      <c r="G2685" s="67"/>
      <c r="H2685" s="80"/>
      <c r="I2685" s="69"/>
      <c r="J2685" s="72"/>
      <c r="K2685" s="73"/>
      <c r="L2685" s="72"/>
      <c r="M2685" s="73"/>
      <c r="N2685" s="72"/>
      <c r="O2685" s="73"/>
      <c r="P2685" s="72"/>
      <c r="Q2685" s="73"/>
      <c r="R2685" s="72"/>
      <c r="S2685" s="73"/>
      <c r="T2685" s="72"/>
      <c r="U2685" s="73"/>
      <c r="V2685" s="72"/>
      <c r="W2685" s="73"/>
      <c r="X2685" s="72"/>
      <c r="Y2685" s="73"/>
      <c r="Z2685" s="74" t="b">
        <v>0</v>
      </c>
      <c r="AA2685" s="130">
        <f t="shared" si="1069"/>
        <v>0</v>
      </c>
      <c r="AB2685" s="131">
        <f t="shared" si="1070"/>
        <v>0</v>
      </c>
      <c r="AC2685" s="132">
        <f t="shared" si="1071"/>
        <v>0</v>
      </c>
      <c r="AD2685" s="133">
        <f t="shared" si="1072"/>
        <v>0</v>
      </c>
      <c r="AE2685" s="131">
        <f t="shared" si="1073"/>
        <v>0</v>
      </c>
      <c r="AF2685" s="133">
        <f t="shared" si="1074"/>
        <v>0</v>
      </c>
      <c r="AG2685" s="1"/>
    </row>
    <row r="2686" ht="21.0" customHeight="1">
      <c r="A2686" s="1"/>
      <c r="B2686" s="48" t="s">
        <v>47</v>
      </c>
      <c r="C2686" s="49"/>
      <c r="D2686" s="91">
        <f t="array" ref="D2686">iferror(vlookup(xlookup(B2675,'현황'!O:O,'현황'!O:O,,-1,-1),'현황'!O:S,4,false),0)</f>
        <v>0</v>
      </c>
      <c r="E2686" s="41"/>
      <c r="F2686" s="92" t="s">
        <v>40</v>
      </c>
      <c r="G2686" s="79"/>
      <c r="H2686" s="93"/>
      <c r="I2686" s="94"/>
      <c r="J2686" s="95"/>
      <c r="K2686" s="96"/>
      <c r="L2686" s="95"/>
      <c r="M2686" s="96"/>
      <c r="N2686" s="95"/>
      <c r="O2686" s="96"/>
      <c r="P2686" s="95"/>
      <c r="Q2686" s="96"/>
      <c r="R2686" s="95"/>
      <c r="S2686" s="96"/>
      <c r="T2686" s="95"/>
      <c r="U2686" s="96"/>
      <c r="V2686" s="95"/>
      <c r="W2686" s="96"/>
      <c r="X2686" s="95"/>
      <c r="Y2686" s="96"/>
      <c r="Z2686" s="97" t="b">
        <v>0</v>
      </c>
      <c r="AA2686" s="135">
        <f t="shared" si="1069"/>
        <v>0</v>
      </c>
      <c r="AB2686" s="136">
        <f t="shared" si="1070"/>
        <v>0</v>
      </c>
      <c r="AC2686" s="137">
        <f t="shared" si="1071"/>
        <v>0</v>
      </c>
      <c r="AD2686" s="138">
        <f t="shared" si="1072"/>
        <v>0</v>
      </c>
      <c r="AE2686" s="136">
        <f t="shared" si="1073"/>
        <v>0</v>
      </c>
      <c r="AF2686" s="138">
        <f t="shared" si="1074"/>
        <v>0</v>
      </c>
      <c r="AG2686" s="1"/>
    </row>
    <row r="2687" ht="21.0" customHeight="1">
      <c r="A2687" s="1"/>
      <c r="B2687" s="102" t="s">
        <v>48</v>
      </c>
      <c r="C2687" s="103"/>
      <c r="D2687" s="104">
        <f>iferror(D2686/D2684,0)</f>
        <v>0</v>
      </c>
      <c r="E2687" s="102" t="s">
        <v>49</v>
      </c>
      <c r="F2687" s="103"/>
      <c r="G2687" s="105"/>
      <c r="H2687" s="106" t="s">
        <v>50</v>
      </c>
      <c r="I2687" s="107"/>
      <c r="J2687" s="11"/>
      <c r="K2687" s="11"/>
      <c r="L2687" s="11"/>
      <c r="M2687" s="11"/>
      <c r="N2687" s="11"/>
      <c r="O2687" s="11"/>
      <c r="P2687" s="108" t="s">
        <v>51</v>
      </c>
      <c r="Q2687" s="12"/>
      <c r="R2687" s="109"/>
      <c r="S2687" s="11"/>
      <c r="T2687" s="11"/>
      <c r="U2687" s="11"/>
      <c r="V2687" s="11"/>
      <c r="W2687" s="11"/>
      <c r="X2687" s="11"/>
      <c r="Y2687" s="11"/>
      <c r="Z2687" s="12"/>
      <c r="AA2687" s="139">
        <f>SUM(AA2678:AA2686)</f>
        <v>0</v>
      </c>
      <c r="AB2687" s="140" t="s">
        <v>455</v>
      </c>
      <c r="AG2687" s="1"/>
    </row>
    <row r="2688" ht="21.0" customHeight="1">
      <c r="A2688" s="1"/>
      <c r="B2688" s="1"/>
      <c r="C2688" s="1"/>
      <c r="D2688" s="1"/>
      <c r="E2688" s="1"/>
      <c r="F2688" s="1"/>
      <c r="G2688" s="1"/>
      <c r="H2688" s="1"/>
      <c r="I2688" s="1"/>
      <c r="AA2688" s="1"/>
      <c r="AB2688" s="1"/>
      <c r="AC2688" s="3"/>
      <c r="AD2688" s="1"/>
      <c r="AE2688" s="1"/>
      <c r="AF2688" s="1"/>
      <c r="AG2688" s="1"/>
    </row>
    <row r="2689" ht="21.0" customHeight="1">
      <c r="A2689" s="1"/>
      <c r="B2689" s="4" t="s">
        <v>1</v>
      </c>
      <c r="C2689" s="5"/>
      <c r="D2689" s="6" t="s">
        <v>2</v>
      </c>
      <c r="E2689" s="7"/>
      <c r="F2689" s="7"/>
      <c r="G2689" s="5"/>
      <c r="H2689" s="8" t="s">
        <v>3</v>
      </c>
      <c r="I2689" s="8" t="s">
        <v>4</v>
      </c>
      <c r="J2689" s="9" t="s">
        <v>5</v>
      </c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5"/>
      <c r="AA2689" s="117" t="s">
        <v>6</v>
      </c>
      <c r="AB2689" s="11"/>
      <c r="AC2689" s="11"/>
      <c r="AD2689" s="11"/>
      <c r="AE2689" s="11"/>
      <c r="AF2689" s="12"/>
      <c r="AG2689" s="1"/>
    </row>
    <row r="2690" ht="21.0" customHeight="1">
      <c r="A2690" s="1"/>
      <c r="B2690" s="149" t="s">
        <v>138</v>
      </c>
      <c r="C2690" s="14" t="str">
        <f>if(B2690="0/0","",choose(weekday(B2690),"(일)","(월)","(화)","(수)","(목)","(금)","(토)"))</f>
        <v/>
      </c>
      <c r="D2690" s="15" t="s">
        <v>7</v>
      </c>
      <c r="E2690" s="16" t="s">
        <v>8</v>
      </c>
      <c r="F2690" s="17"/>
      <c r="G2690" s="18" t="s">
        <v>9</v>
      </c>
      <c r="H2690" s="150" t="s">
        <v>139</v>
      </c>
      <c r="I2690" s="151"/>
      <c r="J2690" s="21" t="s">
        <v>12</v>
      </c>
      <c r="K2690" s="22"/>
      <c r="L2690" s="21" t="s">
        <v>13</v>
      </c>
      <c r="M2690" s="22"/>
      <c r="N2690" s="21" t="s">
        <v>14</v>
      </c>
      <c r="O2690" s="22"/>
      <c r="P2690" s="21" t="s">
        <v>15</v>
      </c>
      <c r="Q2690" s="22"/>
      <c r="R2690" s="23" t="s">
        <v>16</v>
      </c>
      <c r="S2690" s="22"/>
      <c r="T2690" s="23" t="s">
        <v>17</v>
      </c>
      <c r="U2690" s="22"/>
      <c r="V2690" s="23" t="s">
        <v>18</v>
      </c>
      <c r="W2690" s="22"/>
      <c r="X2690" s="23" t="s">
        <v>19</v>
      </c>
      <c r="Y2690" s="22"/>
      <c r="Z2690" s="24" t="s">
        <v>456</v>
      </c>
      <c r="AA2690" s="118" t="s">
        <v>21</v>
      </c>
      <c r="AB2690" s="119" t="s">
        <v>22</v>
      </c>
      <c r="AC2690" s="7"/>
      <c r="AD2690" s="22"/>
      <c r="AE2690" s="120" t="s">
        <v>23</v>
      </c>
      <c r="AF2690" s="22"/>
      <c r="AG2690" s="1"/>
    </row>
    <row r="2691" ht="21.0" customHeight="1">
      <c r="A2691" s="1"/>
      <c r="B2691" s="27">
        <f>iferror(B2690-'현황'!$C$4+1,0)</f>
        <v>0</v>
      </c>
      <c r="C2691" s="28"/>
      <c r="D2691" s="29">
        <v>0.0</v>
      </c>
      <c r="E2691" s="30">
        <v>0.0</v>
      </c>
      <c r="F2691" s="31"/>
      <c r="G2691" s="32">
        <v>0.0</v>
      </c>
      <c r="H2691" s="33">
        <v>0.0</v>
      </c>
      <c r="I2691" s="34"/>
      <c r="J2691" s="35"/>
      <c r="K2691" s="36"/>
      <c r="L2691" s="35"/>
      <c r="M2691" s="36"/>
      <c r="N2691" s="35"/>
      <c r="O2691" s="36"/>
      <c r="P2691" s="35"/>
      <c r="Q2691" s="36"/>
      <c r="R2691" s="35"/>
      <c r="S2691" s="36"/>
      <c r="T2691" s="35"/>
      <c r="U2691" s="36"/>
      <c r="V2691" s="35"/>
      <c r="W2691" s="36"/>
      <c r="X2691" s="35"/>
      <c r="Y2691" s="36"/>
      <c r="Z2691" s="37"/>
      <c r="AA2691" s="37"/>
      <c r="AB2691" s="35"/>
      <c r="AC2691" s="38"/>
      <c r="AD2691" s="36"/>
      <c r="AE2691" s="35"/>
      <c r="AF2691" s="36"/>
      <c r="AG2691" s="1"/>
    </row>
    <row r="2692" ht="21.0" customHeight="1">
      <c r="A2692" s="1"/>
      <c r="B2692" s="39" t="s">
        <v>24</v>
      </c>
      <c r="C2692" s="40"/>
      <c r="D2692" s="41"/>
      <c r="E2692" s="42" t="s">
        <v>25</v>
      </c>
      <c r="F2692" s="40"/>
      <c r="G2692" s="41"/>
      <c r="H2692" s="43" t="s">
        <v>26</v>
      </c>
      <c r="J2692" s="44" t="s">
        <v>27</v>
      </c>
      <c r="K2692" s="45" t="s">
        <v>28</v>
      </c>
      <c r="L2692" s="44" t="s">
        <v>27</v>
      </c>
      <c r="M2692" s="45" t="s">
        <v>28</v>
      </c>
      <c r="N2692" s="44" t="s">
        <v>27</v>
      </c>
      <c r="O2692" s="45" t="s">
        <v>28</v>
      </c>
      <c r="P2692" s="44" t="s">
        <v>27</v>
      </c>
      <c r="Q2692" s="45" t="s">
        <v>28</v>
      </c>
      <c r="R2692" s="44" t="s">
        <v>27</v>
      </c>
      <c r="S2692" s="45" t="s">
        <v>28</v>
      </c>
      <c r="T2692" s="44" t="s">
        <v>27</v>
      </c>
      <c r="U2692" s="45" t="s">
        <v>28</v>
      </c>
      <c r="V2692" s="44" t="s">
        <v>27</v>
      </c>
      <c r="W2692" s="45" t="s">
        <v>28</v>
      </c>
      <c r="X2692" s="44" t="s">
        <v>27</v>
      </c>
      <c r="Y2692" s="45" t="s">
        <v>28</v>
      </c>
      <c r="Z2692" s="46"/>
      <c r="AA2692" s="46"/>
      <c r="AB2692" s="121" t="s">
        <v>29</v>
      </c>
      <c r="AC2692" s="122" t="s">
        <v>30</v>
      </c>
      <c r="AD2692" s="123" t="s">
        <v>31</v>
      </c>
      <c r="AE2692" s="121" t="s">
        <v>27</v>
      </c>
      <c r="AF2692" s="123" t="s">
        <v>28</v>
      </c>
      <c r="AG2692" s="1"/>
    </row>
    <row r="2693" ht="21.0" customHeight="1">
      <c r="A2693" s="1"/>
      <c r="B2693" s="48" t="s">
        <v>32</v>
      </c>
      <c r="C2693" s="49"/>
      <c r="D2693" s="50"/>
      <c r="E2693" s="51" t="s">
        <v>33</v>
      </c>
      <c r="F2693" s="52" t="s">
        <v>34</v>
      </c>
      <c r="G2693" s="53"/>
      <c r="H2693" s="148"/>
      <c r="I2693" s="55"/>
      <c r="J2693" s="58"/>
      <c r="K2693" s="59"/>
      <c r="L2693" s="58"/>
      <c r="M2693" s="59"/>
      <c r="N2693" s="58"/>
      <c r="O2693" s="59"/>
      <c r="P2693" s="58"/>
      <c r="Q2693" s="59"/>
      <c r="R2693" s="58"/>
      <c r="S2693" s="59"/>
      <c r="T2693" s="58"/>
      <c r="U2693" s="59"/>
      <c r="V2693" s="58"/>
      <c r="W2693" s="59"/>
      <c r="X2693" s="58"/>
      <c r="Y2693" s="59"/>
      <c r="Z2693" s="60" t="b">
        <v>0</v>
      </c>
      <c r="AA2693" s="125">
        <f t="shared" ref="AA2693:AA2701" si="1075">(J2693*K2693+L2693*M2693+N2693*O2693+P2693*Q2693+R2693*S2693+T2693*U2693+V2693*W2693+X2693*Y2693)*if(Z2693=true,0.453592,1)</f>
        <v>0</v>
      </c>
      <c r="AB2693" s="126">
        <f t="shared" ref="AB2693:AB2701" si="1076">SUM(AE2693*AF2693*0.025,AE2693)</f>
        <v>0</v>
      </c>
      <c r="AC2693" s="127">
        <f t="shared" ref="AC2693:AC2701" si="1077">AB2693*87%</f>
        <v>0</v>
      </c>
      <c r="AD2693" s="128">
        <f t="shared" ref="AD2693:AD2701" si="1078">AB2693*67%</f>
        <v>0</v>
      </c>
      <c r="AE2693" s="126">
        <f t="shared" ref="AE2693:AE2701" si="1079">MAX(J2693,L2693,N2693,P2693,R2693,T2693,V2693,X2693)*if(Z2693=true,0.453592,1)</f>
        <v>0</v>
      </c>
      <c r="AF2693" s="128">
        <f t="shared" ref="AF2693:AF2701" si="1080">MAX(IF(J2693*if(Z2693=true,0.453592,1)=$AE2693,K2693,0),IF(L2693*if(Z2693=true,0.453592,1)=$AE2693,M2693,0),IF(N2693*if(Z2693=true,0.453592,1)=$AE2693,O2693,0),IF(P2693*if(Z2693=true,0.453592,1)=$AE2693,Q2693,0),IF(R2693*if(Z2693=true,0.453592,1)=$AE2693,S2693,0),IF(T2693*if(Z2693=true,0.453592,1)=$AE2693,U2693,0),IF(V2693*if(Z2693=true,0.453592,1)=$AE2693,W2693,0),IF(X2693*if(Z2693=true,0.453592,1)=$AE2693,Y2693,0))</f>
        <v>0</v>
      </c>
      <c r="AG2693" s="1"/>
    </row>
    <row r="2694" ht="21.0" customHeight="1">
      <c r="A2694" s="1"/>
      <c r="B2694" s="48" t="s">
        <v>36</v>
      </c>
      <c r="C2694" s="49"/>
      <c r="D2694" s="65"/>
      <c r="E2694" s="66"/>
      <c r="F2694" s="52" t="s">
        <v>37</v>
      </c>
      <c r="G2694" s="67"/>
      <c r="H2694" s="129"/>
      <c r="I2694" s="69"/>
      <c r="J2694" s="72"/>
      <c r="K2694" s="73"/>
      <c r="L2694" s="72"/>
      <c r="M2694" s="73"/>
      <c r="N2694" s="72"/>
      <c r="O2694" s="73"/>
      <c r="P2694" s="72"/>
      <c r="Q2694" s="73"/>
      <c r="R2694" s="72"/>
      <c r="S2694" s="73"/>
      <c r="T2694" s="72"/>
      <c r="U2694" s="73"/>
      <c r="V2694" s="72"/>
      <c r="W2694" s="73"/>
      <c r="X2694" s="72"/>
      <c r="Y2694" s="73"/>
      <c r="Z2694" s="74" t="b">
        <v>0</v>
      </c>
      <c r="AA2694" s="130">
        <f t="shared" si="1075"/>
        <v>0</v>
      </c>
      <c r="AB2694" s="131">
        <f t="shared" si="1076"/>
        <v>0</v>
      </c>
      <c r="AC2694" s="132">
        <f t="shared" si="1077"/>
        <v>0</v>
      </c>
      <c r="AD2694" s="133">
        <f t="shared" si="1078"/>
        <v>0</v>
      </c>
      <c r="AE2694" s="131">
        <f t="shared" si="1079"/>
        <v>0</v>
      </c>
      <c r="AF2694" s="133">
        <f t="shared" si="1080"/>
        <v>0</v>
      </c>
      <c r="AG2694" s="1"/>
    </row>
    <row r="2695" ht="21.0" customHeight="1">
      <c r="A2695" s="1"/>
      <c r="B2695" s="48" t="s">
        <v>39</v>
      </c>
      <c r="C2695" s="49"/>
      <c r="D2695" s="65"/>
      <c r="E2695" s="41"/>
      <c r="F2695" s="52" t="s">
        <v>40</v>
      </c>
      <c r="G2695" s="79"/>
      <c r="H2695" s="80"/>
      <c r="I2695" s="69"/>
      <c r="J2695" s="72"/>
      <c r="K2695" s="73"/>
      <c r="L2695" s="72"/>
      <c r="M2695" s="73"/>
      <c r="N2695" s="72"/>
      <c r="O2695" s="73"/>
      <c r="P2695" s="72"/>
      <c r="Q2695" s="73"/>
      <c r="R2695" s="72"/>
      <c r="S2695" s="73"/>
      <c r="T2695" s="72"/>
      <c r="U2695" s="73"/>
      <c r="V2695" s="72"/>
      <c r="W2695" s="73"/>
      <c r="X2695" s="72"/>
      <c r="Y2695" s="73"/>
      <c r="Z2695" s="74" t="b">
        <v>0</v>
      </c>
      <c r="AA2695" s="130">
        <f t="shared" si="1075"/>
        <v>0</v>
      </c>
      <c r="AB2695" s="131">
        <f t="shared" si="1076"/>
        <v>0</v>
      </c>
      <c r="AC2695" s="132">
        <f t="shared" si="1077"/>
        <v>0</v>
      </c>
      <c r="AD2695" s="133">
        <f t="shared" si="1078"/>
        <v>0</v>
      </c>
      <c r="AE2695" s="131">
        <f t="shared" si="1079"/>
        <v>0</v>
      </c>
      <c r="AF2695" s="133">
        <f t="shared" si="1080"/>
        <v>0</v>
      </c>
      <c r="AG2695" s="1"/>
    </row>
    <row r="2696" ht="21.0" customHeight="1">
      <c r="A2696" s="1"/>
      <c r="B2696" s="48" t="s">
        <v>41</v>
      </c>
      <c r="C2696" s="81"/>
      <c r="D2696" s="82" t="b">
        <v>0</v>
      </c>
      <c r="E2696" s="51" t="s">
        <v>42</v>
      </c>
      <c r="F2696" s="52" t="s">
        <v>34</v>
      </c>
      <c r="G2696" s="83"/>
      <c r="H2696" s="84"/>
      <c r="I2696" s="85"/>
      <c r="J2696" s="72"/>
      <c r="K2696" s="73"/>
      <c r="L2696" s="72"/>
      <c r="M2696" s="73"/>
      <c r="N2696" s="72"/>
      <c r="O2696" s="73"/>
      <c r="P2696" s="72"/>
      <c r="Q2696" s="73"/>
      <c r="R2696" s="72"/>
      <c r="S2696" s="73"/>
      <c r="T2696" s="72"/>
      <c r="U2696" s="73"/>
      <c r="V2696" s="72"/>
      <c r="W2696" s="73"/>
      <c r="X2696" s="72"/>
      <c r="Y2696" s="73"/>
      <c r="Z2696" s="74" t="b">
        <v>0</v>
      </c>
      <c r="AA2696" s="130">
        <f t="shared" si="1075"/>
        <v>0</v>
      </c>
      <c r="AB2696" s="131">
        <f t="shared" si="1076"/>
        <v>0</v>
      </c>
      <c r="AC2696" s="132">
        <f t="shared" si="1077"/>
        <v>0</v>
      </c>
      <c r="AD2696" s="133">
        <f t="shared" si="1078"/>
        <v>0</v>
      </c>
      <c r="AE2696" s="131">
        <f t="shared" si="1079"/>
        <v>0</v>
      </c>
      <c r="AF2696" s="133">
        <f t="shared" si="1080"/>
        <v>0</v>
      </c>
      <c r="AG2696" s="1"/>
    </row>
    <row r="2697" ht="21.0" customHeight="1">
      <c r="A2697" s="1"/>
      <c r="B2697" s="48" t="s">
        <v>43</v>
      </c>
      <c r="C2697" s="49"/>
      <c r="D2697" s="86" t="b">
        <v>0</v>
      </c>
      <c r="E2697" s="66"/>
      <c r="F2697" s="52" t="s">
        <v>37</v>
      </c>
      <c r="G2697" s="67"/>
      <c r="H2697" s="80"/>
      <c r="I2697" s="69"/>
      <c r="J2697" s="72"/>
      <c r="K2697" s="73"/>
      <c r="L2697" s="72"/>
      <c r="M2697" s="73"/>
      <c r="N2697" s="72"/>
      <c r="O2697" s="73"/>
      <c r="P2697" s="72"/>
      <c r="Q2697" s="73"/>
      <c r="R2697" s="72"/>
      <c r="S2697" s="73"/>
      <c r="T2697" s="72"/>
      <c r="U2697" s="73"/>
      <c r="V2697" s="72"/>
      <c r="W2697" s="73"/>
      <c r="X2697" s="72"/>
      <c r="Y2697" s="73"/>
      <c r="Z2697" s="74" t="b">
        <v>0</v>
      </c>
      <c r="AA2697" s="130">
        <f t="shared" si="1075"/>
        <v>0</v>
      </c>
      <c r="AB2697" s="131">
        <f t="shared" si="1076"/>
        <v>0</v>
      </c>
      <c r="AC2697" s="132">
        <f t="shared" si="1077"/>
        <v>0</v>
      </c>
      <c r="AD2697" s="133">
        <f t="shared" si="1078"/>
        <v>0</v>
      </c>
      <c r="AE2697" s="131">
        <f t="shared" si="1079"/>
        <v>0</v>
      </c>
      <c r="AF2697" s="133">
        <f t="shared" si="1080"/>
        <v>0</v>
      </c>
      <c r="AG2697" s="1"/>
    </row>
    <row r="2698" ht="21.0" customHeight="1">
      <c r="A2698" s="1"/>
      <c r="B2698" s="87" t="str">
        <f t="array" ref="B2698">"📌최근 인바디 결과 : "&amp;text(xlookup(B2690,'현황'!O:O,'현황'!O:O,,-1,-1),"m/d(ddd)")</f>
        <v>#REF!</v>
      </c>
      <c r="C2698" s="88"/>
      <c r="D2698" s="49"/>
      <c r="E2698" s="41"/>
      <c r="F2698" s="52" t="s">
        <v>40</v>
      </c>
      <c r="G2698" s="79"/>
      <c r="H2698" s="80"/>
      <c r="I2698" s="69"/>
      <c r="J2698" s="72"/>
      <c r="K2698" s="73"/>
      <c r="L2698" s="72"/>
      <c r="M2698" s="73"/>
      <c r="N2698" s="72"/>
      <c r="O2698" s="73"/>
      <c r="P2698" s="72"/>
      <c r="Q2698" s="73"/>
      <c r="R2698" s="72"/>
      <c r="S2698" s="73"/>
      <c r="T2698" s="72"/>
      <c r="U2698" s="73"/>
      <c r="V2698" s="72"/>
      <c r="W2698" s="73"/>
      <c r="X2698" s="72"/>
      <c r="Y2698" s="73"/>
      <c r="Z2698" s="74" t="b">
        <v>0</v>
      </c>
      <c r="AA2698" s="130">
        <f t="shared" si="1075"/>
        <v>0</v>
      </c>
      <c r="AB2698" s="131">
        <f t="shared" si="1076"/>
        <v>0</v>
      </c>
      <c r="AC2698" s="132">
        <f t="shared" si="1077"/>
        <v>0</v>
      </c>
      <c r="AD2698" s="133">
        <f t="shared" si="1078"/>
        <v>0</v>
      </c>
      <c r="AE2698" s="131">
        <f t="shared" si="1079"/>
        <v>0</v>
      </c>
      <c r="AF2698" s="133">
        <f t="shared" si="1080"/>
        <v>0</v>
      </c>
      <c r="AG2698" s="1"/>
    </row>
    <row r="2699" ht="21.0" customHeight="1">
      <c r="A2699" s="1"/>
      <c r="B2699" s="89" t="s">
        <v>44</v>
      </c>
      <c r="C2699" s="49"/>
      <c r="D2699" s="90">
        <f t="array" ref="D2699">iferror(vlookup(xlookup(B2690,'현황'!O:O,'현황'!O:O,,-1,-1),'현황'!O:S,2,false),0)</f>
        <v>0</v>
      </c>
      <c r="E2699" s="51" t="s">
        <v>45</v>
      </c>
      <c r="F2699" s="52" t="s">
        <v>34</v>
      </c>
      <c r="G2699" s="83"/>
      <c r="H2699" s="84"/>
      <c r="I2699" s="85"/>
      <c r="J2699" s="72"/>
      <c r="K2699" s="73"/>
      <c r="L2699" s="72"/>
      <c r="M2699" s="73"/>
      <c r="N2699" s="72"/>
      <c r="O2699" s="73"/>
      <c r="P2699" s="72"/>
      <c r="Q2699" s="73"/>
      <c r="R2699" s="72"/>
      <c r="S2699" s="73"/>
      <c r="T2699" s="72"/>
      <c r="U2699" s="73"/>
      <c r="V2699" s="72"/>
      <c r="W2699" s="73"/>
      <c r="X2699" s="72"/>
      <c r="Y2699" s="73"/>
      <c r="Z2699" s="74" t="b">
        <v>0</v>
      </c>
      <c r="AA2699" s="130">
        <f t="shared" si="1075"/>
        <v>0</v>
      </c>
      <c r="AB2699" s="131">
        <f t="shared" si="1076"/>
        <v>0</v>
      </c>
      <c r="AC2699" s="132">
        <f t="shared" si="1077"/>
        <v>0</v>
      </c>
      <c r="AD2699" s="133">
        <f t="shared" si="1078"/>
        <v>0</v>
      </c>
      <c r="AE2699" s="131">
        <f t="shared" si="1079"/>
        <v>0</v>
      </c>
      <c r="AF2699" s="133">
        <f t="shared" si="1080"/>
        <v>0</v>
      </c>
      <c r="AG2699" s="1"/>
    </row>
    <row r="2700" ht="21.0" customHeight="1">
      <c r="A2700" s="1"/>
      <c r="B2700" s="48" t="s">
        <v>46</v>
      </c>
      <c r="C2700" s="49"/>
      <c r="D2700" s="91">
        <f t="array" ref="D2700">iferror(vlookup(xlookup(B2690,'현황'!O:O,'현황'!O:O,,-1,-1),'현황'!O:S,3,false),0)</f>
        <v>0</v>
      </c>
      <c r="E2700" s="66"/>
      <c r="F2700" s="52" t="s">
        <v>37</v>
      </c>
      <c r="G2700" s="67"/>
      <c r="H2700" s="80"/>
      <c r="I2700" s="69"/>
      <c r="J2700" s="72"/>
      <c r="K2700" s="73"/>
      <c r="L2700" s="72"/>
      <c r="M2700" s="73"/>
      <c r="N2700" s="72"/>
      <c r="O2700" s="73"/>
      <c r="P2700" s="72"/>
      <c r="Q2700" s="73"/>
      <c r="R2700" s="72"/>
      <c r="S2700" s="73"/>
      <c r="T2700" s="72"/>
      <c r="U2700" s="73"/>
      <c r="V2700" s="72"/>
      <c r="W2700" s="73"/>
      <c r="X2700" s="72"/>
      <c r="Y2700" s="73"/>
      <c r="Z2700" s="74" t="b">
        <v>0</v>
      </c>
      <c r="AA2700" s="130">
        <f t="shared" si="1075"/>
        <v>0</v>
      </c>
      <c r="AB2700" s="131">
        <f t="shared" si="1076"/>
        <v>0</v>
      </c>
      <c r="AC2700" s="132">
        <f t="shared" si="1077"/>
        <v>0</v>
      </c>
      <c r="AD2700" s="133">
        <f t="shared" si="1078"/>
        <v>0</v>
      </c>
      <c r="AE2700" s="131">
        <f t="shared" si="1079"/>
        <v>0</v>
      </c>
      <c r="AF2700" s="133">
        <f t="shared" si="1080"/>
        <v>0</v>
      </c>
      <c r="AG2700" s="1"/>
    </row>
    <row r="2701" ht="21.0" customHeight="1">
      <c r="A2701" s="1"/>
      <c r="B2701" s="48" t="s">
        <v>47</v>
      </c>
      <c r="C2701" s="49"/>
      <c r="D2701" s="91">
        <f t="array" ref="D2701">iferror(vlookup(xlookup(B2690,'현황'!O:O,'현황'!O:O,,-1,-1),'현황'!O:S,4,false),0)</f>
        <v>0</v>
      </c>
      <c r="E2701" s="41"/>
      <c r="F2701" s="92" t="s">
        <v>40</v>
      </c>
      <c r="G2701" s="79"/>
      <c r="H2701" s="93"/>
      <c r="I2701" s="94"/>
      <c r="J2701" s="95"/>
      <c r="K2701" s="96"/>
      <c r="L2701" s="95"/>
      <c r="M2701" s="96"/>
      <c r="N2701" s="95"/>
      <c r="O2701" s="96"/>
      <c r="P2701" s="95"/>
      <c r="Q2701" s="96"/>
      <c r="R2701" s="95"/>
      <c r="S2701" s="96"/>
      <c r="T2701" s="95"/>
      <c r="U2701" s="96"/>
      <c r="V2701" s="95"/>
      <c r="W2701" s="96"/>
      <c r="X2701" s="95"/>
      <c r="Y2701" s="96"/>
      <c r="Z2701" s="97" t="b">
        <v>0</v>
      </c>
      <c r="AA2701" s="135">
        <f t="shared" si="1075"/>
        <v>0</v>
      </c>
      <c r="AB2701" s="136">
        <f t="shared" si="1076"/>
        <v>0</v>
      </c>
      <c r="AC2701" s="137">
        <f t="shared" si="1077"/>
        <v>0</v>
      </c>
      <c r="AD2701" s="138">
        <f t="shared" si="1078"/>
        <v>0</v>
      </c>
      <c r="AE2701" s="136">
        <f t="shared" si="1079"/>
        <v>0</v>
      </c>
      <c r="AF2701" s="138">
        <f t="shared" si="1080"/>
        <v>0</v>
      </c>
      <c r="AG2701" s="1"/>
    </row>
    <row r="2702" ht="21.0" customHeight="1">
      <c r="A2702" s="1"/>
      <c r="B2702" s="102" t="s">
        <v>48</v>
      </c>
      <c r="C2702" s="103"/>
      <c r="D2702" s="104">
        <f>iferror(D2701/D2699,0)</f>
        <v>0</v>
      </c>
      <c r="E2702" s="102" t="s">
        <v>49</v>
      </c>
      <c r="F2702" s="103"/>
      <c r="G2702" s="105"/>
      <c r="H2702" s="143" t="s">
        <v>50</v>
      </c>
      <c r="I2702" s="144"/>
      <c r="J2702" s="11"/>
      <c r="K2702" s="11"/>
      <c r="L2702" s="11"/>
      <c r="M2702" s="11"/>
      <c r="N2702" s="11"/>
      <c r="O2702" s="11"/>
      <c r="P2702" s="145" t="s">
        <v>51</v>
      </c>
      <c r="Q2702" s="12"/>
      <c r="R2702" s="146"/>
      <c r="S2702" s="11"/>
      <c r="T2702" s="11"/>
      <c r="U2702" s="11"/>
      <c r="V2702" s="11"/>
      <c r="W2702" s="11"/>
      <c r="X2702" s="11"/>
      <c r="Y2702" s="11"/>
      <c r="Z2702" s="12"/>
      <c r="AA2702" s="139">
        <f>SUM(AA2693:AA2701)</f>
        <v>0</v>
      </c>
      <c r="AB2702" s="140" t="s">
        <v>457</v>
      </c>
      <c r="AG2702" s="1"/>
    </row>
    <row r="2703" ht="21.0" customHeight="1">
      <c r="A2703" s="1"/>
      <c r="B2703" s="1"/>
      <c r="C2703" s="1"/>
      <c r="D2703" s="1"/>
      <c r="E2703" s="1"/>
      <c r="F2703" s="1"/>
      <c r="G2703" s="1"/>
      <c r="H2703" s="1"/>
      <c r="I2703" s="1"/>
      <c r="AA2703" s="1"/>
      <c r="AB2703" s="1"/>
      <c r="AC2703" s="3"/>
      <c r="AD2703" s="1"/>
      <c r="AE2703" s="1"/>
      <c r="AF2703" s="1"/>
      <c r="AG2703" s="1"/>
    </row>
    <row r="2704" ht="21.0" customHeight="1">
      <c r="A2704" s="1"/>
      <c r="B2704" s="4" t="s">
        <v>1</v>
      </c>
      <c r="C2704" s="5"/>
      <c r="D2704" s="6" t="s">
        <v>2</v>
      </c>
      <c r="E2704" s="7"/>
      <c r="F2704" s="7"/>
      <c r="G2704" s="5"/>
      <c r="H2704" s="8" t="s">
        <v>3</v>
      </c>
      <c r="I2704" s="8" t="s">
        <v>4</v>
      </c>
      <c r="J2704" s="9" t="s">
        <v>5</v>
      </c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5"/>
      <c r="AA2704" s="117" t="s">
        <v>6</v>
      </c>
      <c r="AB2704" s="11"/>
      <c r="AC2704" s="11"/>
      <c r="AD2704" s="11"/>
      <c r="AE2704" s="11"/>
      <c r="AF2704" s="12"/>
      <c r="AG2704" s="1"/>
    </row>
    <row r="2705" ht="21.0" customHeight="1">
      <c r="A2705" s="1"/>
      <c r="B2705" s="149" t="s">
        <v>138</v>
      </c>
      <c r="C2705" s="14" t="str">
        <f>if(B2705="0/0","",choose(weekday(B2705),"(일)","(월)","(화)","(수)","(목)","(금)","(토)"))</f>
        <v/>
      </c>
      <c r="D2705" s="15" t="s">
        <v>7</v>
      </c>
      <c r="E2705" s="16" t="s">
        <v>8</v>
      </c>
      <c r="F2705" s="17"/>
      <c r="G2705" s="18" t="s">
        <v>9</v>
      </c>
      <c r="H2705" s="150" t="s">
        <v>139</v>
      </c>
      <c r="I2705" s="151"/>
      <c r="J2705" s="21" t="s">
        <v>12</v>
      </c>
      <c r="K2705" s="22"/>
      <c r="L2705" s="21" t="s">
        <v>13</v>
      </c>
      <c r="M2705" s="22"/>
      <c r="N2705" s="21" t="s">
        <v>14</v>
      </c>
      <c r="O2705" s="22"/>
      <c r="P2705" s="21" t="s">
        <v>15</v>
      </c>
      <c r="Q2705" s="22"/>
      <c r="R2705" s="23" t="s">
        <v>16</v>
      </c>
      <c r="S2705" s="22"/>
      <c r="T2705" s="23" t="s">
        <v>17</v>
      </c>
      <c r="U2705" s="22"/>
      <c r="V2705" s="23" t="s">
        <v>18</v>
      </c>
      <c r="W2705" s="22"/>
      <c r="X2705" s="23" t="s">
        <v>19</v>
      </c>
      <c r="Y2705" s="22"/>
      <c r="Z2705" s="24" t="s">
        <v>458</v>
      </c>
      <c r="AA2705" s="118" t="s">
        <v>21</v>
      </c>
      <c r="AB2705" s="119" t="s">
        <v>22</v>
      </c>
      <c r="AC2705" s="7"/>
      <c r="AD2705" s="22"/>
      <c r="AE2705" s="120" t="s">
        <v>23</v>
      </c>
      <c r="AF2705" s="22"/>
      <c r="AG2705" s="1"/>
    </row>
    <row r="2706" ht="21.0" customHeight="1">
      <c r="A2706" s="1"/>
      <c r="B2706" s="27">
        <f>iferror(B2705-'현황'!$C$4+1,0)</f>
        <v>0</v>
      </c>
      <c r="C2706" s="28"/>
      <c r="D2706" s="29">
        <v>0.0</v>
      </c>
      <c r="E2706" s="30">
        <v>0.0</v>
      </c>
      <c r="F2706" s="31"/>
      <c r="G2706" s="32">
        <v>0.0</v>
      </c>
      <c r="H2706" s="33">
        <v>0.0</v>
      </c>
      <c r="I2706" s="34"/>
      <c r="J2706" s="35"/>
      <c r="K2706" s="36"/>
      <c r="L2706" s="35"/>
      <c r="M2706" s="36"/>
      <c r="N2706" s="35"/>
      <c r="O2706" s="36"/>
      <c r="P2706" s="35"/>
      <c r="Q2706" s="36"/>
      <c r="R2706" s="35"/>
      <c r="S2706" s="36"/>
      <c r="T2706" s="35"/>
      <c r="U2706" s="36"/>
      <c r="V2706" s="35"/>
      <c r="W2706" s="36"/>
      <c r="X2706" s="35"/>
      <c r="Y2706" s="36"/>
      <c r="Z2706" s="37"/>
      <c r="AA2706" s="37"/>
      <c r="AB2706" s="35"/>
      <c r="AC2706" s="38"/>
      <c r="AD2706" s="36"/>
      <c r="AE2706" s="35"/>
      <c r="AF2706" s="36"/>
      <c r="AG2706" s="1"/>
    </row>
    <row r="2707" ht="21.0" customHeight="1">
      <c r="A2707" s="1"/>
      <c r="B2707" s="39" t="s">
        <v>24</v>
      </c>
      <c r="C2707" s="40"/>
      <c r="D2707" s="41"/>
      <c r="E2707" s="42" t="s">
        <v>25</v>
      </c>
      <c r="F2707" s="40"/>
      <c r="G2707" s="41"/>
      <c r="H2707" s="43" t="s">
        <v>26</v>
      </c>
      <c r="J2707" s="44" t="s">
        <v>27</v>
      </c>
      <c r="K2707" s="45" t="s">
        <v>28</v>
      </c>
      <c r="L2707" s="44" t="s">
        <v>27</v>
      </c>
      <c r="M2707" s="45" t="s">
        <v>28</v>
      </c>
      <c r="N2707" s="44" t="s">
        <v>27</v>
      </c>
      <c r="O2707" s="45" t="s">
        <v>28</v>
      </c>
      <c r="P2707" s="44" t="s">
        <v>27</v>
      </c>
      <c r="Q2707" s="45" t="s">
        <v>28</v>
      </c>
      <c r="R2707" s="44" t="s">
        <v>27</v>
      </c>
      <c r="S2707" s="45" t="s">
        <v>28</v>
      </c>
      <c r="T2707" s="44" t="s">
        <v>27</v>
      </c>
      <c r="U2707" s="45" t="s">
        <v>28</v>
      </c>
      <c r="V2707" s="44" t="s">
        <v>27</v>
      </c>
      <c r="W2707" s="45" t="s">
        <v>28</v>
      </c>
      <c r="X2707" s="44" t="s">
        <v>27</v>
      </c>
      <c r="Y2707" s="45" t="s">
        <v>28</v>
      </c>
      <c r="Z2707" s="46"/>
      <c r="AA2707" s="46"/>
      <c r="AB2707" s="121" t="s">
        <v>29</v>
      </c>
      <c r="AC2707" s="122" t="s">
        <v>30</v>
      </c>
      <c r="AD2707" s="123" t="s">
        <v>31</v>
      </c>
      <c r="AE2707" s="121" t="s">
        <v>27</v>
      </c>
      <c r="AF2707" s="123" t="s">
        <v>28</v>
      </c>
      <c r="AG2707" s="1"/>
    </row>
    <row r="2708" ht="21.0" customHeight="1">
      <c r="A2708" s="1"/>
      <c r="B2708" s="48" t="s">
        <v>32</v>
      </c>
      <c r="C2708" s="49"/>
      <c r="D2708" s="50"/>
      <c r="E2708" s="51" t="s">
        <v>33</v>
      </c>
      <c r="F2708" s="52" t="s">
        <v>34</v>
      </c>
      <c r="G2708" s="53"/>
      <c r="H2708" s="148"/>
      <c r="I2708" s="55"/>
      <c r="J2708" s="58"/>
      <c r="K2708" s="59"/>
      <c r="L2708" s="58"/>
      <c r="M2708" s="59"/>
      <c r="N2708" s="58"/>
      <c r="O2708" s="59"/>
      <c r="P2708" s="58"/>
      <c r="Q2708" s="59"/>
      <c r="R2708" s="58"/>
      <c r="S2708" s="59"/>
      <c r="T2708" s="58"/>
      <c r="U2708" s="59"/>
      <c r="V2708" s="58"/>
      <c r="W2708" s="59"/>
      <c r="X2708" s="58"/>
      <c r="Y2708" s="59"/>
      <c r="Z2708" s="60" t="b">
        <v>0</v>
      </c>
      <c r="AA2708" s="125">
        <f t="shared" ref="AA2708:AA2716" si="1081">(J2708*K2708+L2708*M2708+N2708*O2708+P2708*Q2708+R2708*S2708+T2708*U2708+V2708*W2708+X2708*Y2708)*if(Z2708=true,0.453592,1)</f>
        <v>0</v>
      </c>
      <c r="AB2708" s="126">
        <f t="shared" ref="AB2708:AB2716" si="1082">SUM(AE2708*AF2708*0.025,AE2708)</f>
        <v>0</v>
      </c>
      <c r="AC2708" s="127">
        <f t="shared" ref="AC2708:AC2716" si="1083">AB2708*87%</f>
        <v>0</v>
      </c>
      <c r="AD2708" s="128">
        <f t="shared" ref="AD2708:AD2716" si="1084">AB2708*67%</f>
        <v>0</v>
      </c>
      <c r="AE2708" s="126">
        <f t="shared" ref="AE2708:AE2716" si="1085">MAX(J2708,L2708,N2708,P2708,R2708,T2708,V2708,X2708)*if(Z2708=true,0.453592,1)</f>
        <v>0</v>
      </c>
      <c r="AF2708" s="128">
        <f t="shared" ref="AF2708:AF2716" si="1086">MAX(IF(J2708*if(Z2708=true,0.453592,1)=$AE2708,K2708,0),IF(L2708*if(Z2708=true,0.453592,1)=$AE2708,M2708,0),IF(N2708*if(Z2708=true,0.453592,1)=$AE2708,O2708,0),IF(P2708*if(Z2708=true,0.453592,1)=$AE2708,Q2708,0),IF(R2708*if(Z2708=true,0.453592,1)=$AE2708,S2708,0),IF(T2708*if(Z2708=true,0.453592,1)=$AE2708,U2708,0),IF(V2708*if(Z2708=true,0.453592,1)=$AE2708,W2708,0),IF(X2708*if(Z2708=true,0.453592,1)=$AE2708,Y2708,0))</f>
        <v>0</v>
      </c>
      <c r="AG2708" s="1"/>
    </row>
    <row r="2709" ht="21.0" customHeight="1">
      <c r="A2709" s="1"/>
      <c r="B2709" s="48" t="s">
        <v>36</v>
      </c>
      <c r="C2709" s="49"/>
      <c r="D2709" s="65"/>
      <c r="E2709" s="66"/>
      <c r="F2709" s="52" t="s">
        <v>37</v>
      </c>
      <c r="G2709" s="67"/>
      <c r="H2709" s="129"/>
      <c r="I2709" s="69"/>
      <c r="J2709" s="72"/>
      <c r="K2709" s="73"/>
      <c r="L2709" s="72"/>
      <c r="M2709" s="73"/>
      <c r="N2709" s="72"/>
      <c r="O2709" s="73"/>
      <c r="P2709" s="72"/>
      <c r="Q2709" s="73"/>
      <c r="R2709" s="72"/>
      <c r="S2709" s="73"/>
      <c r="T2709" s="72"/>
      <c r="U2709" s="73"/>
      <c r="V2709" s="72"/>
      <c r="W2709" s="73"/>
      <c r="X2709" s="72"/>
      <c r="Y2709" s="73"/>
      <c r="Z2709" s="74" t="b">
        <v>0</v>
      </c>
      <c r="AA2709" s="130">
        <f t="shared" si="1081"/>
        <v>0</v>
      </c>
      <c r="AB2709" s="131">
        <f t="shared" si="1082"/>
        <v>0</v>
      </c>
      <c r="AC2709" s="132">
        <f t="shared" si="1083"/>
        <v>0</v>
      </c>
      <c r="AD2709" s="133">
        <f t="shared" si="1084"/>
        <v>0</v>
      </c>
      <c r="AE2709" s="131">
        <f t="shared" si="1085"/>
        <v>0</v>
      </c>
      <c r="AF2709" s="133">
        <f t="shared" si="1086"/>
        <v>0</v>
      </c>
      <c r="AG2709" s="1"/>
    </row>
    <row r="2710" ht="21.0" customHeight="1">
      <c r="A2710" s="1"/>
      <c r="B2710" s="48" t="s">
        <v>39</v>
      </c>
      <c r="C2710" s="49"/>
      <c r="D2710" s="65"/>
      <c r="E2710" s="41"/>
      <c r="F2710" s="52" t="s">
        <v>40</v>
      </c>
      <c r="G2710" s="79"/>
      <c r="H2710" s="80"/>
      <c r="I2710" s="69"/>
      <c r="J2710" s="72"/>
      <c r="K2710" s="73"/>
      <c r="L2710" s="72"/>
      <c r="M2710" s="73"/>
      <c r="N2710" s="72"/>
      <c r="O2710" s="73"/>
      <c r="P2710" s="72"/>
      <c r="Q2710" s="73"/>
      <c r="R2710" s="72"/>
      <c r="S2710" s="73"/>
      <c r="T2710" s="72"/>
      <c r="U2710" s="73"/>
      <c r="V2710" s="72"/>
      <c r="W2710" s="73"/>
      <c r="X2710" s="72"/>
      <c r="Y2710" s="73"/>
      <c r="Z2710" s="74" t="b">
        <v>0</v>
      </c>
      <c r="AA2710" s="130">
        <f t="shared" si="1081"/>
        <v>0</v>
      </c>
      <c r="AB2710" s="131">
        <f t="shared" si="1082"/>
        <v>0</v>
      </c>
      <c r="AC2710" s="132">
        <f t="shared" si="1083"/>
        <v>0</v>
      </c>
      <c r="AD2710" s="133">
        <f t="shared" si="1084"/>
        <v>0</v>
      </c>
      <c r="AE2710" s="131">
        <f t="shared" si="1085"/>
        <v>0</v>
      </c>
      <c r="AF2710" s="133">
        <f t="shared" si="1086"/>
        <v>0</v>
      </c>
      <c r="AG2710" s="1"/>
    </row>
    <row r="2711" ht="21.0" customHeight="1">
      <c r="A2711" s="1"/>
      <c r="B2711" s="48" t="s">
        <v>41</v>
      </c>
      <c r="C2711" s="81"/>
      <c r="D2711" s="82" t="b">
        <v>0</v>
      </c>
      <c r="E2711" s="51" t="s">
        <v>42</v>
      </c>
      <c r="F2711" s="52" t="s">
        <v>34</v>
      </c>
      <c r="G2711" s="83"/>
      <c r="H2711" s="84"/>
      <c r="I2711" s="85"/>
      <c r="J2711" s="72"/>
      <c r="K2711" s="73"/>
      <c r="L2711" s="72"/>
      <c r="M2711" s="73"/>
      <c r="N2711" s="72"/>
      <c r="O2711" s="73"/>
      <c r="P2711" s="72"/>
      <c r="Q2711" s="73"/>
      <c r="R2711" s="72"/>
      <c r="S2711" s="73"/>
      <c r="T2711" s="72"/>
      <c r="U2711" s="73"/>
      <c r="V2711" s="72"/>
      <c r="W2711" s="73"/>
      <c r="X2711" s="72"/>
      <c r="Y2711" s="73"/>
      <c r="Z2711" s="74" t="b">
        <v>0</v>
      </c>
      <c r="AA2711" s="130">
        <f t="shared" si="1081"/>
        <v>0</v>
      </c>
      <c r="AB2711" s="131">
        <f t="shared" si="1082"/>
        <v>0</v>
      </c>
      <c r="AC2711" s="132">
        <f t="shared" si="1083"/>
        <v>0</v>
      </c>
      <c r="AD2711" s="133">
        <f t="shared" si="1084"/>
        <v>0</v>
      </c>
      <c r="AE2711" s="131">
        <f t="shared" si="1085"/>
        <v>0</v>
      </c>
      <c r="AF2711" s="133">
        <f t="shared" si="1086"/>
        <v>0</v>
      </c>
      <c r="AG2711" s="1"/>
    </row>
    <row r="2712" ht="21.0" customHeight="1">
      <c r="A2712" s="1"/>
      <c r="B2712" s="48" t="s">
        <v>43</v>
      </c>
      <c r="C2712" s="49"/>
      <c r="D2712" s="86" t="b">
        <v>0</v>
      </c>
      <c r="E2712" s="66"/>
      <c r="F2712" s="52" t="s">
        <v>37</v>
      </c>
      <c r="G2712" s="67"/>
      <c r="H2712" s="80"/>
      <c r="I2712" s="69"/>
      <c r="J2712" s="72"/>
      <c r="K2712" s="73"/>
      <c r="L2712" s="72"/>
      <c r="M2712" s="73"/>
      <c r="N2712" s="72"/>
      <c r="O2712" s="73"/>
      <c r="P2712" s="72"/>
      <c r="Q2712" s="73"/>
      <c r="R2712" s="72"/>
      <c r="S2712" s="73"/>
      <c r="T2712" s="72"/>
      <c r="U2712" s="73"/>
      <c r="V2712" s="72"/>
      <c r="W2712" s="73"/>
      <c r="X2712" s="72"/>
      <c r="Y2712" s="73"/>
      <c r="Z2712" s="74" t="b">
        <v>0</v>
      </c>
      <c r="AA2712" s="130">
        <f t="shared" si="1081"/>
        <v>0</v>
      </c>
      <c r="AB2712" s="131">
        <f t="shared" si="1082"/>
        <v>0</v>
      </c>
      <c r="AC2712" s="132">
        <f t="shared" si="1083"/>
        <v>0</v>
      </c>
      <c r="AD2712" s="133">
        <f t="shared" si="1084"/>
        <v>0</v>
      </c>
      <c r="AE2712" s="131">
        <f t="shared" si="1085"/>
        <v>0</v>
      </c>
      <c r="AF2712" s="133">
        <f t="shared" si="1086"/>
        <v>0</v>
      </c>
      <c r="AG2712" s="1"/>
    </row>
    <row r="2713" ht="21.0" customHeight="1">
      <c r="A2713" s="1"/>
      <c r="B2713" s="87" t="str">
        <f t="array" ref="B2713">"📌최근 인바디 결과 : "&amp;text(xlookup(B2705,'현황'!O:O,'현황'!O:O,,-1,-1),"m/d(ddd)")</f>
        <v>#REF!</v>
      </c>
      <c r="C2713" s="88"/>
      <c r="D2713" s="49"/>
      <c r="E2713" s="41"/>
      <c r="F2713" s="52" t="s">
        <v>40</v>
      </c>
      <c r="G2713" s="79"/>
      <c r="H2713" s="80"/>
      <c r="I2713" s="69"/>
      <c r="J2713" s="72"/>
      <c r="K2713" s="73"/>
      <c r="L2713" s="72"/>
      <c r="M2713" s="73"/>
      <c r="N2713" s="72"/>
      <c r="O2713" s="73"/>
      <c r="P2713" s="72"/>
      <c r="Q2713" s="73"/>
      <c r="R2713" s="72"/>
      <c r="S2713" s="73"/>
      <c r="T2713" s="72"/>
      <c r="U2713" s="73"/>
      <c r="V2713" s="72"/>
      <c r="W2713" s="73"/>
      <c r="X2713" s="72"/>
      <c r="Y2713" s="73"/>
      <c r="Z2713" s="74" t="b">
        <v>0</v>
      </c>
      <c r="AA2713" s="130">
        <f t="shared" si="1081"/>
        <v>0</v>
      </c>
      <c r="AB2713" s="131">
        <f t="shared" si="1082"/>
        <v>0</v>
      </c>
      <c r="AC2713" s="132">
        <f t="shared" si="1083"/>
        <v>0</v>
      </c>
      <c r="AD2713" s="133">
        <f t="shared" si="1084"/>
        <v>0</v>
      </c>
      <c r="AE2713" s="131">
        <f t="shared" si="1085"/>
        <v>0</v>
      </c>
      <c r="AF2713" s="133">
        <f t="shared" si="1086"/>
        <v>0</v>
      </c>
      <c r="AG2713" s="1"/>
    </row>
    <row r="2714" ht="21.0" customHeight="1">
      <c r="A2714" s="1"/>
      <c r="B2714" s="89" t="s">
        <v>44</v>
      </c>
      <c r="C2714" s="49"/>
      <c r="D2714" s="90">
        <f t="array" ref="D2714">iferror(vlookup(xlookup(B2705,'현황'!O:O,'현황'!O:O,,-1,-1),'현황'!O:S,2,false),0)</f>
        <v>0</v>
      </c>
      <c r="E2714" s="51" t="s">
        <v>45</v>
      </c>
      <c r="F2714" s="52" t="s">
        <v>34</v>
      </c>
      <c r="G2714" s="83"/>
      <c r="H2714" s="84"/>
      <c r="I2714" s="85"/>
      <c r="J2714" s="72"/>
      <c r="K2714" s="73"/>
      <c r="L2714" s="72"/>
      <c r="M2714" s="73"/>
      <c r="N2714" s="72"/>
      <c r="O2714" s="73"/>
      <c r="P2714" s="72"/>
      <c r="Q2714" s="73"/>
      <c r="R2714" s="72"/>
      <c r="S2714" s="73"/>
      <c r="T2714" s="72"/>
      <c r="U2714" s="73"/>
      <c r="V2714" s="72"/>
      <c r="W2714" s="73"/>
      <c r="X2714" s="72"/>
      <c r="Y2714" s="73"/>
      <c r="Z2714" s="74" t="b">
        <v>0</v>
      </c>
      <c r="AA2714" s="130">
        <f t="shared" si="1081"/>
        <v>0</v>
      </c>
      <c r="AB2714" s="131">
        <f t="shared" si="1082"/>
        <v>0</v>
      </c>
      <c r="AC2714" s="132">
        <f t="shared" si="1083"/>
        <v>0</v>
      </c>
      <c r="AD2714" s="133">
        <f t="shared" si="1084"/>
        <v>0</v>
      </c>
      <c r="AE2714" s="131">
        <f t="shared" si="1085"/>
        <v>0</v>
      </c>
      <c r="AF2714" s="133">
        <f t="shared" si="1086"/>
        <v>0</v>
      </c>
      <c r="AG2714" s="1"/>
    </row>
    <row r="2715" ht="21.0" customHeight="1">
      <c r="A2715" s="1"/>
      <c r="B2715" s="48" t="s">
        <v>46</v>
      </c>
      <c r="C2715" s="49"/>
      <c r="D2715" s="91">
        <f t="array" ref="D2715">iferror(vlookup(xlookup(B2705,'현황'!O:O,'현황'!O:O,,-1,-1),'현황'!O:S,3,false),0)</f>
        <v>0</v>
      </c>
      <c r="E2715" s="66"/>
      <c r="F2715" s="52" t="s">
        <v>37</v>
      </c>
      <c r="G2715" s="67"/>
      <c r="H2715" s="80"/>
      <c r="I2715" s="69"/>
      <c r="J2715" s="72"/>
      <c r="K2715" s="73"/>
      <c r="L2715" s="72"/>
      <c r="M2715" s="73"/>
      <c r="N2715" s="72"/>
      <c r="O2715" s="73"/>
      <c r="P2715" s="72"/>
      <c r="Q2715" s="73"/>
      <c r="R2715" s="72"/>
      <c r="S2715" s="73"/>
      <c r="T2715" s="72"/>
      <c r="U2715" s="73"/>
      <c r="V2715" s="72"/>
      <c r="W2715" s="73"/>
      <c r="X2715" s="72"/>
      <c r="Y2715" s="73"/>
      <c r="Z2715" s="74" t="b">
        <v>0</v>
      </c>
      <c r="AA2715" s="130">
        <f t="shared" si="1081"/>
        <v>0</v>
      </c>
      <c r="AB2715" s="131">
        <f t="shared" si="1082"/>
        <v>0</v>
      </c>
      <c r="AC2715" s="132">
        <f t="shared" si="1083"/>
        <v>0</v>
      </c>
      <c r="AD2715" s="133">
        <f t="shared" si="1084"/>
        <v>0</v>
      </c>
      <c r="AE2715" s="131">
        <f t="shared" si="1085"/>
        <v>0</v>
      </c>
      <c r="AF2715" s="133">
        <f t="shared" si="1086"/>
        <v>0</v>
      </c>
      <c r="AG2715" s="1"/>
    </row>
    <row r="2716" ht="21.0" customHeight="1">
      <c r="A2716" s="1"/>
      <c r="B2716" s="48" t="s">
        <v>47</v>
      </c>
      <c r="C2716" s="49"/>
      <c r="D2716" s="91">
        <f t="array" ref="D2716">iferror(vlookup(xlookup(B2705,'현황'!O:O,'현황'!O:O,,-1,-1),'현황'!O:S,4,false),0)</f>
        <v>0</v>
      </c>
      <c r="E2716" s="41"/>
      <c r="F2716" s="92" t="s">
        <v>40</v>
      </c>
      <c r="G2716" s="79"/>
      <c r="H2716" s="93"/>
      <c r="I2716" s="94"/>
      <c r="J2716" s="95"/>
      <c r="K2716" s="96"/>
      <c r="L2716" s="95"/>
      <c r="M2716" s="96"/>
      <c r="N2716" s="95"/>
      <c r="O2716" s="96"/>
      <c r="P2716" s="95"/>
      <c r="Q2716" s="96"/>
      <c r="R2716" s="95"/>
      <c r="S2716" s="96"/>
      <c r="T2716" s="95"/>
      <c r="U2716" s="96"/>
      <c r="V2716" s="95"/>
      <c r="W2716" s="96"/>
      <c r="X2716" s="95"/>
      <c r="Y2716" s="96"/>
      <c r="Z2716" s="97" t="b">
        <v>0</v>
      </c>
      <c r="AA2716" s="135">
        <f t="shared" si="1081"/>
        <v>0</v>
      </c>
      <c r="AB2716" s="136">
        <f t="shared" si="1082"/>
        <v>0</v>
      </c>
      <c r="AC2716" s="137">
        <f t="shared" si="1083"/>
        <v>0</v>
      </c>
      <c r="AD2716" s="138">
        <f t="shared" si="1084"/>
        <v>0</v>
      </c>
      <c r="AE2716" s="136">
        <f t="shared" si="1085"/>
        <v>0</v>
      </c>
      <c r="AF2716" s="138">
        <f t="shared" si="1086"/>
        <v>0</v>
      </c>
      <c r="AG2716" s="1"/>
    </row>
    <row r="2717" ht="21.0" customHeight="1">
      <c r="A2717" s="1"/>
      <c r="B2717" s="102" t="s">
        <v>48</v>
      </c>
      <c r="C2717" s="103"/>
      <c r="D2717" s="104">
        <f>iferror(D2716/D2714,0)</f>
        <v>0</v>
      </c>
      <c r="E2717" s="102" t="s">
        <v>49</v>
      </c>
      <c r="F2717" s="103"/>
      <c r="G2717" s="105"/>
      <c r="H2717" s="106" t="s">
        <v>50</v>
      </c>
      <c r="I2717" s="107"/>
      <c r="J2717" s="11"/>
      <c r="K2717" s="11"/>
      <c r="L2717" s="11"/>
      <c r="M2717" s="11"/>
      <c r="N2717" s="11"/>
      <c r="O2717" s="11"/>
      <c r="P2717" s="108" t="s">
        <v>51</v>
      </c>
      <c r="Q2717" s="12"/>
      <c r="R2717" s="109"/>
      <c r="S2717" s="11"/>
      <c r="T2717" s="11"/>
      <c r="U2717" s="11"/>
      <c r="V2717" s="11"/>
      <c r="W2717" s="11"/>
      <c r="X2717" s="11"/>
      <c r="Y2717" s="11"/>
      <c r="Z2717" s="12"/>
      <c r="AA2717" s="139">
        <f>SUM(AA2708:AA2716)</f>
        <v>0</v>
      </c>
      <c r="AB2717" s="140" t="s">
        <v>459</v>
      </c>
      <c r="AG2717" s="1"/>
    </row>
    <row r="2718" ht="21.0" customHeight="1">
      <c r="A2718" s="1"/>
      <c r="B2718" s="1"/>
      <c r="C2718" s="1"/>
      <c r="D2718" s="1"/>
      <c r="E2718" s="1"/>
      <c r="F2718" s="1"/>
      <c r="G2718" s="1"/>
      <c r="H2718" s="1"/>
      <c r="I2718" s="1"/>
      <c r="AA2718" s="1"/>
      <c r="AB2718" s="1"/>
      <c r="AC2718" s="3"/>
      <c r="AD2718" s="1"/>
      <c r="AE2718" s="1"/>
      <c r="AF2718" s="1"/>
      <c r="AG2718" s="1"/>
    </row>
    <row r="2719" ht="21.0" customHeight="1">
      <c r="A2719" s="1"/>
      <c r="B2719" s="4" t="s">
        <v>1</v>
      </c>
      <c r="C2719" s="5"/>
      <c r="D2719" s="6" t="s">
        <v>2</v>
      </c>
      <c r="E2719" s="7"/>
      <c r="F2719" s="7"/>
      <c r="G2719" s="5"/>
      <c r="H2719" s="8" t="s">
        <v>3</v>
      </c>
      <c r="I2719" s="8" t="s">
        <v>4</v>
      </c>
      <c r="J2719" s="9" t="s">
        <v>5</v>
      </c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5"/>
      <c r="AA2719" s="117" t="s">
        <v>6</v>
      </c>
      <c r="AB2719" s="11"/>
      <c r="AC2719" s="11"/>
      <c r="AD2719" s="11"/>
      <c r="AE2719" s="11"/>
      <c r="AF2719" s="12"/>
      <c r="AG2719" s="1"/>
    </row>
    <row r="2720" ht="21.0" customHeight="1">
      <c r="A2720" s="1"/>
      <c r="B2720" s="149" t="s">
        <v>138</v>
      </c>
      <c r="C2720" s="14" t="str">
        <f>if(B2720="0/0","",choose(weekday(B2720),"(일)","(월)","(화)","(수)","(목)","(금)","(토)"))</f>
        <v/>
      </c>
      <c r="D2720" s="15" t="s">
        <v>7</v>
      </c>
      <c r="E2720" s="16" t="s">
        <v>8</v>
      </c>
      <c r="F2720" s="17"/>
      <c r="G2720" s="18" t="s">
        <v>9</v>
      </c>
      <c r="H2720" s="150" t="s">
        <v>139</v>
      </c>
      <c r="I2720" s="151"/>
      <c r="J2720" s="21" t="s">
        <v>12</v>
      </c>
      <c r="K2720" s="22"/>
      <c r="L2720" s="21" t="s">
        <v>13</v>
      </c>
      <c r="M2720" s="22"/>
      <c r="N2720" s="21" t="s">
        <v>14</v>
      </c>
      <c r="O2720" s="22"/>
      <c r="P2720" s="21" t="s">
        <v>15</v>
      </c>
      <c r="Q2720" s="22"/>
      <c r="R2720" s="23" t="s">
        <v>16</v>
      </c>
      <c r="S2720" s="22"/>
      <c r="T2720" s="23" t="s">
        <v>17</v>
      </c>
      <c r="U2720" s="22"/>
      <c r="V2720" s="23" t="s">
        <v>18</v>
      </c>
      <c r="W2720" s="22"/>
      <c r="X2720" s="23" t="s">
        <v>19</v>
      </c>
      <c r="Y2720" s="22"/>
      <c r="Z2720" s="24" t="s">
        <v>460</v>
      </c>
      <c r="AA2720" s="118" t="s">
        <v>21</v>
      </c>
      <c r="AB2720" s="119" t="s">
        <v>22</v>
      </c>
      <c r="AC2720" s="7"/>
      <c r="AD2720" s="22"/>
      <c r="AE2720" s="120" t="s">
        <v>23</v>
      </c>
      <c r="AF2720" s="22"/>
      <c r="AG2720" s="1"/>
    </row>
    <row r="2721" ht="21.0" customHeight="1">
      <c r="A2721" s="1"/>
      <c r="B2721" s="27">
        <f>iferror(B2720-'현황'!$C$4+1,0)</f>
        <v>0</v>
      </c>
      <c r="C2721" s="28"/>
      <c r="D2721" s="29">
        <v>0.0</v>
      </c>
      <c r="E2721" s="30">
        <v>0.0</v>
      </c>
      <c r="F2721" s="31"/>
      <c r="G2721" s="32">
        <v>0.0</v>
      </c>
      <c r="H2721" s="33">
        <v>0.0</v>
      </c>
      <c r="I2721" s="34"/>
      <c r="J2721" s="35"/>
      <c r="K2721" s="36"/>
      <c r="L2721" s="35"/>
      <c r="M2721" s="36"/>
      <c r="N2721" s="35"/>
      <c r="O2721" s="36"/>
      <c r="P2721" s="35"/>
      <c r="Q2721" s="36"/>
      <c r="R2721" s="35"/>
      <c r="S2721" s="36"/>
      <c r="T2721" s="35"/>
      <c r="U2721" s="36"/>
      <c r="V2721" s="35"/>
      <c r="W2721" s="36"/>
      <c r="X2721" s="35"/>
      <c r="Y2721" s="36"/>
      <c r="Z2721" s="37"/>
      <c r="AA2721" s="37"/>
      <c r="AB2721" s="35"/>
      <c r="AC2721" s="38"/>
      <c r="AD2721" s="36"/>
      <c r="AE2721" s="35"/>
      <c r="AF2721" s="36"/>
      <c r="AG2721" s="1"/>
    </row>
    <row r="2722" ht="21.0" customHeight="1">
      <c r="A2722" s="1"/>
      <c r="B2722" s="39" t="s">
        <v>24</v>
      </c>
      <c r="C2722" s="40"/>
      <c r="D2722" s="41"/>
      <c r="E2722" s="42" t="s">
        <v>25</v>
      </c>
      <c r="F2722" s="40"/>
      <c r="G2722" s="41"/>
      <c r="H2722" s="43" t="s">
        <v>26</v>
      </c>
      <c r="J2722" s="44" t="s">
        <v>27</v>
      </c>
      <c r="K2722" s="45" t="s">
        <v>28</v>
      </c>
      <c r="L2722" s="44" t="s">
        <v>27</v>
      </c>
      <c r="M2722" s="45" t="s">
        <v>28</v>
      </c>
      <c r="N2722" s="44" t="s">
        <v>27</v>
      </c>
      <c r="O2722" s="45" t="s">
        <v>28</v>
      </c>
      <c r="P2722" s="44" t="s">
        <v>27</v>
      </c>
      <c r="Q2722" s="45" t="s">
        <v>28</v>
      </c>
      <c r="R2722" s="44" t="s">
        <v>27</v>
      </c>
      <c r="S2722" s="45" t="s">
        <v>28</v>
      </c>
      <c r="T2722" s="44" t="s">
        <v>27</v>
      </c>
      <c r="U2722" s="45" t="s">
        <v>28</v>
      </c>
      <c r="V2722" s="44" t="s">
        <v>27</v>
      </c>
      <c r="W2722" s="45" t="s">
        <v>28</v>
      </c>
      <c r="X2722" s="44" t="s">
        <v>27</v>
      </c>
      <c r="Y2722" s="45" t="s">
        <v>28</v>
      </c>
      <c r="Z2722" s="46"/>
      <c r="AA2722" s="46"/>
      <c r="AB2722" s="121" t="s">
        <v>29</v>
      </c>
      <c r="AC2722" s="122" t="s">
        <v>30</v>
      </c>
      <c r="AD2722" s="123" t="s">
        <v>31</v>
      </c>
      <c r="AE2722" s="121" t="s">
        <v>27</v>
      </c>
      <c r="AF2722" s="123" t="s">
        <v>28</v>
      </c>
      <c r="AG2722" s="1"/>
    </row>
    <row r="2723" ht="21.0" customHeight="1">
      <c r="A2723" s="1"/>
      <c r="B2723" s="48" t="s">
        <v>32</v>
      </c>
      <c r="C2723" s="49"/>
      <c r="D2723" s="50"/>
      <c r="E2723" s="51" t="s">
        <v>33</v>
      </c>
      <c r="F2723" s="52" t="s">
        <v>34</v>
      </c>
      <c r="G2723" s="53"/>
      <c r="H2723" s="148"/>
      <c r="I2723" s="55"/>
      <c r="J2723" s="58"/>
      <c r="K2723" s="59"/>
      <c r="L2723" s="58"/>
      <c r="M2723" s="59"/>
      <c r="N2723" s="58"/>
      <c r="O2723" s="59"/>
      <c r="P2723" s="58"/>
      <c r="Q2723" s="59"/>
      <c r="R2723" s="58"/>
      <c r="S2723" s="59"/>
      <c r="T2723" s="58"/>
      <c r="U2723" s="59"/>
      <c r="V2723" s="58"/>
      <c r="W2723" s="59"/>
      <c r="X2723" s="58"/>
      <c r="Y2723" s="59"/>
      <c r="Z2723" s="60" t="b">
        <v>0</v>
      </c>
      <c r="AA2723" s="125">
        <f t="shared" ref="AA2723:AA2731" si="1087">(J2723*K2723+L2723*M2723+N2723*O2723+P2723*Q2723+R2723*S2723+T2723*U2723+V2723*W2723+X2723*Y2723)*if(Z2723=true,0.453592,1)</f>
        <v>0</v>
      </c>
      <c r="AB2723" s="126">
        <f t="shared" ref="AB2723:AB2731" si="1088">SUM(AE2723*AF2723*0.025,AE2723)</f>
        <v>0</v>
      </c>
      <c r="AC2723" s="127">
        <f t="shared" ref="AC2723:AC2731" si="1089">AB2723*87%</f>
        <v>0</v>
      </c>
      <c r="AD2723" s="128">
        <f t="shared" ref="AD2723:AD2731" si="1090">AB2723*67%</f>
        <v>0</v>
      </c>
      <c r="AE2723" s="126">
        <f t="shared" ref="AE2723:AE2731" si="1091">MAX(J2723,L2723,N2723,P2723,R2723,T2723,V2723,X2723)*if(Z2723=true,0.453592,1)</f>
        <v>0</v>
      </c>
      <c r="AF2723" s="128">
        <f t="shared" ref="AF2723:AF2731" si="1092">MAX(IF(J2723*if(Z2723=true,0.453592,1)=$AE2723,K2723,0),IF(L2723*if(Z2723=true,0.453592,1)=$AE2723,M2723,0),IF(N2723*if(Z2723=true,0.453592,1)=$AE2723,O2723,0),IF(P2723*if(Z2723=true,0.453592,1)=$AE2723,Q2723,0),IF(R2723*if(Z2723=true,0.453592,1)=$AE2723,S2723,0),IF(T2723*if(Z2723=true,0.453592,1)=$AE2723,U2723,0),IF(V2723*if(Z2723=true,0.453592,1)=$AE2723,W2723,0),IF(X2723*if(Z2723=true,0.453592,1)=$AE2723,Y2723,0))</f>
        <v>0</v>
      </c>
      <c r="AG2723" s="1"/>
    </row>
    <row r="2724" ht="21.0" customHeight="1">
      <c r="A2724" s="1"/>
      <c r="B2724" s="48" t="s">
        <v>36</v>
      </c>
      <c r="C2724" s="49"/>
      <c r="D2724" s="65"/>
      <c r="E2724" s="66"/>
      <c r="F2724" s="52" t="s">
        <v>37</v>
      </c>
      <c r="G2724" s="67"/>
      <c r="H2724" s="129"/>
      <c r="I2724" s="69"/>
      <c r="J2724" s="72"/>
      <c r="K2724" s="73"/>
      <c r="L2724" s="72"/>
      <c r="M2724" s="73"/>
      <c r="N2724" s="72"/>
      <c r="O2724" s="73"/>
      <c r="P2724" s="72"/>
      <c r="Q2724" s="73"/>
      <c r="R2724" s="72"/>
      <c r="S2724" s="73"/>
      <c r="T2724" s="72"/>
      <c r="U2724" s="73"/>
      <c r="V2724" s="72"/>
      <c r="W2724" s="73"/>
      <c r="X2724" s="72"/>
      <c r="Y2724" s="73"/>
      <c r="Z2724" s="74" t="b">
        <v>0</v>
      </c>
      <c r="AA2724" s="130">
        <f t="shared" si="1087"/>
        <v>0</v>
      </c>
      <c r="AB2724" s="131">
        <f t="shared" si="1088"/>
        <v>0</v>
      </c>
      <c r="AC2724" s="132">
        <f t="shared" si="1089"/>
        <v>0</v>
      </c>
      <c r="AD2724" s="133">
        <f t="shared" si="1090"/>
        <v>0</v>
      </c>
      <c r="AE2724" s="131">
        <f t="shared" si="1091"/>
        <v>0</v>
      </c>
      <c r="AF2724" s="133">
        <f t="shared" si="1092"/>
        <v>0</v>
      </c>
      <c r="AG2724" s="1"/>
    </row>
    <row r="2725" ht="21.0" customHeight="1">
      <c r="A2725" s="1"/>
      <c r="B2725" s="48" t="s">
        <v>39</v>
      </c>
      <c r="C2725" s="49"/>
      <c r="D2725" s="65"/>
      <c r="E2725" s="41"/>
      <c r="F2725" s="52" t="s">
        <v>40</v>
      </c>
      <c r="G2725" s="79"/>
      <c r="H2725" s="80"/>
      <c r="I2725" s="69"/>
      <c r="J2725" s="72"/>
      <c r="K2725" s="73"/>
      <c r="L2725" s="72"/>
      <c r="M2725" s="73"/>
      <c r="N2725" s="72"/>
      <c r="O2725" s="73"/>
      <c r="P2725" s="72"/>
      <c r="Q2725" s="73"/>
      <c r="R2725" s="72"/>
      <c r="S2725" s="73"/>
      <c r="T2725" s="72"/>
      <c r="U2725" s="73"/>
      <c r="V2725" s="72"/>
      <c r="W2725" s="73"/>
      <c r="X2725" s="72"/>
      <c r="Y2725" s="73"/>
      <c r="Z2725" s="74" t="b">
        <v>0</v>
      </c>
      <c r="AA2725" s="130">
        <f t="shared" si="1087"/>
        <v>0</v>
      </c>
      <c r="AB2725" s="131">
        <f t="shared" si="1088"/>
        <v>0</v>
      </c>
      <c r="AC2725" s="132">
        <f t="shared" si="1089"/>
        <v>0</v>
      </c>
      <c r="AD2725" s="133">
        <f t="shared" si="1090"/>
        <v>0</v>
      </c>
      <c r="AE2725" s="131">
        <f t="shared" si="1091"/>
        <v>0</v>
      </c>
      <c r="AF2725" s="133">
        <f t="shared" si="1092"/>
        <v>0</v>
      </c>
      <c r="AG2725" s="1"/>
    </row>
    <row r="2726" ht="21.0" customHeight="1">
      <c r="A2726" s="1"/>
      <c r="B2726" s="48" t="s">
        <v>41</v>
      </c>
      <c r="C2726" s="81"/>
      <c r="D2726" s="82" t="b">
        <v>0</v>
      </c>
      <c r="E2726" s="51" t="s">
        <v>42</v>
      </c>
      <c r="F2726" s="52" t="s">
        <v>34</v>
      </c>
      <c r="G2726" s="83"/>
      <c r="H2726" s="84"/>
      <c r="I2726" s="85"/>
      <c r="J2726" s="72"/>
      <c r="K2726" s="73"/>
      <c r="L2726" s="72"/>
      <c r="M2726" s="73"/>
      <c r="N2726" s="72"/>
      <c r="O2726" s="73"/>
      <c r="P2726" s="72"/>
      <c r="Q2726" s="73"/>
      <c r="R2726" s="72"/>
      <c r="S2726" s="73"/>
      <c r="T2726" s="72"/>
      <c r="U2726" s="73"/>
      <c r="V2726" s="72"/>
      <c r="W2726" s="73"/>
      <c r="X2726" s="72"/>
      <c r="Y2726" s="73"/>
      <c r="Z2726" s="74" t="b">
        <v>0</v>
      </c>
      <c r="AA2726" s="130">
        <f t="shared" si="1087"/>
        <v>0</v>
      </c>
      <c r="AB2726" s="131">
        <f t="shared" si="1088"/>
        <v>0</v>
      </c>
      <c r="AC2726" s="132">
        <f t="shared" si="1089"/>
        <v>0</v>
      </c>
      <c r="AD2726" s="133">
        <f t="shared" si="1090"/>
        <v>0</v>
      </c>
      <c r="AE2726" s="131">
        <f t="shared" si="1091"/>
        <v>0</v>
      </c>
      <c r="AF2726" s="133">
        <f t="shared" si="1092"/>
        <v>0</v>
      </c>
      <c r="AG2726" s="1"/>
    </row>
    <row r="2727" ht="21.0" customHeight="1">
      <c r="A2727" s="1"/>
      <c r="B2727" s="48" t="s">
        <v>43</v>
      </c>
      <c r="C2727" s="49"/>
      <c r="D2727" s="86" t="b">
        <v>0</v>
      </c>
      <c r="E2727" s="66"/>
      <c r="F2727" s="52" t="s">
        <v>37</v>
      </c>
      <c r="G2727" s="67"/>
      <c r="H2727" s="80"/>
      <c r="I2727" s="69"/>
      <c r="J2727" s="72"/>
      <c r="K2727" s="73"/>
      <c r="L2727" s="72"/>
      <c r="M2727" s="73"/>
      <c r="N2727" s="72"/>
      <c r="O2727" s="73"/>
      <c r="P2727" s="72"/>
      <c r="Q2727" s="73"/>
      <c r="R2727" s="72"/>
      <c r="S2727" s="73"/>
      <c r="T2727" s="72"/>
      <c r="U2727" s="73"/>
      <c r="V2727" s="72"/>
      <c r="W2727" s="73"/>
      <c r="X2727" s="72"/>
      <c r="Y2727" s="73"/>
      <c r="Z2727" s="74" t="b">
        <v>0</v>
      </c>
      <c r="AA2727" s="130">
        <f t="shared" si="1087"/>
        <v>0</v>
      </c>
      <c r="AB2727" s="131">
        <f t="shared" si="1088"/>
        <v>0</v>
      </c>
      <c r="AC2727" s="132">
        <f t="shared" si="1089"/>
        <v>0</v>
      </c>
      <c r="AD2727" s="133">
        <f t="shared" si="1090"/>
        <v>0</v>
      </c>
      <c r="AE2727" s="131">
        <f t="shared" si="1091"/>
        <v>0</v>
      </c>
      <c r="AF2727" s="133">
        <f t="shared" si="1092"/>
        <v>0</v>
      </c>
      <c r="AG2727" s="1"/>
    </row>
    <row r="2728" ht="21.0" customHeight="1">
      <c r="A2728" s="1"/>
      <c r="B2728" s="87" t="str">
        <f t="array" ref="B2728">"📌최근 인바디 결과 : "&amp;text(xlookup(B2720,'현황'!O:O,'현황'!O:O,,-1,-1),"m/d(ddd)")</f>
        <v>#REF!</v>
      </c>
      <c r="C2728" s="88"/>
      <c r="D2728" s="49"/>
      <c r="E2728" s="41"/>
      <c r="F2728" s="52" t="s">
        <v>40</v>
      </c>
      <c r="G2728" s="79"/>
      <c r="H2728" s="80"/>
      <c r="I2728" s="69"/>
      <c r="J2728" s="72"/>
      <c r="K2728" s="73"/>
      <c r="L2728" s="72"/>
      <c r="M2728" s="73"/>
      <c r="N2728" s="72"/>
      <c r="O2728" s="73"/>
      <c r="P2728" s="72"/>
      <c r="Q2728" s="73"/>
      <c r="R2728" s="72"/>
      <c r="S2728" s="73"/>
      <c r="T2728" s="72"/>
      <c r="U2728" s="73"/>
      <c r="V2728" s="72"/>
      <c r="W2728" s="73"/>
      <c r="X2728" s="72"/>
      <c r="Y2728" s="73"/>
      <c r="Z2728" s="74" t="b">
        <v>0</v>
      </c>
      <c r="AA2728" s="130">
        <f t="shared" si="1087"/>
        <v>0</v>
      </c>
      <c r="AB2728" s="131">
        <f t="shared" si="1088"/>
        <v>0</v>
      </c>
      <c r="AC2728" s="132">
        <f t="shared" si="1089"/>
        <v>0</v>
      </c>
      <c r="AD2728" s="133">
        <f t="shared" si="1090"/>
        <v>0</v>
      </c>
      <c r="AE2728" s="131">
        <f t="shared" si="1091"/>
        <v>0</v>
      </c>
      <c r="AF2728" s="133">
        <f t="shared" si="1092"/>
        <v>0</v>
      </c>
      <c r="AG2728" s="1"/>
    </row>
    <row r="2729" ht="21.0" customHeight="1">
      <c r="A2729" s="1"/>
      <c r="B2729" s="89" t="s">
        <v>44</v>
      </c>
      <c r="C2729" s="49"/>
      <c r="D2729" s="90">
        <f t="array" ref="D2729">iferror(vlookup(xlookup(B2720,'현황'!O:O,'현황'!O:O,,-1,-1),'현황'!O:S,2,false),0)</f>
        <v>0</v>
      </c>
      <c r="E2729" s="51" t="s">
        <v>45</v>
      </c>
      <c r="F2729" s="52" t="s">
        <v>34</v>
      </c>
      <c r="G2729" s="83"/>
      <c r="H2729" s="84"/>
      <c r="I2729" s="85"/>
      <c r="J2729" s="72"/>
      <c r="K2729" s="73"/>
      <c r="L2729" s="72"/>
      <c r="M2729" s="73"/>
      <c r="N2729" s="72"/>
      <c r="O2729" s="73"/>
      <c r="P2729" s="72"/>
      <c r="Q2729" s="73"/>
      <c r="R2729" s="72"/>
      <c r="S2729" s="73"/>
      <c r="T2729" s="72"/>
      <c r="U2729" s="73"/>
      <c r="V2729" s="72"/>
      <c r="W2729" s="73"/>
      <c r="X2729" s="72"/>
      <c r="Y2729" s="73"/>
      <c r="Z2729" s="74" t="b">
        <v>0</v>
      </c>
      <c r="AA2729" s="130">
        <f t="shared" si="1087"/>
        <v>0</v>
      </c>
      <c r="AB2729" s="131">
        <f t="shared" si="1088"/>
        <v>0</v>
      </c>
      <c r="AC2729" s="132">
        <f t="shared" si="1089"/>
        <v>0</v>
      </c>
      <c r="AD2729" s="133">
        <f t="shared" si="1090"/>
        <v>0</v>
      </c>
      <c r="AE2729" s="131">
        <f t="shared" si="1091"/>
        <v>0</v>
      </c>
      <c r="AF2729" s="133">
        <f t="shared" si="1092"/>
        <v>0</v>
      </c>
      <c r="AG2729" s="1"/>
    </row>
    <row r="2730" ht="21.0" customHeight="1">
      <c r="A2730" s="1"/>
      <c r="B2730" s="48" t="s">
        <v>46</v>
      </c>
      <c r="C2730" s="49"/>
      <c r="D2730" s="91">
        <f t="array" ref="D2730">iferror(vlookup(xlookup(B2720,'현황'!O:O,'현황'!O:O,,-1,-1),'현황'!O:S,3,false),0)</f>
        <v>0</v>
      </c>
      <c r="E2730" s="66"/>
      <c r="F2730" s="52" t="s">
        <v>37</v>
      </c>
      <c r="G2730" s="67"/>
      <c r="H2730" s="80"/>
      <c r="I2730" s="69"/>
      <c r="J2730" s="72"/>
      <c r="K2730" s="73"/>
      <c r="L2730" s="72"/>
      <c r="M2730" s="73"/>
      <c r="N2730" s="72"/>
      <c r="O2730" s="73"/>
      <c r="P2730" s="72"/>
      <c r="Q2730" s="73"/>
      <c r="R2730" s="72"/>
      <c r="S2730" s="73"/>
      <c r="T2730" s="72"/>
      <c r="U2730" s="73"/>
      <c r="V2730" s="72"/>
      <c r="W2730" s="73"/>
      <c r="X2730" s="72"/>
      <c r="Y2730" s="73"/>
      <c r="Z2730" s="74" t="b">
        <v>0</v>
      </c>
      <c r="AA2730" s="130">
        <f t="shared" si="1087"/>
        <v>0</v>
      </c>
      <c r="AB2730" s="131">
        <f t="shared" si="1088"/>
        <v>0</v>
      </c>
      <c r="AC2730" s="132">
        <f t="shared" si="1089"/>
        <v>0</v>
      </c>
      <c r="AD2730" s="133">
        <f t="shared" si="1090"/>
        <v>0</v>
      </c>
      <c r="AE2730" s="131">
        <f t="shared" si="1091"/>
        <v>0</v>
      </c>
      <c r="AF2730" s="133">
        <f t="shared" si="1092"/>
        <v>0</v>
      </c>
      <c r="AG2730" s="1"/>
    </row>
    <row r="2731" ht="21.0" customHeight="1">
      <c r="A2731" s="1"/>
      <c r="B2731" s="48" t="s">
        <v>47</v>
      </c>
      <c r="C2731" s="49"/>
      <c r="D2731" s="91">
        <f t="array" ref="D2731">iferror(vlookup(xlookup(B2720,'현황'!O:O,'현황'!O:O,,-1,-1),'현황'!O:S,4,false),0)</f>
        <v>0</v>
      </c>
      <c r="E2731" s="41"/>
      <c r="F2731" s="92" t="s">
        <v>40</v>
      </c>
      <c r="G2731" s="79"/>
      <c r="H2731" s="93"/>
      <c r="I2731" s="94"/>
      <c r="J2731" s="95"/>
      <c r="K2731" s="96"/>
      <c r="L2731" s="95"/>
      <c r="M2731" s="96"/>
      <c r="N2731" s="95"/>
      <c r="O2731" s="96"/>
      <c r="P2731" s="95"/>
      <c r="Q2731" s="96"/>
      <c r="R2731" s="95"/>
      <c r="S2731" s="96"/>
      <c r="T2731" s="95"/>
      <c r="U2731" s="96"/>
      <c r="V2731" s="95"/>
      <c r="W2731" s="96"/>
      <c r="X2731" s="95"/>
      <c r="Y2731" s="96"/>
      <c r="Z2731" s="97" t="b">
        <v>0</v>
      </c>
      <c r="AA2731" s="135">
        <f t="shared" si="1087"/>
        <v>0</v>
      </c>
      <c r="AB2731" s="136">
        <f t="shared" si="1088"/>
        <v>0</v>
      </c>
      <c r="AC2731" s="137">
        <f t="shared" si="1089"/>
        <v>0</v>
      </c>
      <c r="AD2731" s="138">
        <f t="shared" si="1090"/>
        <v>0</v>
      </c>
      <c r="AE2731" s="136">
        <f t="shared" si="1091"/>
        <v>0</v>
      </c>
      <c r="AF2731" s="138">
        <f t="shared" si="1092"/>
        <v>0</v>
      </c>
      <c r="AG2731" s="1"/>
    </row>
    <row r="2732" ht="21.0" customHeight="1">
      <c r="A2732" s="1"/>
      <c r="B2732" s="102" t="s">
        <v>48</v>
      </c>
      <c r="C2732" s="103"/>
      <c r="D2732" s="104">
        <f>iferror(D2731/D2729,0)</f>
        <v>0</v>
      </c>
      <c r="E2732" s="102" t="s">
        <v>49</v>
      </c>
      <c r="F2732" s="103"/>
      <c r="G2732" s="105"/>
      <c r="H2732" s="106" t="s">
        <v>50</v>
      </c>
      <c r="I2732" s="107"/>
      <c r="J2732" s="11"/>
      <c r="K2732" s="11"/>
      <c r="L2732" s="11"/>
      <c r="M2732" s="11"/>
      <c r="N2732" s="11"/>
      <c r="O2732" s="11"/>
      <c r="P2732" s="108" t="s">
        <v>51</v>
      </c>
      <c r="Q2732" s="12"/>
      <c r="R2732" s="109"/>
      <c r="S2732" s="11"/>
      <c r="T2732" s="11"/>
      <c r="U2732" s="11"/>
      <c r="V2732" s="11"/>
      <c r="W2732" s="11"/>
      <c r="X2732" s="11"/>
      <c r="Y2732" s="11"/>
      <c r="Z2732" s="12"/>
      <c r="AA2732" s="139">
        <f>SUM(AA2723:AA2731)</f>
        <v>0</v>
      </c>
      <c r="AB2732" s="140" t="s">
        <v>461</v>
      </c>
      <c r="AG2732" s="1"/>
    </row>
    <row r="2733" ht="21.0" customHeight="1">
      <c r="A2733" s="1"/>
      <c r="B2733" s="1"/>
      <c r="C2733" s="1"/>
      <c r="D2733" s="1"/>
      <c r="E2733" s="1"/>
      <c r="F2733" s="1"/>
      <c r="G2733" s="1"/>
      <c r="H2733" s="1"/>
      <c r="I2733" s="1"/>
      <c r="AA2733" s="1"/>
      <c r="AB2733" s="1"/>
      <c r="AC2733" s="3"/>
      <c r="AD2733" s="1"/>
      <c r="AE2733" s="1"/>
      <c r="AF2733" s="1"/>
      <c r="AG2733" s="1"/>
    </row>
    <row r="2734" ht="21.0" customHeight="1">
      <c r="A2734" s="1"/>
      <c r="B2734" s="4" t="s">
        <v>1</v>
      </c>
      <c r="C2734" s="5"/>
      <c r="D2734" s="6" t="s">
        <v>2</v>
      </c>
      <c r="E2734" s="7"/>
      <c r="F2734" s="7"/>
      <c r="G2734" s="5"/>
      <c r="H2734" s="8" t="s">
        <v>3</v>
      </c>
      <c r="I2734" s="8" t="s">
        <v>4</v>
      </c>
      <c r="J2734" s="9" t="s">
        <v>5</v>
      </c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5"/>
      <c r="AA2734" s="117" t="s">
        <v>6</v>
      </c>
      <c r="AB2734" s="11"/>
      <c r="AC2734" s="11"/>
      <c r="AD2734" s="11"/>
      <c r="AE2734" s="11"/>
      <c r="AF2734" s="12"/>
      <c r="AG2734" s="1"/>
    </row>
    <row r="2735" ht="21.0" customHeight="1">
      <c r="A2735" s="1"/>
      <c r="B2735" s="149" t="s">
        <v>138</v>
      </c>
      <c r="C2735" s="14" t="str">
        <f>if(B2735="0/0","",choose(weekday(B2735),"(일)","(월)","(화)","(수)","(목)","(금)","(토)"))</f>
        <v/>
      </c>
      <c r="D2735" s="15" t="s">
        <v>7</v>
      </c>
      <c r="E2735" s="16" t="s">
        <v>8</v>
      </c>
      <c r="F2735" s="17"/>
      <c r="G2735" s="18" t="s">
        <v>9</v>
      </c>
      <c r="H2735" s="150" t="s">
        <v>139</v>
      </c>
      <c r="I2735" s="151"/>
      <c r="J2735" s="21" t="s">
        <v>12</v>
      </c>
      <c r="K2735" s="22"/>
      <c r="L2735" s="21" t="s">
        <v>13</v>
      </c>
      <c r="M2735" s="22"/>
      <c r="N2735" s="21" t="s">
        <v>14</v>
      </c>
      <c r="O2735" s="22"/>
      <c r="P2735" s="21" t="s">
        <v>15</v>
      </c>
      <c r="Q2735" s="22"/>
      <c r="R2735" s="23" t="s">
        <v>16</v>
      </c>
      <c r="S2735" s="22"/>
      <c r="T2735" s="23" t="s">
        <v>17</v>
      </c>
      <c r="U2735" s="22"/>
      <c r="V2735" s="23" t="s">
        <v>18</v>
      </c>
      <c r="W2735" s="22"/>
      <c r="X2735" s="23" t="s">
        <v>19</v>
      </c>
      <c r="Y2735" s="22"/>
      <c r="Z2735" s="24" t="s">
        <v>462</v>
      </c>
      <c r="AA2735" s="118" t="s">
        <v>21</v>
      </c>
      <c r="AB2735" s="119" t="s">
        <v>22</v>
      </c>
      <c r="AC2735" s="7"/>
      <c r="AD2735" s="22"/>
      <c r="AE2735" s="120" t="s">
        <v>23</v>
      </c>
      <c r="AF2735" s="22"/>
      <c r="AG2735" s="1"/>
    </row>
    <row r="2736" ht="21.0" customHeight="1">
      <c r="A2736" s="1"/>
      <c r="B2736" s="27">
        <f>iferror(B2735-'현황'!$C$4+1,0)</f>
        <v>0</v>
      </c>
      <c r="C2736" s="28"/>
      <c r="D2736" s="29">
        <v>0.0</v>
      </c>
      <c r="E2736" s="30">
        <v>0.0</v>
      </c>
      <c r="F2736" s="31"/>
      <c r="G2736" s="32">
        <v>0.0</v>
      </c>
      <c r="H2736" s="33">
        <v>0.0</v>
      </c>
      <c r="I2736" s="34"/>
      <c r="J2736" s="35"/>
      <c r="K2736" s="36"/>
      <c r="L2736" s="35"/>
      <c r="M2736" s="36"/>
      <c r="N2736" s="35"/>
      <c r="O2736" s="36"/>
      <c r="P2736" s="35"/>
      <c r="Q2736" s="36"/>
      <c r="R2736" s="35"/>
      <c r="S2736" s="36"/>
      <c r="T2736" s="35"/>
      <c r="U2736" s="36"/>
      <c r="V2736" s="35"/>
      <c r="W2736" s="36"/>
      <c r="X2736" s="35"/>
      <c r="Y2736" s="36"/>
      <c r="Z2736" s="37"/>
      <c r="AA2736" s="37"/>
      <c r="AB2736" s="35"/>
      <c r="AC2736" s="38"/>
      <c r="AD2736" s="36"/>
      <c r="AE2736" s="35"/>
      <c r="AF2736" s="36"/>
      <c r="AG2736" s="1"/>
    </row>
    <row r="2737" ht="21.0" customHeight="1">
      <c r="A2737" s="1"/>
      <c r="B2737" s="39" t="s">
        <v>24</v>
      </c>
      <c r="C2737" s="40"/>
      <c r="D2737" s="41"/>
      <c r="E2737" s="42" t="s">
        <v>25</v>
      </c>
      <c r="F2737" s="40"/>
      <c r="G2737" s="41"/>
      <c r="H2737" s="43" t="s">
        <v>26</v>
      </c>
      <c r="J2737" s="44" t="s">
        <v>27</v>
      </c>
      <c r="K2737" s="45" t="s">
        <v>28</v>
      </c>
      <c r="L2737" s="44" t="s">
        <v>27</v>
      </c>
      <c r="M2737" s="45" t="s">
        <v>28</v>
      </c>
      <c r="N2737" s="44" t="s">
        <v>27</v>
      </c>
      <c r="O2737" s="45" t="s">
        <v>28</v>
      </c>
      <c r="P2737" s="44" t="s">
        <v>27</v>
      </c>
      <c r="Q2737" s="45" t="s">
        <v>28</v>
      </c>
      <c r="R2737" s="44" t="s">
        <v>27</v>
      </c>
      <c r="S2737" s="45" t="s">
        <v>28</v>
      </c>
      <c r="T2737" s="44" t="s">
        <v>27</v>
      </c>
      <c r="U2737" s="45" t="s">
        <v>28</v>
      </c>
      <c r="V2737" s="44" t="s">
        <v>27</v>
      </c>
      <c r="W2737" s="45" t="s">
        <v>28</v>
      </c>
      <c r="X2737" s="44" t="s">
        <v>27</v>
      </c>
      <c r="Y2737" s="45" t="s">
        <v>28</v>
      </c>
      <c r="Z2737" s="46"/>
      <c r="AA2737" s="46"/>
      <c r="AB2737" s="121" t="s">
        <v>29</v>
      </c>
      <c r="AC2737" s="122" t="s">
        <v>30</v>
      </c>
      <c r="AD2737" s="123" t="s">
        <v>31</v>
      </c>
      <c r="AE2737" s="121" t="s">
        <v>27</v>
      </c>
      <c r="AF2737" s="123" t="s">
        <v>28</v>
      </c>
      <c r="AG2737" s="1"/>
    </row>
    <row r="2738" ht="21.0" customHeight="1">
      <c r="A2738" s="1"/>
      <c r="B2738" s="48" t="s">
        <v>32</v>
      </c>
      <c r="C2738" s="49"/>
      <c r="D2738" s="50"/>
      <c r="E2738" s="51" t="s">
        <v>33</v>
      </c>
      <c r="F2738" s="52" t="s">
        <v>34</v>
      </c>
      <c r="G2738" s="53"/>
      <c r="H2738" s="148"/>
      <c r="I2738" s="55"/>
      <c r="J2738" s="58"/>
      <c r="K2738" s="59"/>
      <c r="L2738" s="58"/>
      <c r="M2738" s="59"/>
      <c r="N2738" s="58"/>
      <c r="O2738" s="59"/>
      <c r="P2738" s="58"/>
      <c r="Q2738" s="59"/>
      <c r="R2738" s="58"/>
      <c r="S2738" s="59"/>
      <c r="T2738" s="58"/>
      <c r="U2738" s="59"/>
      <c r="V2738" s="58"/>
      <c r="W2738" s="59"/>
      <c r="X2738" s="58"/>
      <c r="Y2738" s="59"/>
      <c r="Z2738" s="60" t="b">
        <v>0</v>
      </c>
      <c r="AA2738" s="125">
        <f t="shared" ref="AA2738:AA2746" si="1093">(J2738*K2738+L2738*M2738+N2738*O2738+P2738*Q2738+R2738*S2738+T2738*U2738+V2738*W2738+X2738*Y2738)*if(Z2738=true,0.453592,1)</f>
        <v>0</v>
      </c>
      <c r="AB2738" s="126">
        <f t="shared" ref="AB2738:AB2746" si="1094">SUM(AE2738*AF2738*0.025,AE2738)</f>
        <v>0</v>
      </c>
      <c r="AC2738" s="127">
        <f t="shared" ref="AC2738:AC2746" si="1095">AB2738*87%</f>
        <v>0</v>
      </c>
      <c r="AD2738" s="128">
        <f t="shared" ref="AD2738:AD2746" si="1096">AB2738*67%</f>
        <v>0</v>
      </c>
      <c r="AE2738" s="126">
        <f t="shared" ref="AE2738:AE2746" si="1097">MAX(J2738,L2738,N2738,P2738,R2738,T2738,V2738,X2738)*if(Z2738=true,0.453592,1)</f>
        <v>0</v>
      </c>
      <c r="AF2738" s="128">
        <f t="shared" ref="AF2738:AF2746" si="1098">MAX(IF(J2738*if(Z2738=true,0.453592,1)=$AE2738,K2738,0),IF(L2738*if(Z2738=true,0.453592,1)=$AE2738,M2738,0),IF(N2738*if(Z2738=true,0.453592,1)=$AE2738,O2738,0),IF(P2738*if(Z2738=true,0.453592,1)=$AE2738,Q2738,0),IF(R2738*if(Z2738=true,0.453592,1)=$AE2738,S2738,0),IF(T2738*if(Z2738=true,0.453592,1)=$AE2738,U2738,0),IF(V2738*if(Z2738=true,0.453592,1)=$AE2738,W2738,0),IF(X2738*if(Z2738=true,0.453592,1)=$AE2738,Y2738,0))</f>
        <v>0</v>
      </c>
      <c r="AG2738" s="1"/>
    </row>
    <row r="2739" ht="21.0" customHeight="1">
      <c r="A2739" s="1"/>
      <c r="B2739" s="48" t="s">
        <v>36</v>
      </c>
      <c r="C2739" s="49"/>
      <c r="D2739" s="65"/>
      <c r="E2739" s="66"/>
      <c r="F2739" s="52" t="s">
        <v>37</v>
      </c>
      <c r="G2739" s="67"/>
      <c r="H2739" s="129"/>
      <c r="I2739" s="69"/>
      <c r="J2739" s="72"/>
      <c r="K2739" s="73"/>
      <c r="L2739" s="72"/>
      <c r="M2739" s="73"/>
      <c r="N2739" s="72"/>
      <c r="O2739" s="73"/>
      <c r="P2739" s="72"/>
      <c r="Q2739" s="73"/>
      <c r="R2739" s="72"/>
      <c r="S2739" s="73"/>
      <c r="T2739" s="72"/>
      <c r="U2739" s="73"/>
      <c r="V2739" s="72"/>
      <c r="W2739" s="73"/>
      <c r="X2739" s="72"/>
      <c r="Y2739" s="73"/>
      <c r="Z2739" s="74" t="b">
        <v>0</v>
      </c>
      <c r="AA2739" s="130">
        <f t="shared" si="1093"/>
        <v>0</v>
      </c>
      <c r="AB2739" s="131">
        <f t="shared" si="1094"/>
        <v>0</v>
      </c>
      <c r="AC2739" s="132">
        <f t="shared" si="1095"/>
        <v>0</v>
      </c>
      <c r="AD2739" s="133">
        <f t="shared" si="1096"/>
        <v>0</v>
      </c>
      <c r="AE2739" s="131">
        <f t="shared" si="1097"/>
        <v>0</v>
      </c>
      <c r="AF2739" s="133">
        <f t="shared" si="1098"/>
        <v>0</v>
      </c>
      <c r="AG2739" s="1"/>
    </row>
    <row r="2740" ht="21.0" customHeight="1">
      <c r="A2740" s="1"/>
      <c r="B2740" s="48" t="s">
        <v>39</v>
      </c>
      <c r="C2740" s="49"/>
      <c r="D2740" s="65"/>
      <c r="E2740" s="41"/>
      <c r="F2740" s="52" t="s">
        <v>40</v>
      </c>
      <c r="G2740" s="79"/>
      <c r="H2740" s="80"/>
      <c r="I2740" s="69"/>
      <c r="J2740" s="72"/>
      <c r="K2740" s="73"/>
      <c r="L2740" s="72"/>
      <c r="M2740" s="73"/>
      <c r="N2740" s="72"/>
      <c r="O2740" s="73"/>
      <c r="P2740" s="72"/>
      <c r="Q2740" s="73"/>
      <c r="R2740" s="72"/>
      <c r="S2740" s="73"/>
      <c r="T2740" s="72"/>
      <c r="U2740" s="73"/>
      <c r="V2740" s="72"/>
      <c r="W2740" s="73"/>
      <c r="X2740" s="72"/>
      <c r="Y2740" s="73"/>
      <c r="Z2740" s="74" t="b">
        <v>0</v>
      </c>
      <c r="AA2740" s="130">
        <f t="shared" si="1093"/>
        <v>0</v>
      </c>
      <c r="AB2740" s="131">
        <f t="shared" si="1094"/>
        <v>0</v>
      </c>
      <c r="AC2740" s="132">
        <f t="shared" si="1095"/>
        <v>0</v>
      </c>
      <c r="AD2740" s="133">
        <f t="shared" si="1096"/>
        <v>0</v>
      </c>
      <c r="AE2740" s="131">
        <f t="shared" si="1097"/>
        <v>0</v>
      </c>
      <c r="AF2740" s="133">
        <f t="shared" si="1098"/>
        <v>0</v>
      </c>
      <c r="AG2740" s="1"/>
    </row>
    <row r="2741" ht="21.0" customHeight="1">
      <c r="A2741" s="1"/>
      <c r="B2741" s="48" t="s">
        <v>41</v>
      </c>
      <c r="C2741" s="81"/>
      <c r="D2741" s="82" t="b">
        <v>0</v>
      </c>
      <c r="E2741" s="51" t="s">
        <v>42</v>
      </c>
      <c r="F2741" s="52" t="s">
        <v>34</v>
      </c>
      <c r="G2741" s="83"/>
      <c r="H2741" s="84"/>
      <c r="I2741" s="85"/>
      <c r="J2741" s="72"/>
      <c r="K2741" s="73"/>
      <c r="L2741" s="72"/>
      <c r="M2741" s="73"/>
      <c r="N2741" s="72"/>
      <c r="O2741" s="73"/>
      <c r="P2741" s="72"/>
      <c r="Q2741" s="73"/>
      <c r="R2741" s="72"/>
      <c r="S2741" s="73"/>
      <c r="T2741" s="72"/>
      <c r="U2741" s="73"/>
      <c r="V2741" s="72"/>
      <c r="W2741" s="73"/>
      <c r="X2741" s="72"/>
      <c r="Y2741" s="73"/>
      <c r="Z2741" s="74" t="b">
        <v>0</v>
      </c>
      <c r="AA2741" s="130">
        <f t="shared" si="1093"/>
        <v>0</v>
      </c>
      <c r="AB2741" s="131">
        <f t="shared" si="1094"/>
        <v>0</v>
      </c>
      <c r="AC2741" s="132">
        <f t="shared" si="1095"/>
        <v>0</v>
      </c>
      <c r="AD2741" s="133">
        <f t="shared" si="1096"/>
        <v>0</v>
      </c>
      <c r="AE2741" s="131">
        <f t="shared" si="1097"/>
        <v>0</v>
      </c>
      <c r="AF2741" s="133">
        <f t="shared" si="1098"/>
        <v>0</v>
      </c>
      <c r="AG2741" s="1"/>
    </row>
    <row r="2742" ht="21.0" customHeight="1">
      <c r="A2742" s="1"/>
      <c r="B2742" s="48" t="s">
        <v>43</v>
      </c>
      <c r="C2742" s="49"/>
      <c r="D2742" s="86" t="b">
        <v>0</v>
      </c>
      <c r="E2742" s="66"/>
      <c r="F2742" s="52" t="s">
        <v>37</v>
      </c>
      <c r="G2742" s="67"/>
      <c r="H2742" s="80"/>
      <c r="I2742" s="69"/>
      <c r="J2742" s="72"/>
      <c r="K2742" s="73"/>
      <c r="L2742" s="72"/>
      <c r="M2742" s="73"/>
      <c r="N2742" s="72"/>
      <c r="O2742" s="73"/>
      <c r="P2742" s="72"/>
      <c r="Q2742" s="73"/>
      <c r="R2742" s="72"/>
      <c r="S2742" s="73"/>
      <c r="T2742" s="72"/>
      <c r="U2742" s="73"/>
      <c r="V2742" s="72"/>
      <c r="W2742" s="73"/>
      <c r="X2742" s="72"/>
      <c r="Y2742" s="73"/>
      <c r="Z2742" s="74" t="b">
        <v>0</v>
      </c>
      <c r="AA2742" s="130">
        <f t="shared" si="1093"/>
        <v>0</v>
      </c>
      <c r="AB2742" s="131">
        <f t="shared" si="1094"/>
        <v>0</v>
      </c>
      <c r="AC2742" s="132">
        <f t="shared" si="1095"/>
        <v>0</v>
      </c>
      <c r="AD2742" s="133">
        <f t="shared" si="1096"/>
        <v>0</v>
      </c>
      <c r="AE2742" s="131">
        <f t="shared" si="1097"/>
        <v>0</v>
      </c>
      <c r="AF2742" s="133">
        <f t="shared" si="1098"/>
        <v>0</v>
      </c>
      <c r="AG2742" s="1"/>
    </row>
    <row r="2743" ht="21.0" customHeight="1">
      <c r="A2743" s="1"/>
      <c r="B2743" s="87" t="str">
        <f t="array" ref="B2743">"📌최근 인바디 결과 : "&amp;text(xlookup(B2735,'현황'!O:O,'현황'!O:O,,-1,-1),"m/d(ddd)")</f>
        <v>#REF!</v>
      </c>
      <c r="C2743" s="88"/>
      <c r="D2743" s="49"/>
      <c r="E2743" s="41"/>
      <c r="F2743" s="52" t="s">
        <v>40</v>
      </c>
      <c r="G2743" s="79"/>
      <c r="H2743" s="80"/>
      <c r="I2743" s="69"/>
      <c r="J2743" s="72"/>
      <c r="K2743" s="73"/>
      <c r="L2743" s="72"/>
      <c r="M2743" s="73"/>
      <c r="N2743" s="72"/>
      <c r="O2743" s="73"/>
      <c r="P2743" s="72"/>
      <c r="Q2743" s="73"/>
      <c r="R2743" s="72"/>
      <c r="S2743" s="73"/>
      <c r="T2743" s="72"/>
      <c r="U2743" s="73"/>
      <c r="V2743" s="72"/>
      <c r="W2743" s="73"/>
      <c r="X2743" s="72"/>
      <c r="Y2743" s="73"/>
      <c r="Z2743" s="74" t="b">
        <v>0</v>
      </c>
      <c r="AA2743" s="130">
        <f t="shared" si="1093"/>
        <v>0</v>
      </c>
      <c r="AB2743" s="131">
        <f t="shared" si="1094"/>
        <v>0</v>
      </c>
      <c r="AC2743" s="132">
        <f t="shared" si="1095"/>
        <v>0</v>
      </c>
      <c r="AD2743" s="133">
        <f t="shared" si="1096"/>
        <v>0</v>
      </c>
      <c r="AE2743" s="131">
        <f t="shared" si="1097"/>
        <v>0</v>
      </c>
      <c r="AF2743" s="133">
        <f t="shared" si="1098"/>
        <v>0</v>
      </c>
      <c r="AG2743" s="1"/>
    </row>
    <row r="2744" ht="21.0" customHeight="1">
      <c r="A2744" s="1"/>
      <c r="B2744" s="89" t="s">
        <v>44</v>
      </c>
      <c r="C2744" s="49"/>
      <c r="D2744" s="90">
        <f t="array" ref="D2744">iferror(vlookup(xlookup(B2735,'현황'!O:O,'현황'!O:O,,-1,-1),'현황'!O:S,2,false),0)</f>
        <v>0</v>
      </c>
      <c r="E2744" s="51" t="s">
        <v>45</v>
      </c>
      <c r="F2744" s="52" t="s">
        <v>34</v>
      </c>
      <c r="G2744" s="83"/>
      <c r="H2744" s="84"/>
      <c r="I2744" s="85"/>
      <c r="J2744" s="72"/>
      <c r="K2744" s="73"/>
      <c r="L2744" s="72"/>
      <c r="M2744" s="73"/>
      <c r="N2744" s="72"/>
      <c r="O2744" s="73"/>
      <c r="P2744" s="72"/>
      <c r="Q2744" s="73"/>
      <c r="R2744" s="72"/>
      <c r="S2744" s="73"/>
      <c r="T2744" s="72"/>
      <c r="U2744" s="73"/>
      <c r="V2744" s="72"/>
      <c r="W2744" s="73"/>
      <c r="X2744" s="72"/>
      <c r="Y2744" s="73"/>
      <c r="Z2744" s="74" t="b">
        <v>0</v>
      </c>
      <c r="AA2744" s="130">
        <f t="shared" si="1093"/>
        <v>0</v>
      </c>
      <c r="AB2744" s="131">
        <f t="shared" si="1094"/>
        <v>0</v>
      </c>
      <c r="AC2744" s="132">
        <f t="shared" si="1095"/>
        <v>0</v>
      </c>
      <c r="AD2744" s="133">
        <f t="shared" si="1096"/>
        <v>0</v>
      </c>
      <c r="AE2744" s="131">
        <f t="shared" si="1097"/>
        <v>0</v>
      </c>
      <c r="AF2744" s="133">
        <f t="shared" si="1098"/>
        <v>0</v>
      </c>
      <c r="AG2744" s="1"/>
    </row>
    <row r="2745" ht="21.0" customHeight="1">
      <c r="A2745" s="1"/>
      <c r="B2745" s="48" t="s">
        <v>46</v>
      </c>
      <c r="C2745" s="49"/>
      <c r="D2745" s="91">
        <f t="array" ref="D2745">iferror(vlookup(xlookup(B2735,'현황'!O:O,'현황'!O:O,,-1,-1),'현황'!O:S,3,false),0)</f>
        <v>0</v>
      </c>
      <c r="E2745" s="66"/>
      <c r="F2745" s="52" t="s">
        <v>37</v>
      </c>
      <c r="G2745" s="67"/>
      <c r="H2745" s="80"/>
      <c r="I2745" s="69"/>
      <c r="J2745" s="72"/>
      <c r="K2745" s="73"/>
      <c r="L2745" s="72"/>
      <c r="M2745" s="73"/>
      <c r="N2745" s="72"/>
      <c r="O2745" s="73"/>
      <c r="P2745" s="72"/>
      <c r="Q2745" s="73"/>
      <c r="R2745" s="72"/>
      <c r="S2745" s="73"/>
      <c r="T2745" s="72"/>
      <c r="U2745" s="73"/>
      <c r="V2745" s="72"/>
      <c r="W2745" s="73"/>
      <c r="X2745" s="72"/>
      <c r="Y2745" s="73"/>
      <c r="Z2745" s="74" t="b">
        <v>0</v>
      </c>
      <c r="AA2745" s="130">
        <f t="shared" si="1093"/>
        <v>0</v>
      </c>
      <c r="AB2745" s="131">
        <f t="shared" si="1094"/>
        <v>0</v>
      </c>
      <c r="AC2745" s="132">
        <f t="shared" si="1095"/>
        <v>0</v>
      </c>
      <c r="AD2745" s="133">
        <f t="shared" si="1096"/>
        <v>0</v>
      </c>
      <c r="AE2745" s="131">
        <f t="shared" si="1097"/>
        <v>0</v>
      </c>
      <c r="AF2745" s="133">
        <f t="shared" si="1098"/>
        <v>0</v>
      </c>
      <c r="AG2745" s="1"/>
    </row>
    <row r="2746" ht="21.0" customHeight="1">
      <c r="A2746" s="1"/>
      <c r="B2746" s="48" t="s">
        <v>47</v>
      </c>
      <c r="C2746" s="49"/>
      <c r="D2746" s="91">
        <f t="array" ref="D2746">iferror(vlookup(xlookup(B2735,'현황'!O:O,'현황'!O:O,,-1,-1),'현황'!O:S,4,false),0)</f>
        <v>0</v>
      </c>
      <c r="E2746" s="41"/>
      <c r="F2746" s="92" t="s">
        <v>40</v>
      </c>
      <c r="G2746" s="79"/>
      <c r="H2746" s="93"/>
      <c r="I2746" s="94"/>
      <c r="J2746" s="95"/>
      <c r="K2746" s="96"/>
      <c r="L2746" s="95"/>
      <c r="M2746" s="96"/>
      <c r="N2746" s="95"/>
      <c r="O2746" s="96"/>
      <c r="P2746" s="95"/>
      <c r="Q2746" s="96"/>
      <c r="R2746" s="95"/>
      <c r="S2746" s="96"/>
      <c r="T2746" s="95"/>
      <c r="U2746" s="96"/>
      <c r="V2746" s="95"/>
      <c r="W2746" s="96"/>
      <c r="X2746" s="95"/>
      <c r="Y2746" s="96"/>
      <c r="Z2746" s="97" t="b">
        <v>0</v>
      </c>
      <c r="AA2746" s="135">
        <f t="shared" si="1093"/>
        <v>0</v>
      </c>
      <c r="AB2746" s="136">
        <f t="shared" si="1094"/>
        <v>0</v>
      </c>
      <c r="AC2746" s="137">
        <f t="shared" si="1095"/>
        <v>0</v>
      </c>
      <c r="AD2746" s="138">
        <f t="shared" si="1096"/>
        <v>0</v>
      </c>
      <c r="AE2746" s="136">
        <f t="shared" si="1097"/>
        <v>0</v>
      </c>
      <c r="AF2746" s="138">
        <f t="shared" si="1098"/>
        <v>0</v>
      </c>
      <c r="AG2746" s="1"/>
    </row>
    <row r="2747" ht="21.0" customHeight="1">
      <c r="A2747" s="1"/>
      <c r="B2747" s="102" t="s">
        <v>48</v>
      </c>
      <c r="C2747" s="103"/>
      <c r="D2747" s="104">
        <f>iferror(D2746/D2744,0)</f>
        <v>0</v>
      </c>
      <c r="E2747" s="102" t="s">
        <v>49</v>
      </c>
      <c r="F2747" s="103"/>
      <c r="G2747" s="105"/>
      <c r="H2747" s="106" t="s">
        <v>50</v>
      </c>
      <c r="I2747" s="107"/>
      <c r="J2747" s="11"/>
      <c r="K2747" s="11"/>
      <c r="L2747" s="11"/>
      <c r="M2747" s="11"/>
      <c r="N2747" s="11"/>
      <c r="O2747" s="11"/>
      <c r="P2747" s="108" t="s">
        <v>51</v>
      </c>
      <c r="Q2747" s="12"/>
      <c r="R2747" s="109"/>
      <c r="S2747" s="11"/>
      <c r="T2747" s="11"/>
      <c r="U2747" s="11"/>
      <c r="V2747" s="11"/>
      <c r="W2747" s="11"/>
      <c r="X2747" s="11"/>
      <c r="Y2747" s="11"/>
      <c r="Z2747" s="12"/>
      <c r="AA2747" s="139">
        <f>SUM(AA2738:AA2746)</f>
        <v>0</v>
      </c>
      <c r="AB2747" s="140" t="s">
        <v>463</v>
      </c>
      <c r="AG2747" s="1"/>
    </row>
    <row r="2748" ht="21.0" customHeight="1">
      <c r="A2748" s="1"/>
      <c r="B2748" s="1"/>
      <c r="C2748" s="1"/>
      <c r="D2748" s="1"/>
      <c r="E2748" s="1"/>
      <c r="F2748" s="1"/>
      <c r="G2748" s="1"/>
      <c r="H2748" s="1"/>
      <c r="I2748" s="1"/>
      <c r="AA2748" s="1"/>
      <c r="AB2748" s="1"/>
      <c r="AC2748" s="3"/>
      <c r="AD2748" s="1"/>
      <c r="AE2748" s="1"/>
      <c r="AF2748" s="1"/>
      <c r="AG2748" s="1"/>
    </row>
    <row r="2749" ht="21.0" customHeight="1">
      <c r="A2749" s="1"/>
      <c r="B2749" s="4" t="s">
        <v>1</v>
      </c>
      <c r="C2749" s="5"/>
      <c r="D2749" s="6" t="s">
        <v>2</v>
      </c>
      <c r="E2749" s="7"/>
      <c r="F2749" s="7"/>
      <c r="G2749" s="5"/>
      <c r="H2749" s="8" t="s">
        <v>3</v>
      </c>
      <c r="I2749" s="8" t="s">
        <v>4</v>
      </c>
      <c r="J2749" s="9" t="s">
        <v>5</v>
      </c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5"/>
      <c r="AA2749" s="117" t="s">
        <v>6</v>
      </c>
      <c r="AB2749" s="11"/>
      <c r="AC2749" s="11"/>
      <c r="AD2749" s="11"/>
      <c r="AE2749" s="11"/>
      <c r="AF2749" s="12"/>
      <c r="AG2749" s="1"/>
    </row>
    <row r="2750" ht="21.0" customHeight="1">
      <c r="A2750" s="1"/>
      <c r="B2750" s="149" t="s">
        <v>138</v>
      </c>
      <c r="C2750" s="14" t="str">
        <f>if(B2750="0/0","",choose(weekday(B2750),"(일)","(월)","(화)","(수)","(목)","(금)","(토)"))</f>
        <v/>
      </c>
      <c r="D2750" s="15" t="s">
        <v>7</v>
      </c>
      <c r="E2750" s="16" t="s">
        <v>8</v>
      </c>
      <c r="F2750" s="17"/>
      <c r="G2750" s="18" t="s">
        <v>9</v>
      </c>
      <c r="H2750" s="150" t="s">
        <v>139</v>
      </c>
      <c r="I2750" s="151"/>
      <c r="J2750" s="21" t="s">
        <v>12</v>
      </c>
      <c r="K2750" s="22"/>
      <c r="L2750" s="21" t="s">
        <v>13</v>
      </c>
      <c r="M2750" s="22"/>
      <c r="N2750" s="21" t="s">
        <v>14</v>
      </c>
      <c r="O2750" s="22"/>
      <c r="P2750" s="21" t="s">
        <v>15</v>
      </c>
      <c r="Q2750" s="22"/>
      <c r="R2750" s="23" t="s">
        <v>16</v>
      </c>
      <c r="S2750" s="22"/>
      <c r="T2750" s="23" t="s">
        <v>17</v>
      </c>
      <c r="U2750" s="22"/>
      <c r="V2750" s="23" t="s">
        <v>18</v>
      </c>
      <c r="W2750" s="22"/>
      <c r="X2750" s="23" t="s">
        <v>19</v>
      </c>
      <c r="Y2750" s="22"/>
      <c r="Z2750" s="24" t="s">
        <v>464</v>
      </c>
      <c r="AA2750" s="118" t="s">
        <v>21</v>
      </c>
      <c r="AB2750" s="119" t="s">
        <v>22</v>
      </c>
      <c r="AC2750" s="7"/>
      <c r="AD2750" s="22"/>
      <c r="AE2750" s="120" t="s">
        <v>23</v>
      </c>
      <c r="AF2750" s="22"/>
      <c r="AG2750" s="1"/>
    </row>
    <row r="2751" ht="21.0" customHeight="1">
      <c r="A2751" s="1"/>
      <c r="B2751" s="27">
        <f>iferror(B2750-'현황'!$C$4+1,0)</f>
        <v>0</v>
      </c>
      <c r="C2751" s="28"/>
      <c r="D2751" s="29">
        <v>0.0</v>
      </c>
      <c r="E2751" s="30">
        <v>0.0</v>
      </c>
      <c r="F2751" s="31"/>
      <c r="G2751" s="32">
        <v>0.0</v>
      </c>
      <c r="H2751" s="33">
        <v>0.0</v>
      </c>
      <c r="I2751" s="34"/>
      <c r="J2751" s="35"/>
      <c r="K2751" s="36"/>
      <c r="L2751" s="35"/>
      <c r="M2751" s="36"/>
      <c r="N2751" s="35"/>
      <c r="O2751" s="36"/>
      <c r="P2751" s="35"/>
      <c r="Q2751" s="36"/>
      <c r="R2751" s="35"/>
      <c r="S2751" s="36"/>
      <c r="T2751" s="35"/>
      <c r="U2751" s="36"/>
      <c r="V2751" s="35"/>
      <c r="W2751" s="36"/>
      <c r="X2751" s="35"/>
      <c r="Y2751" s="36"/>
      <c r="Z2751" s="37"/>
      <c r="AA2751" s="37"/>
      <c r="AB2751" s="35"/>
      <c r="AC2751" s="38"/>
      <c r="AD2751" s="36"/>
      <c r="AE2751" s="35"/>
      <c r="AF2751" s="36"/>
      <c r="AG2751" s="1"/>
    </row>
    <row r="2752" ht="21.0" customHeight="1">
      <c r="A2752" s="1"/>
      <c r="B2752" s="39" t="s">
        <v>24</v>
      </c>
      <c r="C2752" s="40"/>
      <c r="D2752" s="41"/>
      <c r="E2752" s="42" t="s">
        <v>25</v>
      </c>
      <c r="F2752" s="40"/>
      <c r="G2752" s="41"/>
      <c r="H2752" s="43" t="s">
        <v>26</v>
      </c>
      <c r="J2752" s="44" t="s">
        <v>27</v>
      </c>
      <c r="K2752" s="45" t="s">
        <v>28</v>
      </c>
      <c r="L2752" s="44" t="s">
        <v>27</v>
      </c>
      <c r="M2752" s="45" t="s">
        <v>28</v>
      </c>
      <c r="N2752" s="44" t="s">
        <v>27</v>
      </c>
      <c r="O2752" s="45" t="s">
        <v>28</v>
      </c>
      <c r="P2752" s="44" t="s">
        <v>27</v>
      </c>
      <c r="Q2752" s="45" t="s">
        <v>28</v>
      </c>
      <c r="R2752" s="44" t="s">
        <v>27</v>
      </c>
      <c r="S2752" s="45" t="s">
        <v>28</v>
      </c>
      <c r="T2752" s="44" t="s">
        <v>27</v>
      </c>
      <c r="U2752" s="45" t="s">
        <v>28</v>
      </c>
      <c r="V2752" s="44" t="s">
        <v>27</v>
      </c>
      <c r="W2752" s="45" t="s">
        <v>28</v>
      </c>
      <c r="X2752" s="44" t="s">
        <v>27</v>
      </c>
      <c r="Y2752" s="45" t="s">
        <v>28</v>
      </c>
      <c r="Z2752" s="46"/>
      <c r="AA2752" s="46"/>
      <c r="AB2752" s="121" t="s">
        <v>29</v>
      </c>
      <c r="AC2752" s="122" t="s">
        <v>30</v>
      </c>
      <c r="AD2752" s="123" t="s">
        <v>31</v>
      </c>
      <c r="AE2752" s="121" t="s">
        <v>27</v>
      </c>
      <c r="AF2752" s="123" t="s">
        <v>28</v>
      </c>
      <c r="AG2752" s="1"/>
    </row>
    <row r="2753" ht="21.0" customHeight="1">
      <c r="A2753" s="1"/>
      <c r="B2753" s="48" t="s">
        <v>32</v>
      </c>
      <c r="C2753" s="49"/>
      <c r="D2753" s="50"/>
      <c r="E2753" s="51" t="s">
        <v>33</v>
      </c>
      <c r="F2753" s="52" t="s">
        <v>34</v>
      </c>
      <c r="G2753" s="53"/>
      <c r="H2753" s="148"/>
      <c r="I2753" s="55"/>
      <c r="J2753" s="58"/>
      <c r="K2753" s="59"/>
      <c r="L2753" s="58"/>
      <c r="M2753" s="59"/>
      <c r="N2753" s="58"/>
      <c r="O2753" s="59"/>
      <c r="P2753" s="58"/>
      <c r="Q2753" s="59"/>
      <c r="R2753" s="58"/>
      <c r="S2753" s="59"/>
      <c r="T2753" s="58"/>
      <c r="U2753" s="59"/>
      <c r="V2753" s="58"/>
      <c r="W2753" s="59"/>
      <c r="X2753" s="58"/>
      <c r="Y2753" s="59"/>
      <c r="Z2753" s="60" t="b">
        <v>0</v>
      </c>
      <c r="AA2753" s="125">
        <f t="shared" ref="AA2753:AA2761" si="1099">(J2753*K2753+L2753*M2753+N2753*O2753+P2753*Q2753+R2753*S2753+T2753*U2753+V2753*W2753+X2753*Y2753)*if(Z2753=true,0.453592,1)</f>
        <v>0</v>
      </c>
      <c r="AB2753" s="126">
        <f t="shared" ref="AB2753:AB2761" si="1100">SUM(AE2753*AF2753*0.025,AE2753)</f>
        <v>0</v>
      </c>
      <c r="AC2753" s="127">
        <f t="shared" ref="AC2753:AC2761" si="1101">AB2753*87%</f>
        <v>0</v>
      </c>
      <c r="AD2753" s="128">
        <f t="shared" ref="AD2753:AD2761" si="1102">AB2753*67%</f>
        <v>0</v>
      </c>
      <c r="AE2753" s="126">
        <f t="shared" ref="AE2753:AE2761" si="1103">MAX(J2753,L2753,N2753,P2753,R2753,T2753,V2753,X2753)*if(Z2753=true,0.453592,1)</f>
        <v>0</v>
      </c>
      <c r="AF2753" s="128">
        <f t="shared" ref="AF2753:AF2761" si="1104">MAX(IF(J2753*if(Z2753=true,0.453592,1)=$AE2753,K2753,0),IF(L2753*if(Z2753=true,0.453592,1)=$AE2753,M2753,0),IF(N2753*if(Z2753=true,0.453592,1)=$AE2753,O2753,0),IF(P2753*if(Z2753=true,0.453592,1)=$AE2753,Q2753,0),IF(R2753*if(Z2753=true,0.453592,1)=$AE2753,S2753,0),IF(T2753*if(Z2753=true,0.453592,1)=$AE2753,U2753,0),IF(V2753*if(Z2753=true,0.453592,1)=$AE2753,W2753,0),IF(X2753*if(Z2753=true,0.453592,1)=$AE2753,Y2753,0))</f>
        <v>0</v>
      </c>
      <c r="AG2753" s="1"/>
    </row>
    <row r="2754" ht="21.0" customHeight="1">
      <c r="A2754" s="1"/>
      <c r="B2754" s="48" t="s">
        <v>36</v>
      </c>
      <c r="C2754" s="49"/>
      <c r="D2754" s="65"/>
      <c r="E2754" s="66"/>
      <c r="F2754" s="52" t="s">
        <v>37</v>
      </c>
      <c r="G2754" s="67"/>
      <c r="H2754" s="129"/>
      <c r="I2754" s="69"/>
      <c r="J2754" s="72"/>
      <c r="K2754" s="73"/>
      <c r="L2754" s="72"/>
      <c r="M2754" s="73"/>
      <c r="N2754" s="72"/>
      <c r="O2754" s="73"/>
      <c r="P2754" s="72"/>
      <c r="Q2754" s="73"/>
      <c r="R2754" s="72"/>
      <c r="S2754" s="73"/>
      <c r="T2754" s="72"/>
      <c r="U2754" s="73"/>
      <c r="V2754" s="72"/>
      <c r="W2754" s="73"/>
      <c r="X2754" s="72"/>
      <c r="Y2754" s="73"/>
      <c r="Z2754" s="74" t="b">
        <v>0</v>
      </c>
      <c r="AA2754" s="130">
        <f t="shared" si="1099"/>
        <v>0</v>
      </c>
      <c r="AB2754" s="131">
        <f t="shared" si="1100"/>
        <v>0</v>
      </c>
      <c r="AC2754" s="132">
        <f t="shared" si="1101"/>
        <v>0</v>
      </c>
      <c r="AD2754" s="133">
        <f t="shared" si="1102"/>
        <v>0</v>
      </c>
      <c r="AE2754" s="131">
        <f t="shared" si="1103"/>
        <v>0</v>
      </c>
      <c r="AF2754" s="133">
        <f t="shared" si="1104"/>
        <v>0</v>
      </c>
      <c r="AG2754" s="1"/>
    </row>
    <row r="2755" ht="21.0" customHeight="1">
      <c r="A2755" s="1"/>
      <c r="B2755" s="48" t="s">
        <v>39</v>
      </c>
      <c r="C2755" s="49"/>
      <c r="D2755" s="65"/>
      <c r="E2755" s="41"/>
      <c r="F2755" s="52" t="s">
        <v>40</v>
      </c>
      <c r="G2755" s="79"/>
      <c r="H2755" s="80"/>
      <c r="I2755" s="69"/>
      <c r="J2755" s="72"/>
      <c r="K2755" s="73"/>
      <c r="L2755" s="72"/>
      <c r="M2755" s="73"/>
      <c r="N2755" s="72"/>
      <c r="O2755" s="73"/>
      <c r="P2755" s="72"/>
      <c r="Q2755" s="73"/>
      <c r="R2755" s="72"/>
      <c r="S2755" s="73"/>
      <c r="T2755" s="72"/>
      <c r="U2755" s="73"/>
      <c r="V2755" s="72"/>
      <c r="W2755" s="73"/>
      <c r="X2755" s="72"/>
      <c r="Y2755" s="73"/>
      <c r="Z2755" s="74" t="b">
        <v>0</v>
      </c>
      <c r="AA2755" s="130">
        <f t="shared" si="1099"/>
        <v>0</v>
      </c>
      <c r="AB2755" s="131">
        <f t="shared" si="1100"/>
        <v>0</v>
      </c>
      <c r="AC2755" s="132">
        <f t="shared" si="1101"/>
        <v>0</v>
      </c>
      <c r="AD2755" s="133">
        <f t="shared" si="1102"/>
        <v>0</v>
      </c>
      <c r="AE2755" s="131">
        <f t="shared" si="1103"/>
        <v>0</v>
      </c>
      <c r="AF2755" s="133">
        <f t="shared" si="1104"/>
        <v>0</v>
      </c>
      <c r="AG2755" s="1"/>
    </row>
    <row r="2756" ht="21.0" customHeight="1">
      <c r="A2756" s="1"/>
      <c r="B2756" s="48" t="s">
        <v>41</v>
      </c>
      <c r="C2756" s="81"/>
      <c r="D2756" s="82" t="b">
        <v>0</v>
      </c>
      <c r="E2756" s="51" t="s">
        <v>42</v>
      </c>
      <c r="F2756" s="52" t="s">
        <v>34</v>
      </c>
      <c r="G2756" s="83"/>
      <c r="H2756" s="84"/>
      <c r="I2756" s="85"/>
      <c r="J2756" s="72"/>
      <c r="K2756" s="73"/>
      <c r="L2756" s="72"/>
      <c r="M2756" s="73"/>
      <c r="N2756" s="72"/>
      <c r="O2756" s="73"/>
      <c r="P2756" s="72"/>
      <c r="Q2756" s="73"/>
      <c r="R2756" s="72"/>
      <c r="S2756" s="73"/>
      <c r="T2756" s="72"/>
      <c r="U2756" s="73"/>
      <c r="V2756" s="72"/>
      <c r="W2756" s="73"/>
      <c r="X2756" s="72"/>
      <c r="Y2756" s="73"/>
      <c r="Z2756" s="74" t="b">
        <v>0</v>
      </c>
      <c r="AA2756" s="130">
        <f t="shared" si="1099"/>
        <v>0</v>
      </c>
      <c r="AB2756" s="131">
        <f t="shared" si="1100"/>
        <v>0</v>
      </c>
      <c r="AC2756" s="132">
        <f t="shared" si="1101"/>
        <v>0</v>
      </c>
      <c r="AD2756" s="133">
        <f t="shared" si="1102"/>
        <v>0</v>
      </c>
      <c r="AE2756" s="131">
        <f t="shared" si="1103"/>
        <v>0</v>
      </c>
      <c r="AF2756" s="133">
        <f t="shared" si="1104"/>
        <v>0</v>
      </c>
      <c r="AG2756" s="1"/>
    </row>
    <row r="2757" ht="21.0" customHeight="1">
      <c r="A2757" s="1"/>
      <c r="B2757" s="48" t="s">
        <v>43</v>
      </c>
      <c r="C2757" s="49"/>
      <c r="D2757" s="86" t="b">
        <v>0</v>
      </c>
      <c r="E2757" s="66"/>
      <c r="F2757" s="52" t="s">
        <v>37</v>
      </c>
      <c r="G2757" s="67"/>
      <c r="H2757" s="80"/>
      <c r="I2757" s="69"/>
      <c r="J2757" s="72"/>
      <c r="K2757" s="73"/>
      <c r="L2757" s="72"/>
      <c r="M2757" s="73"/>
      <c r="N2757" s="72"/>
      <c r="O2757" s="73"/>
      <c r="P2757" s="72"/>
      <c r="Q2757" s="73"/>
      <c r="R2757" s="72"/>
      <c r="S2757" s="73"/>
      <c r="T2757" s="72"/>
      <c r="U2757" s="73"/>
      <c r="V2757" s="72"/>
      <c r="W2757" s="73"/>
      <c r="X2757" s="72"/>
      <c r="Y2757" s="73"/>
      <c r="Z2757" s="74" t="b">
        <v>0</v>
      </c>
      <c r="AA2757" s="130">
        <f t="shared" si="1099"/>
        <v>0</v>
      </c>
      <c r="AB2757" s="131">
        <f t="shared" si="1100"/>
        <v>0</v>
      </c>
      <c r="AC2757" s="132">
        <f t="shared" si="1101"/>
        <v>0</v>
      </c>
      <c r="AD2757" s="133">
        <f t="shared" si="1102"/>
        <v>0</v>
      </c>
      <c r="AE2757" s="131">
        <f t="shared" si="1103"/>
        <v>0</v>
      </c>
      <c r="AF2757" s="133">
        <f t="shared" si="1104"/>
        <v>0</v>
      </c>
      <c r="AG2757" s="1"/>
    </row>
    <row r="2758" ht="21.0" customHeight="1">
      <c r="A2758" s="1"/>
      <c r="B2758" s="87" t="str">
        <f t="array" ref="B2758">"📌최근 인바디 결과 : "&amp;text(xlookup(B2750,'현황'!O:O,'현황'!O:O,,-1,-1),"m/d(ddd)")</f>
        <v>#REF!</v>
      </c>
      <c r="C2758" s="88"/>
      <c r="D2758" s="49"/>
      <c r="E2758" s="41"/>
      <c r="F2758" s="52" t="s">
        <v>40</v>
      </c>
      <c r="G2758" s="79"/>
      <c r="H2758" s="80"/>
      <c r="I2758" s="69"/>
      <c r="J2758" s="72"/>
      <c r="K2758" s="73"/>
      <c r="L2758" s="72"/>
      <c r="M2758" s="73"/>
      <c r="N2758" s="72"/>
      <c r="O2758" s="73"/>
      <c r="P2758" s="72"/>
      <c r="Q2758" s="73"/>
      <c r="R2758" s="72"/>
      <c r="S2758" s="73"/>
      <c r="T2758" s="72"/>
      <c r="U2758" s="73"/>
      <c r="V2758" s="72"/>
      <c r="W2758" s="73"/>
      <c r="X2758" s="72"/>
      <c r="Y2758" s="73"/>
      <c r="Z2758" s="74" t="b">
        <v>0</v>
      </c>
      <c r="AA2758" s="130">
        <f t="shared" si="1099"/>
        <v>0</v>
      </c>
      <c r="AB2758" s="131">
        <f t="shared" si="1100"/>
        <v>0</v>
      </c>
      <c r="AC2758" s="132">
        <f t="shared" si="1101"/>
        <v>0</v>
      </c>
      <c r="AD2758" s="133">
        <f t="shared" si="1102"/>
        <v>0</v>
      </c>
      <c r="AE2758" s="131">
        <f t="shared" si="1103"/>
        <v>0</v>
      </c>
      <c r="AF2758" s="133">
        <f t="shared" si="1104"/>
        <v>0</v>
      </c>
      <c r="AG2758" s="1"/>
    </row>
    <row r="2759" ht="21.0" customHeight="1">
      <c r="A2759" s="1"/>
      <c r="B2759" s="89" t="s">
        <v>44</v>
      </c>
      <c r="C2759" s="49"/>
      <c r="D2759" s="90">
        <f t="array" ref="D2759">iferror(vlookup(xlookup(B2750,'현황'!O:O,'현황'!O:O,,-1,-1),'현황'!O:S,2,false),0)</f>
        <v>0</v>
      </c>
      <c r="E2759" s="51" t="s">
        <v>45</v>
      </c>
      <c r="F2759" s="52" t="s">
        <v>34</v>
      </c>
      <c r="G2759" s="83"/>
      <c r="H2759" s="84"/>
      <c r="I2759" s="85"/>
      <c r="J2759" s="72"/>
      <c r="K2759" s="73"/>
      <c r="L2759" s="72"/>
      <c r="M2759" s="73"/>
      <c r="N2759" s="72"/>
      <c r="O2759" s="73"/>
      <c r="P2759" s="72"/>
      <c r="Q2759" s="73"/>
      <c r="R2759" s="72"/>
      <c r="S2759" s="73"/>
      <c r="T2759" s="72"/>
      <c r="U2759" s="73"/>
      <c r="V2759" s="72"/>
      <c r="W2759" s="73"/>
      <c r="X2759" s="72"/>
      <c r="Y2759" s="73"/>
      <c r="Z2759" s="74" t="b">
        <v>0</v>
      </c>
      <c r="AA2759" s="130">
        <f t="shared" si="1099"/>
        <v>0</v>
      </c>
      <c r="AB2759" s="131">
        <f t="shared" si="1100"/>
        <v>0</v>
      </c>
      <c r="AC2759" s="132">
        <f t="shared" si="1101"/>
        <v>0</v>
      </c>
      <c r="AD2759" s="133">
        <f t="shared" si="1102"/>
        <v>0</v>
      </c>
      <c r="AE2759" s="131">
        <f t="shared" si="1103"/>
        <v>0</v>
      </c>
      <c r="AF2759" s="133">
        <f t="shared" si="1104"/>
        <v>0</v>
      </c>
      <c r="AG2759" s="1"/>
    </row>
    <row r="2760" ht="21.0" customHeight="1">
      <c r="A2760" s="1"/>
      <c r="B2760" s="48" t="s">
        <v>46</v>
      </c>
      <c r="C2760" s="49"/>
      <c r="D2760" s="91">
        <f t="array" ref="D2760">iferror(vlookup(xlookup(B2750,'현황'!O:O,'현황'!O:O,,-1,-1),'현황'!O:S,3,false),0)</f>
        <v>0</v>
      </c>
      <c r="E2760" s="66"/>
      <c r="F2760" s="52" t="s">
        <v>37</v>
      </c>
      <c r="G2760" s="67"/>
      <c r="H2760" s="80"/>
      <c r="I2760" s="69"/>
      <c r="J2760" s="72"/>
      <c r="K2760" s="73"/>
      <c r="L2760" s="72"/>
      <c r="M2760" s="73"/>
      <c r="N2760" s="72"/>
      <c r="O2760" s="73"/>
      <c r="P2760" s="72"/>
      <c r="Q2760" s="73"/>
      <c r="R2760" s="72"/>
      <c r="S2760" s="73"/>
      <c r="T2760" s="72"/>
      <c r="U2760" s="73"/>
      <c r="V2760" s="72"/>
      <c r="W2760" s="73"/>
      <c r="X2760" s="72"/>
      <c r="Y2760" s="73"/>
      <c r="Z2760" s="74" t="b">
        <v>0</v>
      </c>
      <c r="AA2760" s="130">
        <f t="shared" si="1099"/>
        <v>0</v>
      </c>
      <c r="AB2760" s="131">
        <f t="shared" si="1100"/>
        <v>0</v>
      </c>
      <c r="AC2760" s="132">
        <f t="shared" si="1101"/>
        <v>0</v>
      </c>
      <c r="AD2760" s="133">
        <f t="shared" si="1102"/>
        <v>0</v>
      </c>
      <c r="AE2760" s="131">
        <f t="shared" si="1103"/>
        <v>0</v>
      </c>
      <c r="AF2760" s="133">
        <f t="shared" si="1104"/>
        <v>0</v>
      </c>
      <c r="AG2760" s="1"/>
    </row>
    <row r="2761" ht="21.0" customHeight="1">
      <c r="A2761" s="1"/>
      <c r="B2761" s="48" t="s">
        <v>47</v>
      </c>
      <c r="C2761" s="49"/>
      <c r="D2761" s="91">
        <f t="array" ref="D2761">iferror(vlookup(xlookup(B2750,'현황'!O:O,'현황'!O:O,,-1,-1),'현황'!O:S,4,false),0)</f>
        <v>0</v>
      </c>
      <c r="E2761" s="41"/>
      <c r="F2761" s="92" t="s">
        <v>40</v>
      </c>
      <c r="G2761" s="79"/>
      <c r="H2761" s="93"/>
      <c r="I2761" s="94"/>
      <c r="J2761" s="95"/>
      <c r="K2761" s="96"/>
      <c r="L2761" s="95"/>
      <c r="M2761" s="96"/>
      <c r="N2761" s="95"/>
      <c r="O2761" s="96"/>
      <c r="P2761" s="95"/>
      <c r="Q2761" s="96"/>
      <c r="R2761" s="95"/>
      <c r="S2761" s="96"/>
      <c r="T2761" s="95"/>
      <c r="U2761" s="96"/>
      <c r="V2761" s="95"/>
      <c r="W2761" s="96"/>
      <c r="X2761" s="95"/>
      <c r="Y2761" s="96"/>
      <c r="Z2761" s="97" t="b">
        <v>0</v>
      </c>
      <c r="AA2761" s="135">
        <f t="shared" si="1099"/>
        <v>0</v>
      </c>
      <c r="AB2761" s="136">
        <f t="shared" si="1100"/>
        <v>0</v>
      </c>
      <c r="AC2761" s="137">
        <f t="shared" si="1101"/>
        <v>0</v>
      </c>
      <c r="AD2761" s="138">
        <f t="shared" si="1102"/>
        <v>0</v>
      </c>
      <c r="AE2761" s="136">
        <f t="shared" si="1103"/>
        <v>0</v>
      </c>
      <c r="AF2761" s="138">
        <f t="shared" si="1104"/>
        <v>0</v>
      </c>
      <c r="AG2761" s="1"/>
    </row>
    <row r="2762" ht="21.0" customHeight="1">
      <c r="A2762" s="1"/>
      <c r="B2762" s="102" t="s">
        <v>48</v>
      </c>
      <c r="C2762" s="103"/>
      <c r="D2762" s="104">
        <f>iferror(D2761/D2759,0)</f>
        <v>0</v>
      </c>
      <c r="E2762" s="102" t="s">
        <v>49</v>
      </c>
      <c r="F2762" s="103"/>
      <c r="G2762" s="105"/>
      <c r="H2762" s="143" t="s">
        <v>50</v>
      </c>
      <c r="I2762" s="144"/>
      <c r="J2762" s="11"/>
      <c r="K2762" s="11"/>
      <c r="L2762" s="11"/>
      <c r="M2762" s="11"/>
      <c r="N2762" s="11"/>
      <c r="O2762" s="11"/>
      <c r="P2762" s="145" t="s">
        <v>51</v>
      </c>
      <c r="Q2762" s="12"/>
      <c r="R2762" s="146"/>
      <c r="S2762" s="11"/>
      <c r="T2762" s="11"/>
      <c r="U2762" s="11"/>
      <c r="V2762" s="11"/>
      <c r="W2762" s="11"/>
      <c r="X2762" s="11"/>
      <c r="Y2762" s="11"/>
      <c r="Z2762" s="12"/>
      <c r="AA2762" s="139">
        <f>SUM(AA2753:AA2761)</f>
        <v>0</v>
      </c>
      <c r="AB2762" s="140" t="s">
        <v>465</v>
      </c>
      <c r="AG2762" s="1"/>
    </row>
    <row r="2763" ht="21.0" customHeight="1">
      <c r="A2763" s="1"/>
      <c r="B2763" s="1"/>
      <c r="C2763" s="1"/>
      <c r="D2763" s="1"/>
      <c r="E2763" s="1"/>
      <c r="F2763" s="1"/>
      <c r="G2763" s="1"/>
      <c r="H2763" s="1"/>
      <c r="I2763" s="1"/>
      <c r="AA2763" s="1"/>
      <c r="AB2763" s="1"/>
      <c r="AC2763" s="3"/>
      <c r="AD2763" s="1"/>
      <c r="AE2763" s="1"/>
      <c r="AF2763" s="1"/>
      <c r="AG2763" s="1"/>
    </row>
    <row r="2764" ht="21.0" customHeight="1">
      <c r="A2764" s="1"/>
      <c r="B2764" s="4" t="s">
        <v>1</v>
      </c>
      <c r="C2764" s="5"/>
      <c r="D2764" s="6" t="s">
        <v>2</v>
      </c>
      <c r="E2764" s="7"/>
      <c r="F2764" s="7"/>
      <c r="G2764" s="5"/>
      <c r="H2764" s="8" t="s">
        <v>3</v>
      </c>
      <c r="I2764" s="8" t="s">
        <v>4</v>
      </c>
      <c r="J2764" s="9" t="s">
        <v>5</v>
      </c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5"/>
      <c r="AA2764" s="117" t="s">
        <v>6</v>
      </c>
      <c r="AB2764" s="11"/>
      <c r="AC2764" s="11"/>
      <c r="AD2764" s="11"/>
      <c r="AE2764" s="11"/>
      <c r="AF2764" s="12"/>
      <c r="AG2764" s="1"/>
    </row>
    <row r="2765" ht="21.0" customHeight="1">
      <c r="A2765" s="1"/>
      <c r="B2765" s="149" t="s">
        <v>138</v>
      </c>
      <c r="C2765" s="14" t="str">
        <f>if(B2765="0/0","",choose(weekday(B2765),"(일)","(월)","(화)","(수)","(목)","(금)","(토)"))</f>
        <v/>
      </c>
      <c r="D2765" s="15" t="s">
        <v>7</v>
      </c>
      <c r="E2765" s="16" t="s">
        <v>8</v>
      </c>
      <c r="F2765" s="17"/>
      <c r="G2765" s="18" t="s">
        <v>9</v>
      </c>
      <c r="H2765" s="150" t="s">
        <v>139</v>
      </c>
      <c r="I2765" s="151"/>
      <c r="J2765" s="21" t="s">
        <v>12</v>
      </c>
      <c r="K2765" s="22"/>
      <c r="L2765" s="21" t="s">
        <v>13</v>
      </c>
      <c r="M2765" s="22"/>
      <c r="N2765" s="21" t="s">
        <v>14</v>
      </c>
      <c r="O2765" s="22"/>
      <c r="P2765" s="21" t="s">
        <v>15</v>
      </c>
      <c r="Q2765" s="22"/>
      <c r="R2765" s="23" t="s">
        <v>16</v>
      </c>
      <c r="S2765" s="22"/>
      <c r="T2765" s="23" t="s">
        <v>17</v>
      </c>
      <c r="U2765" s="22"/>
      <c r="V2765" s="23" t="s">
        <v>18</v>
      </c>
      <c r="W2765" s="22"/>
      <c r="X2765" s="23" t="s">
        <v>19</v>
      </c>
      <c r="Y2765" s="22"/>
      <c r="Z2765" s="24" t="s">
        <v>466</v>
      </c>
      <c r="AA2765" s="118" t="s">
        <v>21</v>
      </c>
      <c r="AB2765" s="119" t="s">
        <v>22</v>
      </c>
      <c r="AC2765" s="7"/>
      <c r="AD2765" s="22"/>
      <c r="AE2765" s="120" t="s">
        <v>23</v>
      </c>
      <c r="AF2765" s="22"/>
      <c r="AG2765" s="1"/>
    </row>
    <row r="2766" ht="21.0" customHeight="1">
      <c r="A2766" s="1"/>
      <c r="B2766" s="27">
        <f>iferror(B2765-'현황'!$C$4+1,0)</f>
        <v>0</v>
      </c>
      <c r="C2766" s="28"/>
      <c r="D2766" s="29">
        <v>0.0</v>
      </c>
      <c r="E2766" s="30">
        <v>0.0</v>
      </c>
      <c r="F2766" s="31"/>
      <c r="G2766" s="32">
        <v>0.0</v>
      </c>
      <c r="H2766" s="33">
        <v>0.0</v>
      </c>
      <c r="I2766" s="34"/>
      <c r="J2766" s="35"/>
      <c r="K2766" s="36"/>
      <c r="L2766" s="35"/>
      <c r="M2766" s="36"/>
      <c r="N2766" s="35"/>
      <c r="O2766" s="36"/>
      <c r="P2766" s="35"/>
      <c r="Q2766" s="36"/>
      <c r="R2766" s="35"/>
      <c r="S2766" s="36"/>
      <c r="T2766" s="35"/>
      <c r="U2766" s="36"/>
      <c r="V2766" s="35"/>
      <c r="W2766" s="36"/>
      <c r="X2766" s="35"/>
      <c r="Y2766" s="36"/>
      <c r="Z2766" s="37"/>
      <c r="AA2766" s="37"/>
      <c r="AB2766" s="35"/>
      <c r="AC2766" s="38"/>
      <c r="AD2766" s="36"/>
      <c r="AE2766" s="35"/>
      <c r="AF2766" s="36"/>
      <c r="AG2766" s="1"/>
    </row>
    <row r="2767" ht="21.0" customHeight="1">
      <c r="A2767" s="1"/>
      <c r="B2767" s="39" t="s">
        <v>24</v>
      </c>
      <c r="C2767" s="40"/>
      <c r="D2767" s="41"/>
      <c r="E2767" s="42" t="s">
        <v>25</v>
      </c>
      <c r="F2767" s="40"/>
      <c r="G2767" s="41"/>
      <c r="H2767" s="43" t="s">
        <v>26</v>
      </c>
      <c r="J2767" s="44" t="s">
        <v>27</v>
      </c>
      <c r="K2767" s="45" t="s">
        <v>28</v>
      </c>
      <c r="L2767" s="44" t="s">
        <v>27</v>
      </c>
      <c r="M2767" s="45" t="s">
        <v>28</v>
      </c>
      <c r="N2767" s="44" t="s">
        <v>27</v>
      </c>
      <c r="O2767" s="45" t="s">
        <v>28</v>
      </c>
      <c r="P2767" s="44" t="s">
        <v>27</v>
      </c>
      <c r="Q2767" s="45" t="s">
        <v>28</v>
      </c>
      <c r="R2767" s="44" t="s">
        <v>27</v>
      </c>
      <c r="S2767" s="45" t="s">
        <v>28</v>
      </c>
      <c r="T2767" s="44" t="s">
        <v>27</v>
      </c>
      <c r="U2767" s="45" t="s">
        <v>28</v>
      </c>
      <c r="V2767" s="44" t="s">
        <v>27</v>
      </c>
      <c r="W2767" s="45" t="s">
        <v>28</v>
      </c>
      <c r="X2767" s="44" t="s">
        <v>27</v>
      </c>
      <c r="Y2767" s="45" t="s">
        <v>28</v>
      </c>
      <c r="Z2767" s="46"/>
      <c r="AA2767" s="46"/>
      <c r="AB2767" s="121" t="s">
        <v>29</v>
      </c>
      <c r="AC2767" s="122" t="s">
        <v>30</v>
      </c>
      <c r="AD2767" s="123" t="s">
        <v>31</v>
      </c>
      <c r="AE2767" s="121" t="s">
        <v>27</v>
      </c>
      <c r="AF2767" s="123" t="s">
        <v>28</v>
      </c>
      <c r="AG2767" s="1"/>
    </row>
    <row r="2768" ht="21.0" customHeight="1">
      <c r="A2768" s="1"/>
      <c r="B2768" s="48" t="s">
        <v>32</v>
      </c>
      <c r="C2768" s="49"/>
      <c r="D2768" s="50"/>
      <c r="E2768" s="51" t="s">
        <v>33</v>
      </c>
      <c r="F2768" s="52" t="s">
        <v>34</v>
      </c>
      <c r="G2768" s="53"/>
      <c r="H2768" s="148"/>
      <c r="I2768" s="55"/>
      <c r="J2768" s="58"/>
      <c r="K2768" s="59"/>
      <c r="L2768" s="58"/>
      <c r="M2768" s="59"/>
      <c r="N2768" s="58"/>
      <c r="O2768" s="59"/>
      <c r="P2768" s="58"/>
      <c r="Q2768" s="59"/>
      <c r="R2768" s="58"/>
      <c r="S2768" s="59"/>
      <c r="T2768" s="58"/>
      <c r="U2768" s="59"/>
      <c r="V2768" s="58"/>
      <c r="W2768" s="59"/>
      <c r="X2768" s="58"/>
      <c r="Y2768" s="59"/>
      <c r="Z2768" s="60" t="b">
        <v>0</v>
      </c>
      <c r="AA2768" s="125">
        <f t="shared" ref="AA2768:AA2776" si="1105">(J2768*K2768+L2768*M2768+N2768*O2768+P2768*Q2768+R2768*S2768+T2768*U2768+V2768*W2768+X2768*Y2768)*if(Z2768=true,0.453592,1)</f>
        <v>0</v>
      </c>
      <c r="AB2768" s="126">
        <f t="shared" ref="AB2768:AB2776" si="1106">SUM(AE2768*AF2768*0.025,AE2768)</f>
        <v>0</v>
      </c>
      <c r="AC2768" s="127">
        <f t="shared" ref="AC2768:AC2776" si="1107">AB2768*87%</f>
        <v>0</v>
      </c>
      <c r="AD2768" s="128">
        <f t="shared" ref="AD2768:AD2776" si="1108">AB2768*67%</f>
        <v>0</v>
      </c>
      <c r="AE2768" s="126">
        <f t="shared" ref="AE2768:AE2776" si="1109">MAX(J2768,L2768,N2768,P2768,R2768,T2768,V2768,X2768)*if(Z2768=true,0.453592,1)</f>
        <v>0</v>
      </c>
      <c r="AF2768" s="128">
        <f t="shared" ref="AF2768:AF2776" si="1110">MAX(IF(J2768*if(Z2768=true,0.453592,1)=$AE2768,K2768,0),IF(L2768*if(Z2768=true,0.453592,1)=$AE2768,M2768,0),IF(N2768*if(Z2768=true,0.453592,1)=$AE2768,O2768,0),IF(P2768*if(Z2768=true,0.453592,1)=$AE2768,Q2768,0),IF(R2768*if(Z2768=true,0.453592,1)=$AE2768,S2768,0),IF(T2768*if(Z2768=true,0.453592,1)=$AE2768,U2768,0),IF(V2768*if(Z2768=true,0.453592,1)=$AE2768,W2768,0),IF(X2768*if(Z2768=true,0.453592,1)=$AE2768,Y2768,0))</f>
        <v>0</v>
      </c>
      <c r="AG2768" s="1"/>
    </row>
    <row r="2769" ht="21.0" customHeight="1">
      <c r="A2769" s="1"/>
      <c r="B2769" s="48" t="s">
        <v>36</v>
      </c>
      <c r="C2769" s="49"/>
      <c r="D2769" s="65"/>
      <c r="E2769" s="66"/>
      <c r="F2769" s="52" t="s">
        <v>37</v>
      </c>
      <c r="G2769" s="67"/>
      <c r="H2769" s="129"/>
      <c r="I2769" s="69"/>
      <c r="J2769" s="72"/>
      <c r="K2769" s="73"/>
      <c r="L2769" s="72"/>
      <c r="M2769" s="73"/>
      <c r="N2769" s="72"/>
      <c r="O2769" s="73"/>
      <c r="P2769" s="72"/>
      <c r="Q2769" s="73"/>
      <c r="R2769" s="72"/>
      <c r="S2769" s="73"/>
      <c r="T2769" s="72"/>
      <c r="U2769" s="73"/>
      <c r="V2769" s="72"/>
      <c r="W2769" s="73"/>
      <c r="X2769" s="72"/>
      <c r="Y2769" s="73"/>
      <c r="Z2769" s="74" t="b">
        <v>0</v>
      </c>
      <c r="AA2769" s="130">
        <f t="shared" si="1105"/>
        <v>0</v>
      </c>
      <c r="AB2769" s="131">
        <f t="shared" si="1106"/>
        <v>0</v>
      </c>
      <c r="AC2769" s="132">
        <f t="shared" si="1107"/>
        <v>0</v>
      </c>
      <c r="AD2769" s="133">
        <f t="shared" si="1108"/>
        <v>0</v>
      </c>
      <c r="AE2769" s="131">
        <f t="shared" si="1109"/>
        <v>0</v>
      </c>
      <c r="AF2769" s="133">
        <f t="shared" si="1110"/>
        <v>0</v>
      </c>
      <c r="AG2769" s="1"/>
    </row>
    <row r="2770" ht="21.0" customHeight="1">
      <c r="A2770" s="1"/>
      <c r="B2770" s="48" t="s">
        <v>39</v>
      </c>
      <c r="C2770" s="49"/>
      <c r="D2770" s="65"/>
      <c r="E2770" s="41"/>
      <c r="F2770" s="52" t="s">
        <v>40</v>
      </c>
      <c r="G2770" s="79"/>
      <c r="H2770" s="80"/>
      <c r="I2770" s="69"/>
      <c r="J2770" s="72"/>
      <c r="K2770" s="73"/>
      <c r="L2770" s="72"/>
      <c r="M2770" s="73"/>
      <c r="N2770" s="72"/>
      <c r="O2770" s="73"/>
      <c r="P2770" s="72"/>
      <c r="Q2770" s="73"/>
      <c r="R2770" s="72"/>
      <c r="S2770" s="73"/>
      <c r="T2770" s="72"/>
      <c r="U2770" s="73"/>
      <c r="V2770" s="72"/>
      <c r="W2770" s="73"/>
      <c r="X2770" s="72"/>
      <c r="Y2770" s="73"/>
      <c r="Z2770" s="74" t="b">
        <v>0</v>
      </c>
      <c r="AA2770" s="130">
        <f t="shared" si="1105"/>
        <v>0</v>
      </c>
      <c r="AB2770" s="131">
        <f t="shared" si="1106"/>
        <v>0</v>
      </c>
      <c r="AC2770" s="132">
        <f t="shared" si="1107"/>
        <v>0</v>
      </c>
      <c r="AD2770" s="133">
        <f t="shared" si="1108"/>
        <v>0</v>
      </c>
      <c r="AE2770" s="131">
        <f t="shared" si="1109"/>
        <v>0</v>
      </c>
      <c r="AF2770" s="133">
        <f t="shared" si="1110"/>
        <v>0</v>
      </c>
      <c r="AG2770" s="1"/>
    </row>
    <row r="2771" ht="21.0" customHeight="1">
      <c r="A2771" s="1"/>
      <c r="B2771" s="48" t="s">
        <v>41</v>
      </c>
      <c r="C2771" s="81"/>
      <c r="D2771" s="82" t="b">
        <v>0</v>
      </c>
      <c r="E2771" s="51" t="s">
        <v>42</v>
      </c>
      <c r="F2771" s="52" t="s">
        <v>34</v>
      </c>
      <c r="G2771" s="83"/>
      <c r="H2771" s="84"/>
      <c r="I2771" s="85"/>
      <c r="J2771" s="72"/>
      <c r="K2771" s="73"/>
      <c r="L2771" s="72"/>
      <c r="M2771" s="73"/>
      <c r="N2771" s="72"/>
      <c r="O2771" s="73"/>
      <c r="P2771" s="72"/>
      <c r="Q2771" s="73"/>
      <c r="R2771" s="72"/>
      <c r="S2771" s="73"/>
      <c r="T2771" s="72"/>
      <c r="U2771" s="73"/>
      <c r="V2771" s="72"/>
      <c r="W2771" s="73"/>
      <c r="X2771" s="72"/>
      <c r="Y2771" s="73"/>
      <c r="Z2771" s="74" t="b">
        <v>0</v>
      </c>
      <c r="AA2771" s="130">
        <f t="shared" si="1105"/>
        <v>0</v>
      </c>
      <c r="AB2771" s="131">
        <f t="shared" si="1106"/>
        <v>0</v>
      </c>
      <c r="AC2771" s="132">
        <f t="shared" si="1107"/>
        <v>0</v>
      </c>
      <c r="AD2771" s="133">
        <f t="shared" si="1108"/>
        <v>0</v>
      </c>
      <c r="AE2771" s="131">
        <f t="shared" si="1109"/>
        <v>0</v>
      </c>
      <c r="AF2771" s="133">
        <f t="shared" si="1110"/>
        <v>0</v>
      </c>
      <c r="AG2771" s="1"/>
    </row>
    <row r="2772" ht="21.0" customHeight="1">
      <c r="A2772" s="1"/>
      <c r="B2772" s="48" t="s">
        <v>43</v>
      </c>
      <c r="C2772" s="49"/>
      <c r="D2772" s="86" t="b">
        <v>0</v>
      </c>
      <c r="E2772" s="66"/>
      <c r="F2772" s="52" t="s">
        <v>37</v>
      </c>
      <c r="G2772" s="67"/>
      <c r="H2772" s="80"/>
      <c r="I2772" s="69"/>
      <c r="J2772" s="72"/>
      <c r="K2772" s="73"/>
      <c r="L2772" s="72"/>
      <c r="M2772" s="73"/>
      <c r="N2772" s="72"/>
      <c r="O2772" s="73"/>
      <c r="P2772" s="72"/>
      <c r="Q2772" s="73"/>
      <c r="R2772" s="72"/>
      <c r="S2772" s="73"/>
      <c r="T2772" s="72"/>
      <c r="U2772" s="73"/>
      <c r="V2772" s="72"/>
      <c r="W2772" s="73"/>
      <c r="X2772" s="72"/>
      <c r="Y2772" s="73"/>
      <c r="Z2772" s="74" t="b">
        <v>0</v>
      </c>
      <c r="AA2772" s="130">
        <f t="shared" si="1105"/>
        <v>0</v>
      </c>
      <c r="AB2772" s="131">
        <f t="shared" si="1106"/>
        <v>0</v>
      </c>
      <c r="AC2772" s="132">
        <f t="shared" si="1107"/>
        <v>0</v>
      </c>
      <c r="AD2772" s="133">
        <f t="shared" si="1108"/>
        <v>0</v>
      </c>
      <c r="AE2772" s="131">
        <f t="shared" si="1109"/>
        <v>0</v>
      </c>
      <c r="AF2772" s="133">
        <f t="shared" si="1110"/>
        <v>0</v>
      </c>
      <c r="AG2772" s="1"/>
    </row>
    <row r="2773" ht="21.0" customHeight="1">
      <c r="A2773" s="1"/>
      <c r="B2773" s="87" t="str">
        <f t="array" ref="B2773">"📌최근 인바디 결과 : "&amp;text(xlookup(B2765,'현황'!O:O,'현황'!O:O,,-1,-1),"m/d(ddd)")</f>
        <v>#REF!</v>
      </c>
      <c r="C2773" s="88"/>
      <c r="D2773" s="49"/>
      <c r="E2773" s="41"/>
      <c r="F2773" s="52" t="s">
        <v>40</v>
      </c>
      <c r="G2773" s="79"/>
      <c r="H2773" s="80"/>
      <c r="I2773" s="69"/>
      <c r="J2773" s="72"/>
      <c r="K2773" s="73"/>
      <c r="L2773" s="72"/>
      <c r="M2773" s="73"/>
      <c r="N2773" s="72"/>
      <c r="O2773" s="73"/>
      <c r="P2773" s="72"/>
      <c r="Q2773" s="73"/>
      <c r="R2773" s="72"/>
      <c r="S2773" s="73"/>
      <c r="T2773" s="72"/>
      <c r="U2773" s="73"/>
      <c r="V2773" s="72"/>
      <c r="W2773" s="73"/>
      <c r="X2773" s="72"/>
      <c r="Y2773" s="73"/>
      <c r="Z2773" s="74" t="b">
        <v>0</v>
      </c>
      <c r="AA2773" s="130">
        <f t="shared" si="1105"/>
        <v>0</v>
      </c>
      <c r="AB2773" s="131">
        <f t="shared" si="1106"/>
        <v>0</v>
      </c>
      <c r="AC2773" s="132">
        <f t="shared" si="1107"/>
        <v>0</v>
      </c>
      <c r="AD2773" s="133">
        <f t="shared" si="1108"/>
        <v>0</v>
      </c>
      <c r="AE2773" s="131">
        <f t="shared" si="1109"/>
        <v>0</v>
      </c>
      <c r="AF2773" s="133">
        <f t="shared" si="1110"/>
        <v>0</v>
      </c>
      <c r="AG2773" s="1"/>
    </row>
    <row r="2774" ht="21.0" customHeight="1">
      <c r="A2774" s="1"/>
      <c r="B2774" s="89" t="s">
        <v>44</v>
      </c>
      <c r="C2774" s="49"/>
      <c r="D2774" s="90">
        <f t="array" ref="D2774">iferror(vlookup(xlookup(B2765,'현황'!O:O,'현황'!O:O,,-1,-1),'현황'!O:S,2,false),0)</f>
        <v>0</v>
      </c>
      <c r="E2774" s="51" t="s">
        <v>45</v>
      </c>
      <c r="F2774" s="52" t="s">
        <v>34</v>
      </c>
      <c r="G2774" s="83"/>
      <c r="H2774" s="84"/>
      <c r="I2774" s="85"/>
      <c r="J2774" s="72"/>
      <c r="K2774" s="73"/>
      <c r="L2774" s="72"/>
      <c r="M2774" s="73"/>
      <c r="N2774" s="72"/>
      <c r="O2774" s="73"/>
      <c r="P2774" s="72"/>
      <c r="Q2774" s="73"/>
      <c r="R2774" s="72"/>
      <c r="S2774" s="73"/>
      <c r="T2774" s="72"/>
      <c r="U2774" s="73"/>
      <c r="V2774" s="72"/>
      <c r="W2774" s="73"/>
      <c r="X2774" s="72"/>
      <c r="Y2774" s="73"/>
      <c r="Z2774" s="74" t="b">
        <v>0</v>
      </c>
      <c r="AA2774" s="130">
        <f t="shared" si="1105"/>
        <v>0</v>
      </c>
      <c r="AB2774" s="131">
        <f t="shared" si="1106"/>
        <v>0</v>
      </c>
      <c r="AC2774" s="132">
        <f t="shared" si="1107"/>
        <v>0</v>
      </c>
      <c r="AD2774" s="133">
        <f t="shared" si="1108"/>
        <v>0</v>
      </c>
      <c r="AE2774" s="131">
        <f t="shared" si="1109"/>
        <v>0</v>
      </c>
      <c r="AF2774" s="133">
        <f t="shared" si="1110"/>
        <v>0</v>
      </c>
      <c r="AG2774" s="1"/>
    </row>
    <row r="2775" ht="21.0" customHeight="1">
      <c r="A2775" s="1"/>
      <c r="B2775" s="48" t="s">
        <v>46</v>
      </c>
      <c r="C2775" s="49"/>
      <c r="D2775" s="91">
        <f t="array" ref="D2775">iferror(vlookup(xlookup(B2765,'현황'!O:O,'현황'!O:O,,-1,-1),'현황'!O:S,3,false),0)</f>
        <v>0</v>
      </c>
      <c r="E2775" s="66"/>
      <c r="F2775" s="52" t="s">
        <v>37</v>
      </c>
      <c r="G2775" s="67"/>
      <c r="H2775" s="80"/>
      <c r="I2775" s="69"/>
      <c r="J2775" s="72"/>
      <c r="K2775" s="73"/>
      <c r="L2775" s="72"/>
      <c r="M2775" s="73"/>
      <c r="N2775" s="72"/>
      <c r="O2775" s="73"/>
      <c r="P2775" s="72"/>
      <c r="Q2775" s="73"/>
      <c r="R2775" s="72"/>
      <c r="S2775" s="73"/>
      <c r="T2775" s="72"/>
      <c r="U2775" s="73"/>
      <c r="V2775" s="72"/>
      <c r="W2775" s="73"/>
      <c r="X2775" s="72"/>
      <c r="Y2775" s="73"/>
      <c r="Z2775" s="74" t="b">
        <v>0</v>
      </c>
      <c r="AA2775" s="130">
        <f t="shared" si="1105"/>
        <v>0</v>
      </c>
      <c r="AB2775" s="131">
        <f t="shared" si="1106"/>
        <v>0</v>
      </c>
      <c r="AC2775" s="132">
        <f t="shared" si="1107"/>
        <v>0</v>
      </c>
      <c r="AD2775" s="133">
        <f t="shared" si="1108"/>
        <v>0</v>
      </c>
      <c r="AE2775" s="131">
        <f t="shared" si="1109"/>
        <v>0</v>
      </c>
      <c r="AF2775" s="133">
        <f t="shared" si="1110"/>
        <v>0</v>
      </c>
      <c r="AG2775" s="1"/>
    </row>
    <row r="2776" ht="21.0" customHeight="1">
      <c r="A2776" s="1"/>
      <c r="B2776" s="48" t="s">
        <v>47</v>
      </c>
      <c r="C2776" s="49"/>
      <c r="D2776" s="91">
        <f t="array" ref="D2776">iferror(vlookup(xlookup(B2765,'현황'!O:O,'현황'!O:O,,-1,-1),'현황'!O:S,4,false),0)</f>
        <v>0</v>
      </c>
      <c r="E2776" s="41"/>
      <c r="F2776" s="92" t="s">
        <v>40</v>
      </c>
      <c r="G2776" s="79"/>
      <c r="H2776" s="93"/>
      <c r="I2776" s="94"/>
      <c r="J2776" s="95"/>
      <c r="K2776" s="96"/>
      <c r="L2776" s="95"/>
      <c r="M2776" s="96"/>
      <c r="N2776" s="95"/>
      <c r="O2776" s="96"/>
      <c r="P2776" s="95"/>
      <c r="Q2776" s="96"/>
      <c r="R2776" s="95"/>
      <c r="S2776" s="96"/>
      <c r="T2776" s="95"/>
      <c r="U2776" s="96"/>
      <c r="V2776" s="95"/>
      <c r="W2776" s="96"/>
      <c r="X2776" s="95"/>
      <c r="Y2776" s="96"/>
      <c r="Z2776" s="97" t="b">
        <v>0</v>
      </c>
      <c r="AA2776" s="135">
        <f t="shared" si="1105"/>
        <v>0</v>
      </c>
      <c r="AB2776" s="136">
        <f t="shared" si="1106"/>
        <v>0</v>
      </c>
      <c r="AC2776" s="137">
        <f t="shared" si="1107"/>
        <v>0</v>
      </c>
      <c r="AD2776" s="138">
        <f t="shared" si="1108"/>
        <v>0</v>
      </c>
      <c r="AE2776" s="136">
        <f t="shared" si="1109"/>
        <v>0</v>
      </c>
      <c r="AF2776" s="138">
        <f t="shared" si="1110"/>
        <v>0</v>
      </c>
      <c r="AG2776" s="1"/>
    </row>
    <row r="2777" ht="21.0" customHeight="1">
      <c r="A2777" s="1"/>
      <c r="B2777" s="102" t="s">
        <v>48</v>
      </c>
      <c r="C2777" s="103"/>
      <c r="D2777" s="104">
        <f>iferror(D2776/D2774,0)</f>
        <v>0</v>
      </c>
      <c r="E2777" s="102" t="s">
        <v>49</v>
      </c>
      <c r="F2777" s="103"/>
      <c r="G2777" s="105"/>
      <c r="H2777" s="106" t="s">
        <v>50</v>
      </c>
      <c r="I2777" s="107"/>
      <c r="J2777" s="11"/>
      <c r="K2777" s="11"/>
      <c r="L2777" s="11"/>
      <c r="M2777" s="11"/>
      <c r="N2777" s="11"/>
      <c r="O2777" s="11"/>
      <c r="P2777" s="108" t="s">
        <v>51</v>
      </c>
      <c r="Q2777" s="12"/>
      <c r="R2777" s="109"/>
      <c r="S2777" s="11"/>
      <c r="T2777" s="11"/>
      <c r="U2777" s="11"/>
      <c r="V2777" s="11"/>
      <c r="W2777" s="11"/>
      <c r="X2777" s="11"/>
      <c r="Y2777" s="11"/>
      <c r="Z2777" s="12"/>
      <c r="AA2777" s="139">
        <f>SUM(AA2768:AA2776)</f>
        <v>0</v>
      </c>
      <c r="AB2777" s="140" t="s">
        <v>467</v>
      </c>
      <c r="AG2777" s="1"/>
    </row>
    <row r="2778" ht="21.0" customHeight="1">
      <c r="A2778" s="1"/>
      <c r="B2778" s="1"/>
      <c r="C2778" s="1"/>
      <c r="D2778" s="1"/>
      <c r="E2778" s="1"/>
      <c r="F2778" s="1"/>
      <c r="G2778" s="1"/>
      <c r="H2778" s="1"/>
      <c r="I2778" s="1"/>
      <c r="AA2778" s="1"/>
      <c r="AB2778" s="1"/>
      <c r="AC2778" s="3"/>
      <c r="AD2778" s="1"/>
      <c r="AE2778" s="1"/>
      <c r="AF2778" s="1"/>
      <c r="AG2778" s="1"/>
    </row>
    <row r="2779" ht="21.0" customHeight="1">
      <c r="A2779" s="1"/>
      <c r="B2779" s="4" t="s">
        <v>1</v>
      </c>
      <c r="C2779" s="5"/>
      <c r="D2779" s="6" t="s">
        <v>2</v>
      </c>
      <c r="E2779" s="7"/>
      <c r="F2779" s="7"/>
      <c r="G2779" s="5"/>
      <c r="H2779" s="8" t="s">
        <v>3</v>
      </c>
      <c r="I2779" s="8" t="s">
        <v>4</v>
      </c>
      <c r="J2779" s="9" t="s">
        <v>5</v>
      </c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5"/>
      <c r="AA2779" s="117" t="s">
        <v>6</v>
      </c>
      <c r="AB2779" s="11"/>
      <c r="AC2779" s="11"/>
      <c r="AD2779" s="11"/>
      <c r="AE2779" s="11"/>
      <c r="AF2779" s="12"/>
      <c r="AG2779" s="1"/>
    </row>
    <row r="2780" ht="21.0" customHeight="1">
      <c r="A2780" s="1"/>
      <c r="B2780" s="149" t="s">
        <v>138</v>
      </c>
      <c r="C2780" s="14" t="str">
        <f>if(B2780="0/0","",choose(weekday(B2780),"(일)","(월)","(화)","(수)","(목)","(금)","(토)"))</f>
        <v/>
      </c>
      <c r="D2780" s="15" t="s">
        <v>7</v>
      </c>
      <c r="E2780" s="16" t="s">
        <v>8</v>
      </c>
      <c r="F2780" s="17"/>
      <c r="G2780" s="18" t="s">
        <v>9</v>
      </c>
      <c r="H2780" s="150" t="s">
        <v>139</v>
      </c>
      <c r="I2780" s="151"/>
      <c r="J2780" s="21" t="s">
        <v>12</v>
      </c>
      <c r="K2780" s="22"/>
      <c r="L2780" s="21" t="s">
        <v>13</v>
      </c>
      <c r="M2780" s="22"/>
      <c r="N2780" s="21" t="s">
        <v>14</v>
      </c>
      <c r="O2780" s="22"/>
      <c r="P2780" s="21" t="s">
        <v>15</v>
      </c>
      <c r="Q2780" s="22"/>
      <c r="R2780" s="23" t="s">
        <v>16</v>
      </c>
      <c r="S2780" s="22"/>
      <c r="T2780" s="23" t="s">
        <v>17</v>
      </c>
      <c r="U2780" s="22"/>
      <c r="V2780" s="23" t="s">
        <v>18</v>
      </c>
      <c r="W2780" s="22"/>
      <c r="X2780" s="23" t="s">
        <v>19</v>
      </c>
      <c r="Y2780" s="22"/>
      <c r="Z2780" s="24" t="s">
        <v>468</v>
      </c>
      <c r="AA2780" s="118" t="s">
        <v>21</v>
      </c>
      <c r="AB2780" s="119" t="s">
        <v>22</v>
      </c>
      <c r="AC2780" s="7"/>
      <c r="AD2780" s="22"/>
      <c r="AE2780" s="120" t="s">
        <v>23</v>
      </c>
      <c r="AF2780" s="22"/>
      <c r="AG2780" s="1"/>
    </row>
    <row r="2781" ht="21.0" customHeight="1">
      <c r="A2781" s="1"/>
      <c r="B2781" s="27">
        <f>iferror(B2780-'현황'!$C$4+1,0)</f>
        <v>0</v>
      </c>
      <c r="C2781" s="28"/>
      <c r="D2781" s="29">
        <v>0.0</v>
      </c>
      <c r="E2781" s="30">
        <v>0.0</v>
      </c>
      <c r="F2781" s="31"/>
      <c r="G2781" s="32">
        <v>0.0</v>
      </c>
      <c r="H2781" s="33">
        <v>0.0</v>
      </c>
      <c r="I2781" s="34"/>
      <c r="J2781" s="35"/>
      <c r="K2781" s="36"/>
      <c r="L2781" s="35"/>
      <c r="M2781" s="36"/>
      <c r="N2781" s="35"/>
      <c r="O2781" s="36"/>
      <c r="P2781" s="35"/>
      <c r="Q2781" s="36"/>
      <c r="R2781" s="35"/>
      <c r="S2781" s="36"/>
      <c r="T2781" s="35"/>
      <c r="U2781" s="36"/>
      <c r="V2781" s="35"/>
      <c r="W2781" s="36"/>
      <c r="X2781" s="35"/>
      <c r="Y2781" s="36"/>
      <c r="Z2781" s="37"/>
      <c r="AA2781" s="37"/>
      <c r="AB2781" s="35"/>
      <c r="AC2781" s="38"/>
      <c r="AD2781" s="36"/>
      <c r="AE2781" s="35"/>
      <c r="AF2781" s="36"/>
      <c r="AG2781" s="1"/>
    </row>
    <row r="2782" ht="21.0" customHeight="1">
      <c r="A2782" s="1"/>
      <c r="B2782" s="39" t="s">
        <v>24</v>
      </c>
      <c r="C2782" s="40"/>
      <c r="D2782" s="41"/>
      <c r="E2782" s="42" t="s">
        <v>25</v>
      </c>
      <c r="F2782" s="40"/>
      <c r="G2782" s="41"/>
      <c r="H2782" s="43" t="s">
        <v>26</v>
      </c>
      <c r="J2782" s="44" t="s">
        <v>27</v>
      </c>
      <c r="K2782" s="45" t="s">
        <v>28</v>
      </c>
      <c r="L2782" s="44" t="s">
        <v>27</v>
      </c>
      <c r="M2782" s="45" t="s">
        <v>28</v>
      </c>
      <c r="N2782" s="44" t="s">
        <v>27</v>
      </c>
      <c r="O2782" s="45" t="s">
        <v>28</v>
      </c>
      <c r="P2782" s="44" t="s">
        <v>27</v>
      </c>
      <c r="Q2782" s="45" t="s">
        <v>28</v>
      </c>
      <c r="R2782" s="44" t="s">
        <v>27</v>
      </c>
      <c r="S2782" s="45" t="s">
        <v>28</v>
      </c>
      <c r="T2782" s="44" t="s">
        <v>27</v>
      </c>
      <c r="U2782" s="45" t="s">
        <v>28</v>
      </c>
      <c r="V2782" s="44" t="s">
        <v>27</v>
      </c>
      <c r="W2782" s="45" t="s">
        <v>28</v>
      </c>
      <c r="X2782" s="44" t="s">
        <v>27</v>
      </c>
      <c r="Y2782" s="45" t="s">
        <v>28</v>
      </c>
      <c r="Z2782" s="46"/>
      <c r="AA2782" s="46"/>
      <c r="AB2782" s="121" t="s">
        <v>29</v>
      </c>
      <c r="AC2782" s="122" t="s">
        <v>30</v>
      </c>
      <c r="AD2782" s="123" t="s">
        <v>31</v>
      </c>
      <c r="AE2782" s="121" t="s">
        <v>27</v>
      </c>
      <c r="AF2782" s="123" t="s">
        <v>28</v>
      </c>
      <c r="AG2782" s="1"/>
    </row>
    <row r="2783" ht="21.0" customHeight="1">
      <c r="A2783" s="1"/>
      <c r="B2783" s="48" t="s">
        <v>32</v>
      </c>
      <c r="C2783" s="49"/>
      <c r="D2783" s="50"/>
      <c r="E2783" s="51" t="s">
        <v>33</v>
      </c>
      <c r="F2783" s="52" t="s">
        <v>34</v>
      </c>
      <c r="G2783" s="53"/>
      <c r="H2783" s="148"/>
      <c r="I2783" s="55"/>
      <c r="J2783" s="58"/>
      <c r="K2783" s="59"/>
      <c r="L2783" s="58"/>
      <c r="M2783" s="59"/>
      <c r="N2783" s="58"/>
      <c r="O2783" s="59"/>
      <c r="P2783" s="58"/>
      <c r="Q2783" s="59"/>
      <c r="R2783" s="58"/>
      <c r="S2783" s="59"/>
      <c r="T2783" s="58"/>
      <c r="U2783" s="59"/>
      <c r="V2783" s="58"/>
      <c r="W2783" s="59"/>
      <c r="X2783" s="58"/>
      <c r="Y2783" s="59"/>
      <c r="Z2783" s="60" t="b">
        <v>0</v>
      </c>
      <c r="AA2783" s="125">
        <f t="shared" ref="AA2783:AA2791" si="1111">(J2783*K2783+L2783*M2783+N2783*O2783+P2783*Q2783+R2783*S2783+T2783*U2783+V2783*W2783+X2783*Y2783)*if(Z2783=true,0.453592,1)</f>
        <v>0</v>
      </c>
      <c r="AB2783" s="126">
        <f t="shared" ref="AB2783:AB2791" si="1112">SUM(AE2783*AF2783*0.025,AE2783)</f>
        <v>0</v>
      </c>
      <c r="AC2783" s="127">
        <f t="shared" ref="AC2783:AC2791" si="1113">AB2783*87%</f>
        <v>0</v>
      </c>
      <c r="AD2783" s="128">
        <f t="shared" ref="AD2783:AD2791" si="1114">AB2783*67%</f>
        <v>0</v>
      </c>
      <c r="AE2783" s="126">
        <f t="shared" ref="AE2783:AE2791" si="1115">MAX(J2783,L2783,N2783,P2783,R2783,T2783,V2783,X2783)*if(Z2783=true,0.453592,1)</f>
        <v>0</v>
      </c>
      <c r="AF2783" s="128">
        <f t="shared" ref="AF2783:AF2791" si="1116">MAX(IF(J2783*if(Z2783=true,0.453592,1)=$AE2783,K2783,0),IF(L2783*if(Z2783=true,0.453592,1)=$AE2783,M2783,0),IF(N2783*if(Z2783=true,0.453592,1)=$AE2783,O2783,0),IF(P2783*if(Z2783=true,0.453592,1)=$AE2783,Q2783,0),IF(R2783*if(Z2783=true,0.453592,1)=$AE2783,S2783,0),IF(T2783*if(Z2783=true,0.453592,1)=$AE2783,U2783,0),IF(V2783*if(Z2783=true,0.453592,1)=$AE2783,W2783,0),IF(X2783*if(Z2783=true,0.453592,1)=$AE2783,Y2783,0))</f>
        <v>0</v>
      </c>
      <c r="AG2783" s="1"/>
    </row>
    <row r="2784" ht="21.0" customHeight="1">
      <c r="A2784" s="1"/>
      <c r="B2784" s="48" t="s">
        <v>36</v>
      </c>
      <c r="C2784" s="49"/>
      <c r="D2784" s="65"/>
      <c r="E2784" s="66"/>
      <c r="F2784" s="52" t="s">
        <v>37</v>
      </c>
      <c r="G2784" s="67"/>
      <c r="H2784" s="129"/>
      <c r="I2784" s="69"/>
      <c r="J2784" s="72"/>
      <c r="K2784" s="73"/>
      <c r="L2784" s="72"/>
      <c r="M2784" s="73"/>
      <c r="N2784" s="72"/>
      <c r="O2784" s="73"/>
      <c r="P2784" s="72"/>
      <c r="Q2784" s="73"/>
      <c r="R2784" s="72"/>
      <c r="S2784" s="73"/>
      <c r="T2784" s="72"/>
      <c r="U2784" s="73"/>
      <c r="V2784" s="72"/>
      <c r="W2784" s="73"/>
      <c r="X2784" s="72"/>
      <c r="Y2784" s="73"/>
      <c r="Z2784" s="74" t="b">
        <v>0</v>
      </c>
      <c r="AA2784" s="130">
        <f t="shared" si="1111"/>
        <v>0</v>
      </c>
      <c r="AB2784" s="131">
        <f t="shared" si="1112"/>
        <v>0</v>
      </c>
      <c r="AC2784" s="132">
        <f t="shared" si="1113"/>
        <v>0</v>
      </c>
      <c r="AD2784" s="133">
        <f t="shared" si="1114"/>
        <v>0</v>
      </c>
      <c r="AE2784" s="131">
        <f t="shared" si="1115"/>
        <v>0</v>
      </c>
      <c r="AF2784" s="133">
        <f t="shared" si="1116"/>
        <v>0</v>
      </c>
      <c r="AG2784" s="1"/>
    </row>
    <row r="2785" ht="21.0" customHeight="1">
      <c r="A2785" s="1"/>
      <c r="B2785" s="48" t="s">
        <v>39</v>
      </c>
      <c r="C2785" s="49"/>
      <c r="D2785" s="65"/>
      <c r="E2785" s="41"/>
      <c r="F2785" s="52" t="s">
        <v>40</v>
      </c>
      <c r="G2785" s="79"/>
      <c r="H2785" s="80"/>
      <c r="I2785" s="69"/>
      <c r="J2785" s="72"/>
      <c r="K2785" s="73"/>
      <c r="L2785" s="72"/>
      <c r="M2785" s="73"/>
      <c r="N2785" s="72"/>
      <c r="O2785" s="73"/>
      <c r="P2785" s="72"/>
      <c r="Q2785" s="73"/>
      <c r="R2785" s="72"/>
      <c r="S2785" s="73"/>
      <c r="T2785" s="72"/>
      <c r="U2785" s="73"/>
      <c r="V2785" s="72"/>
      <c r="W2785" s="73"/>
      <c r="X2785" s="72"/>
      <c r="Y2785" s="73"/>
      <c r="Z2785" s="74" t="b">
        <v>0</v>
      </c>
      <c r="AA2785" s="130">
        <f t="shared" si="1111"/>
        <v>0</v>
      </c>
      <c r="AB2785" s="131">
        <f t="shared" si="1112"/>
        <v>0</v>
      </c>
      <c r="AC2785" s="132">
        <f t="shared" si="1113"/>
        <v>0</v>
      </c>
      <c r="AD2785" s="133">
        <f t="shared" si="1114"/>
        <v>0</v>
      </c>
      <c r="AE2785" s="131">
        <f t="shared" si="1115"/>
        <v>0</v>
      </c>
      <c r="AF2785" s="133">
        <f t="shared" si="1116"/>
        <v>0</v>
      </c>
      <c r="AG2785" s="1"/>
    </row>
    <row r="2786" ht="21.0" customHeight="1">
      <c r="A2786" s="1"/>
      <c r="B2786" s="48" t="s">
        <v>41</v>
      </c>
      <c r="C2786" s="81"/>
      <c r="D2786" s="82" t="b">
        <v>0</v>
      </c>
      <c r="E2786" s="51" t="s">
        <v>42</v>
      </c>
      <c r="F2786" s="52" t="s">
        <v>34</v>
      </c>
      <c r="G2786" s="83"/>
      <c r="H2786" s="84"/>
      <c r="I2786" s="85"/>
      <c r="J2786" s="72"/>
      <c r="K2786" s="73"/>
      <c r="L2786" s="72"/>
      <c r="M2786" s="73"/>
      <c r="N2786" s="72"/>
      <c r="O2786" s="73"/>
      <c r="P2786" s="72"/>
      <c r="Q2786" s="73"/>
      <c r="R2786" s="72"/>
      <c r="S2786" s="73"/>
      <c r="T2786" s="72"/>
      <c r="U2786" s="73"/>
      <c r="V2786" s="72"/>
      <c r="W2786" s="73"/>
      <c r="X2786" s="72"/>
      <c r="Y2786" s="73"/>
      <c r="Z2786" s="74" t="b">
        <v>0</v>
      </c>
      <c r="AA2786" s="130">
        <f t="shared" si="1111"/>
        <v>0</v>
      </c>
      <c r="AB2786" s="131">
        <f t="shared" si="1112"/>
        <v>0</v>
      </c>
      <c r="AC2786" s="132">
        <f t="shared" si="1113"/>
        <v>0</v>
      </c>
      <c r="AD2786" s="133">
        <f t="shared" si="1114"/>
        <v>0</v>
      </c>
      <c r="AE2786" s="131">
        <f t="shared" si="1115"/>
        <v>0</v>
      </c>
      <c r="AF2786" s="133">
        <f t="shared" si="1116"/>
        <v>0</v>
      </c>
      <c r="AG2786" s="1"/>
    </row>
    <row r="2787" ht="21.0" customHeight="1">
      <c r="A2787" s="1"/>
      <c r="B2787" s="48" t="s">
        <v>43</v>
      </c>
      <c r="C2787" s="49"/>
      <c r="D2787" s="86" t="b">
        <v>0</v>
      </c>
      <c r="E2787" s="66"/>
      <c r="F2787" s="52" t="s">
        <v>37</v>
      </c>
      <c r="G2787" s="67"/>
      <c r="H2787" s="80"/>
      <c r="I2787" s="69"/>
      <c r="J2787" s="72"/>
      <c r="K2787" s="73"/>
      <c r="L2787" s="72"/>
      <c r="M2787" s="73"/>
      <c r="N2787" s="72"/>
      <c r="O2787" s="73"/>
      <c r="P2787" s="72"/>
      <c r="Q2787" s="73"/>
      <c r="R2787" s="72"/>
      <c r="S2787" s="73"/>
      <c r="T2787" s="72"/>
      <c r="U2787" s="73"/>
      <c r="V2787" s="72"/>
      <c r="W2787" s="73"/>
      <c r="X2787" s="72"/>
      <c r="Y2787" s="73"/>
      <c r="Z2787" s="74" t="b">
        <v>0</v>
      </c>
      <c r="AA2787" s="130">
        <f t="shared" si="1111"/>
        <v>0</v>
      </c>
      <c r="AB2787" s="131">
        <f t="shared" si="1112"/>
        <v>0</v>
      </c>
      <c r="AC2787" s="132">
        <f t="shared" si="1113"/>
        <v>0</v>
      </c>
      <c r="AD2787" s="133">
        <f t="shared" si="1114"/>
        <v>0</v>
      </c>
      <c r="AE2787" s="131">
        <f t="shared" si="1115"/>
        <v>0</v>
      </c>
      <c r="AF2787" s="133">
        <f t="shared" si="1116"/>
        <v>0</v>
      </c>
      <c r="AG2787" s="1"/>
    </row>
    <row r="2788" ht="21.0" customHeight="1">
      <c r="A2788" s="1"/>
      <c r="B2788" s="87" t="str">
        <f t="array" ref="B2788">"📌최근 인바디 결과 : "&amp;text(xlookup(B2780,'현황'!O:O,'현황'!O:O,,-1,-1),"m/d(ddd)")</f>
        <v>#REF!</v>
      </c>
      <c r="C2788" s="88"/>
      <c r="D2788" s="49"/>
      <c r="E2788" s="41"/>
      <c r="F2788" s="52" t="s">
        <v>40</v>
      </c>
      <c r="G2788" s="79"/>
      <c r="H2788" s="80"/>
      <c r="I2788" s="69"/>
      <c r="J2788" s="72"/>
      <c r="K2788" s="73"/>
      <c r="L2788" s="72"/>
      <c r="M2788" s="73"/>
      <c r="N2788" s="72"/>
      <c r="O2788" s="73"/>
      <c r="P2788" s="72"/>
      <c r="Q2788" s="73"/>
      <c r="R2788" s="72"/>
      <c r="S2788" s="73"/>
      <c r="T2788" s="72"/>
      <c r="U2788" s="73"/>
      <c r="V2788" s="72"/>
      <c r="W2788" s="73"/>
      <c r="X2788" s="72"/>
      <c r="Y2788" s="73"/>
      <c r="Z2788" s="74" t="b">
        <v>0</v>
      </c>
      <c r="AA2788" s="130">
        <f t="shared" si="1111"/>
        <v>0</v>
      </c>
      <c r="AB2788" s="131">
        <f t="shared" si="1112"/>
        <v>0</v>
      </c>
      <c r="AC2788" s="132">
        <f t="shared" si="1113"/>
        <v>0</v>
      </c>
      <c r="AD2788" s="133">
        <f t="shared" si="1114"/>
        <v>0</v>
      </c>
      <c r="AE2788" s="131">
        <f t="shared" si="1115"/>
        <v>0</v>
      </c>
      <c r="AF2788" s="133">
        <f t="shared" si="1116"/>
        <v>0</v>
      </c>
      <c r="AG2788" s="1"/>
    </row>
    <row r="2789" ht="21.0" customHeight="1">
      <c r="A2789" s="1"/>
      <c r="B2789" s="89" t="s">
        <v>44</v>
      </c>
      <c r="C2789" s="49"/>
      <c r="D2789" s="90">
        <f t="array" ref="D2789">iferror(vlookup(xlookup(B2780,'현황'!O:O,'현황'!O:O,,-1,-1),'현황'!O:S,2,false),0)</f>
        <v>0</v>
      </c>
      <c r="E2789" s="51" t="s">
        <v>45</v>
      </c>
      <c r="F2789" s="52" t="s">
        <v>34</v>
      </c>
      <c r="G2789" s="83"/>
      <c r="H2789" s="84"/>
      <c r="I2789" s="85"/>
      <c r="J2789" s="72"/>
      <c r="K2789" s="73"/>
      <c r="L2789" s="72"/>
      <c r="M2789" s="73"/>
      <c r="N2789" s="72"/>
      <c r="O2789" s="73"/>
      <c r="P2789" s="72"/>
      <c r="Q2789" s="73"/>
      <c r="R2789" s="72"/>
      <c r="S2789" s="73"/>
      <c r="T2789" s="72"/>
      <c r="U2789" s="73"/>
      <c r="V2789" s="72"/>
      <c r="W2789" s="73"/>
      <c r="X2789" s="72"/>
      <c r="Y2789" s="73"/>
      <c r="Z2789" s="74" t="b">
        <v>0</v>
      </c>
      <c r="AA2789" s="130">
        <f t="shared" si="1111"/>
        <v>0</v>
      </c>
      <c r="AB2789" s="131">
        <f t="shared" si="1112"/>
        <v>0</v>
      </c>
      <c r="AC2789" s="132">
        <f t="shared" si="1113"/>
        <v>0</v>
      </c>
      <c r="AD2789" s="133">
        <f t="shared" si="1114"/>
        <v>0</v>
      </c>
      <c r="AE2789" s="131">
        <f t="shared" si="1115"/>
        <v>0</v>
      </c>
      <c r="AF2789" s="133">
        <f t="shared" si="1116"/>
        <v>0</v>
      </c>
      <c r="AG2789" s="1"/>
    </row>
    <row r="2790" ht="21.0" customHeight="1">
      <c r="A2790" s="1"/>
      <c r="B2790" s="48" t="s">
        <v>46</v>
      </c>
      <c r="C2790" s="49"/>
      <c r="D2790" s="91">
        <f t="array" ref="D2790">iferror(vlookup(xlookup(B2780,'현황'!O:O,'현황'!O:O,,-1,-1),'현황'!O:S,3,false),0)</f>
        <v>0</v>
      </c>
      <c r="E2790" s="66"/>
      <c r="F2790" s="52" t="s">
        <v>37</v>
      </c>
      <c r="G2790" s="67"/>
      <c r="H2790" s="80"/>
      <c r="I2790" s="69"/>
      <c r="J2790" s="72"/>
      <c r="K2790" s="73"/>
      <c r="L2790" s="72"/>
      <c r="M2790" s="73"/>
      <c r="N2790" s="72"/>
      <c r="O2790" s="73"/>
      <c r="P2790" s="72"/>
      <c r="Q2790" s="73"/>
      <c r="R2790" s="72"/>
      <c r="S2790" s="73"/>
      <c r="T2790" s="72"/>
      <c r="U2790" s="73"/>
      <c r="V2790" s="72"/>
      <c r="W2790" s="73"/>
      <c r="X2790" s="72"/>
      <c r="Y2790" s="73"/>
      <c r="Z2790" s="74" t="b">
        <v>0</v>
      </c>
      <c r="AA2790" s="130">
        <f t="shared" si="1111"/>
        <v>0</v>
      </c>
      <c r="AB2790" s="131">
        <f t="shared" si="1112"/>
        <v>0</v>
      </c>
      <c r="AC2790" s="132">
        <f t="shared" si="1113"/>
        <v>0</v>
      </c>
      <c r="AD2790" s="133">
        <f t="shared" si="1114"/>
        <v>0</v>
      </c>
      <c r="AE2790" s="131">
        <f t="shared" si="1115"/>
        <v>0</v>
      </c>
      <c r="AF2790" s="133">
        <f t="shared" si="1116"/>
        <v>0</v>
      </c>
      <c r="AG2790" s="1"/>
    </row>
    <row r="2791" ht="21.0" customHeight="1">
      <c r="A2791" s="1"/>
      <c r="B2791" s="48" t="s">
        <v>47</v>
      </c>
      <c r="C2791" s="49"/>
      <c r="D2791" s="91">
        <f t="array" ref="D2791">iferror(vlookup(xlookup(B2780,'현황'!O:O,'현황'!O:O,,-1,-1),'현황'!O:S,4,false),0)</f>
        <v>0</v>
      </c>
      <c r="E2791" s="41"/>
      <c r="F2791" s="92" t="s">
        <v>40</v>
      </c>
      <c r="G2791" s="79"/>
      <c r="H2791" s="93"/>
      <c r="I2791" s="94"/>
      <c r="J2791" s="95"/>
      <c r="K2791" s="96"/>
      <c r="L2791" s="95"/>
      <c r="M2791" s="96"/>
      <c r="N2791" s="95"/>
      <c r="O2791" s="96"/>
      <c r="P2791" s="95"/>
      <c r="Q2791" s="96"/>
      <c r="R2791" s="95"/>
      <c r="S2791" s="96"/>
      <c r="T2791" s="95"/>
      <c r="U2791" s="96"/>
      <c r="V2791" s="95"/>
      <c r="W2791" s="96"/>
      <c r="X2791" s="95"/>
      <c r="Y2791" s="96"/>
      <c r="Z2791" s="97" t="b">
        <v>0</v>
      </c>
      <c r="AA2791" s="135">
        <f t="shared" si="1111"/>
        <v>0</v>
      </c>
      <c r="AB2791" s="136">
        <f t="shared" si="1112"/>
        <v>0</v>
      </c>
      <c r="AC2791" s="137">
        <f t="shared" si="1113"/>
        <v>0</v>
      </c>
      <c r="AD2791" s="138">
        <f t="shared" si="1114"/>
        <v>0</v>
      </c>
      <c r="AE2791" s="136">
        <f t="shared" si="1115"/>
        <v>0</v>
      </c>
      <c r="AF2791" s="138">
        <f t="shared" si="1116"/>
        <v>0</v>
      </c>
      <c r="AG2791" s="1"/>
    </row>
    <row r="2792" ht="21.0" customHeight="1">
      <c r="A2792" s="1"/>
      <c r="B2792" s="102" t="s">
        <v>48</v>
      </c>
      <c r="C2792" s="103"/>
      <c r="D2792" s="104">
        <f>iferror(D2791/D2789,0)</f>
        <v>0</v>
      </c>
      <c r="E2792" s="102" t="s">
        <v>49</v>
      </c>
      <c r="F2792" s="103"/>
      <c r="G2792" s="105"/>
      <c r="H2792" s="106" t="s">
        <v>50</v>
      </c>
      <c r="I2792" s="107"/>
      <c r="J2792" s="11"/>
      <c r="K2792" s="11"/>
      <c r="L2792" s="11"/>
      <c r="M2792" s="11"/>
      <c r="N2792" s="11"/>
      <c r="O2792" s="11"/>
      <c r="P2792" s="108" t="s">
        <v>51</v>
      </c>
      <c r="Q2792" s="12"/>
      <c r="R2792" s="109"/>
      <c r="S2792" s="11"/>
      <c r="T2792" s="11"/>
      <c r="U2792" s="11"/>
      <c r="V2792" s="11"/>
      <c r="W2792" s="11"/>
      <c r="X2792" s="11"/>
      <c r="Y2792" s="11"/>
      <c r="Z2792" s="12"/>
      <c r="AA2792" s="139">
        <f>SUM(AA2783:AA2791)</f>
        <v>0</v>
      </c>
      <c r="AB2792" s="140" t="s">
        <v>469</v>
      </c>
      <c r="AG2792" s="1"/>
    </row>
    <row r="2793" ht="21.0" customHeight="1">
      <c r="A2793" s="1"/>
      <c r="B2793" s="1"/>
      <c r="C2793" s="1"/>
      <c r="D2793" s="1"/>
      <c r="E2793" s="1"/>
      <c r="F2793" s="1"/>
      <c r="G2793" s="1"/>
      <c r="H2793" s="1"/>
      <c r="I2793" s="1"/>
      <c r="AA2793" s="1"/>
      <c r="AB2793" s="1"/>
      <c r="AC2793" s="3"/>
      <c r="AD2793" s="1"/>
      <c r="AE2793" s="1"/>
      <c r="AF2793" s="1"/>
      <c r="AG2793" s="1"/>
    </row>
    <row r="2794" ht="21.0" customHeight="1">
      <c r="A2794" s="1"/>
      <c r="B2794" s="4" t="s">
        <v>1</v>
      </c>
      <c r="C2794" s="5"/>
      <c r="D2794" s="6" t="s">
        <v>2</v>
      </c>
      <c r="E2794" s="7"/>
      <c r="F2794" s="7"/>
      <c r="G2794" s="5"/>
      <c r="H2794" s="8" t="s">
        <v>3</v>
      </c>
      <c r="I2794" s="8" t="s">
        <v>4</v>
      </c>
      <c r="J2794" s="9" t="s">
        <v>5</v>
      </c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5"/>
      <c r="AA2794" s="117" t="s">
        <v>6</v>
      </c>
      <c r="AB2794" s="11"/>
      <c r="AC2794" s="11"/>
      <c r="AD2794" s="11"/>
      <c r="AE2794" s="11"/>
      <c r="AF2794" s="12"/>
      <c r="AG2794" s="1"/>
    </row>
    <row r="2795" ht="21.0" customHeight="1">
      <c r="A2795" s="1"/>
      <c r="B2795" s="149" t="s">
        <v>138</v>
      </c>
      <c r="C2795" s="14" t="str">
        <f>if(B2795="0/0","",choose(weekday(B2795),"(일)","(월)","(화)","(수)","(목)","(금)","(토)"))</f>
        <v/>
      </c>
      <c r="D2795" s="15" t="s">
        <v>7</v>
      </c>
      <c r="E2795" s="16" t="s">
        <v>8</v>
      </c>
      <c r="F2795" s="17"/>
      <c r="G2795" s="18" t="s">
        <v>9</v>
      </c>
      <c r="H2795" s="150" t="s">
        <v>139</v>
      </c>
      <c r="I2795" s="151"/>
      <c r="J2795" s="21" t="s">
        <v>12</v>
      </c>
      <c r="K2795" s="22"/>
      <c r="L2795" s="21" t="s">
        <v>13</v>
      </c>
      <c r="M2795" s="22"/>
      <c r="N2795" s="21" t="s">
        <v>14</v>
      </c>
      <c r="O2795" s="22"/>
      <c r="P2795" s="21" t="s">
        <v>15</v>
      </c>
      <c r="Q2795" s="22"/>
      <c r="R2795" s="23" t="s">
        <v>16</v>
      </c>
      <c r="S2795" s="22"/>
      <c r="T2795" s="23" t="s">
        <v>17</v>
      </c>
      <c r="U2795" s="22"/>
      <c r="V2795" s="23" t="s">
        <v>18</v>
      </c>
      <c r="W2795" s="22"/>
      <c r="X2795" s="23" t="s">
        <v>19</v>
      </c>
      <c r="Y2795" s="22"/>
      <c r="Z2795" s="24" t="s">
        <v>470</v>
      </c>
      <c r="AA2795" s="118" t="s">
        <v>21</v>
      </c>
      <c r="AB2795" s="119" t="s">
        <v>22</v>
      </c>
      <c r="AC2795" s="7"/>
      <c r="AD2795" s="22"/>
      <c r="AE2795" s="120" t="s">
        <v>23</v>
      </c>
      <c r="AF2795" s="22"/>
      <c r="AG2795" s="1"/>
    </row>
    <row r="2796" ht="21.0" customHeight="1">
      <c r="A2796" s="1"/>
      <c r="B2796" s="27">
        <f>iferror(B2795-'현황'!$C$4+1,0)</f>
        <v>0</v>
      </c>
      <c r="C2796" s="28"/>
      <c r="D2796" s="29">
        <v>0.0</v>
      </c>
      <c r="E2796" s="30">
        <v>0.0</v>
      </c>
      <c r="F2796" s="31"/>
      <c r="G2796" s="32">
        <v>0.0</v>
      </c>
      <c r="H2796" s="33">
        <v>0.0</v>
      </c>
      <c r="I2796" s="34"/>
      <c r="J2796" s="35"/>
      <c r="K2796" s="36"/>
      <c r="L2796" s="35"/>
      <c r="M2796" s="36"/>
      <c r="N2796" s="35"/>
      <c r="O2796" s="36"/>
      <c r="P2796" s="35"/>
      <c r="Q2796" s="36"/>
      <c r="R2796" s="35"/>
      <c r="S2796" s="36"/>
      <c r="T2796" s="35"/>
      <c r="U2796" s="36"/>
      <c r="V2796" s="35"/>
      <c r="W2796" s="36"/>
      <c r="X2796" s="35"/>
      <c r="Y2796" s="36"/>
      <c r="Z2796" s="37"/>
      <c r="AA2796" s="37"/>
      <c r="AB2796" s="35"/>
      <c r="AC2796" s="38"/>
      <c r="AD2796" s="36"/>
      <c r="AE2796" s="35"/>
      <c r="AF2796" s="36"/>
      <c r="AG2796" s="1"/>
    </row>
    <row r="2797" ht="21.0" customHeight="1">
      <c r="A2797" s="1"/>
      <c r="B2797" s="39" t="s">
        <v>24</v>
      </c>
      <c r="C2797" s="40"/>
      <c r="D2797" s="41"/>
      <c r="E2797" s="42" t="s">
        <v>25</v>
      </c>
      <c r="F2797" s="40"/>
      <c r="G2797" s="41"/>
      <c r="H2797" s="43" t="s">
        <v>26</v>
      </c>
      <c r="J2797" s="44" t="s">
        <v>27</v>
      </c>
      <c r="K2797" s="45" t="s">
        <v>28</v>
      </c>
      <c r="L2797" s="44" t="s">
        <v>27</v>
      </c>
      <c r="M2797" s="45" t="s">
        <v>28</v>
      </c>
      <c r="N2797" s="44" t="s">
        <v>27</v>
      </c>
      <c r="O2797" s="45" t="s">
        <v>28</v>
      </c>
      <c r="P2797" s="44" t="s">
        <v>27</v>
      </c>
      <c r="Q2797" s="45" t="s">
        <v>28</v>
      </c>
      <c r="R2797" s="44" t="s">
        <v>27</v>
      </c>
      <c r="S2797" s="45" t="s">
        <v>28</v>
      </c>
      <c r="T2797" s="44" t="s">
        <v>27</v>
      </c>
      <c r="U2797" s="45" t="s">
        <v>28</v>
      </c>
      <c r="V2797" s="44" t="s">
        <v>27</v>
      </c>
      <c r="W2797" s="45" t="s">
        <v>28</v>
      </c>
      <c r="X2797" s="44" t="s">
        <v>27</v>
      </c>
      <c r="Y2797" s="45" t="s">
        <v>28</v>
      </c>
      <c r="Z2797" s="46"/>
      <c r="AA2797" s="46"/>
      <c r="AB2797" s="121" t="s">
        <v>29</v>
      </c>
      <c r="AC2797" s="122" t="s">
        <v>30</v>
      </c>
      <c r="AD2797" s="123" t="s">
        <v>31</v>
      </c>
      <c r="AE2797" s="121" t="s">
        <v>27</v>
      </c>
      <c r="AF2797" s="123" t="s">
        <v>28</v>
      </c>
      <c r="AG2797" s="1"/>
    </row>
    <row r="2798" ht="21.0" customHeight="1">
      <c r="A2798" s="1"/>
      <c r="B2798" s="48" t="s">
        <v>32</v>
      </c>
      <c r="C2798" s="49"/>
      <c r="D2798" s="50"/>
      <c r="E2798" s="51" t="s">
        <v>33</v>
      </c>
      <c r="F2798" s="52" t="s">
        <v>34</v>
      </c>
      <c r="G2798" s="53"/>
      <c r="H2798" s="148"/>
      <c r="I2798" s="55"/>
      <c r="J2798" s="58"/>
      <c r="K2798" s="59"/>
      <c r="L2798" s="58"/>
      <c r="M2798" s="59"/>
      <c r="N2798" s="58"/>
      <c r="O2798" s="59"/>
      <c r="P2798" s="58"/>
      <c r="Q2798" s="59"/>
      <c r="R2798" s="58"/>
      <c r="S2798" s="59"/>
      <c r="T2798" s="58"/>
      <c r="U2798" s="59"/>
      <c r="V2798" s="58"/>
      <c r="W2798" s="59"/>
      <c r="X2798" s="58"/>
      <c r="Y2798" s="59"/>
      <c r="Z2798" s="60" t="b">
        <v>0</v>
      </c>
      <c r="AA2798" s="125">
        <f t="shared" ref="AA2798:AA2806" si="1117">(J2798*K2798+L2798*M2798+N2798*O2798+P2798*Q2798+R2798*S2798+T2798*U2798+V2798*W2798+X2798*Y2798)*if(Z2798=true,0.453592,1)</f>
        <v>0</v>
      </c>
      <c r="AB2798" s="126">
        <f t="shared" ref="AB2798:AB2806" si="1118">SUM(AE2798*AF2798*0.025,AE2798)</f>
        <v>0</v>
      </c>
      <c r="AC2798" s="127">
        <f t="shared" ref="AC2798:AC2806" si="1119">AB2798*87%</f>
        <v>0</v>
      </c>
      <c r="AD2798" s="128">
        <f t="shared" ref="AD2798:AD2806" si="1120">AB2798*67%</f>
        <v>0</v>
      </c>
      <c r="AE2798" s="126">
        <f t="shared" ref="AE2798:AE2806" si="1121">MAX(J2798,L2798,N2798,P2798,R2798,T2798,V2798,X2798)*if(Z2798=true,0.453592,1)</f>
        <v>0</v>
      </c>
      <c r="AF2798" s="128">
        <f t="shared" ref="AF2798:AF2806" si="1122">MAX(IF(J2798*if(Z2798=true,0.453592,1)=$AE2798,K2798,0),IF(L2798*if(Z2798=true,0.453592,1)=$AE2798,M2798,0),IF(N2798*if(Z2798=true,0.453592,1)=$AE2798,O2798,0),IF(P2798*if(Z2798=true,0.453592,1)=$AE2798,Q2798,0),IF(R2798*if(Z2798=true,0.453592,1)=$AE2798,S2798,0),IF(T2798*if(Z2798=true,0.453592,1)=$AE2798,U2798,0),IF(V2798*if(Z2798=true,0.453592,1)=$AE2798,W2798,0),IF(X2798*if(Z2798=true,0.453592,1)=$AE2798,Y2798,0))</f>
        <v>0</v>
      </c>
      <c r="AG2798" s="1"/>
    </row>
    <row r="2799" ht="21.0" customHeight="1">
      <c r="A2799" s="1"/>
      <c r="B2799" s="48" t="s">
        <v>36</v>
      </c>
      <c r="C2799" s="49"/>
      <c r="D2799" s="65"/>
      <c r="E2799" s="66"/>
      <c r="F2799" s="52" t="s">
        <v>37</v>
      </c>
      <c r="G2799" s="67"/>
      <c r="H2799" s="129"/>
      <c r="I2799" s="69"/>
      <c r="J2799" s="72"/>
      <c r="K2799" s="73"/>
      <c r="L2799" s="72"/>
      <c r="M2799" s="73"/>
      <c r="N2799" s="72"/>
      <c r="O2799" s="73"/>
      <c r="P2799" s="72"/>
      <c r="Q2799" s="73"/>
      <c r="R2799" s="72"/>
      <c r="S2799" s="73"/>
      <c r="T2799" s="72"/>
      <c r="U2799" s="73"/>
      <c r="V2799" s="72"/>
      <c r="W2799" s="73"/>
      <c r="X2799" s="72"/>
      <c r="Y2799" s="73"/>
      <c r="Z2799" s="74" t="b">
        <v>0</v>
      </c>
      <c r="AA2799" s="130">
        <f t="shared" si="1117"/>
        <v>0</v>
      </c>
      <c r="AB2799" s="131">
        <f t="shared" si="1118"/>
        <v>0</v>
      </c>
      <c r="AC2799" s="132">
        <f t="shared" si="1119"/>
        <v>0</v>
      </c>
      <c r="AD2799" s="133">
        <f t="shared" si="1120"/>
        <v>0</v>
      </c>
      <c r="AE2799" s="131">
        <f t="shared" si="1121"/>
        <v>0</v>
      </c>
      <c r="AF2799" s="133">
        <f t="shared" si="1122"/>
        <v>0</v>
      </c>
      <c r="AG2799" s="1"/>
    </row>
    <row r="2800" ht="21.0" customHeight="1">
      <c r="A2800" s="1"/>
      <c r="B2800" s="48" t="s">
        <v>39</v>
      </c>
      <c r="C2800" s="49"/>
      <c r="D2800" s="65"/>
      <c r="E2800" s="41"/>
      <c r="F2800" s="52" t="s">
        <v>40</v>
      </c>
      <c r="G2800" s="79"/>
      <c r="H2800" s="80"/>
      <c r="I2800" s="69"/>
      <c r="J2800" s="72"/>
      <c r="K2800" s="73"/>
      <c r="L2800" s="72"/>
      <c r="M2800" s="73"/>
      <c r="N2800" s="72"/>
      <c r="O2800" s="73"/>
      <c r="P2800" s="72"/>
      <c r="Q2800" s="73"/>
      <c r="R2800" s="72"/>
      <c r="S2800" s="73"/>
      <c r="T2800" s="72"/>
      <c r="U2800" s="73"/>
      <c r="V2800" s="72"/>
      <c r="W2800" s="73"/>
      <c r="X2800" s="72"/>
      <c r="Y2800" s="73"/>
      <c r="Z2800" s="74" t="b">
        <v>0</v>
      </c>
      <c r="AA2800" s="130">
        <f t="shared" si="1117"/>
        <v>0</v>
      </c>
      <c r="AB2800" s="131">
        <f t="shared" si="1118"/>
        <v>0</v>
      </c>
      <c r="AC2800" s="132">
        <f t="shared" si="1119"/>
        <v>0</v>
      </c>
      <c r="AD2800" s="133">
        <f t="shared" si="1120"/>
        <v>0</v>
      </c>
      <c r="AE2800" s="131">
        <f t="shared" si="1121"/>
        <v>0</v>
      </c>
      <c r="AF2800" s="133">
        <f t="shared" si="1122"/>
        <v>0</v>
      </c>
      <c r="AG2800" s="1"/>
    </row>
    <row r="2801" ht="21.0" customHeight="1">
      <c r="A2801" s="1"/>
      <c r="B2801" s="48" t="s">
        <v>41</v>
      </c>
      <c r="C2801" s="81"/>
      <c r="D2801" s="82" t="b">
        <v>0</v>
      </c>
      <c r="E2801" s="51" t="s">
        <v>42</v>
      </c>
      <c r="F2801" s="52" t="s">
        <v>34</v>
      </c>
      <c r="G2801" s="83"/>
      <c r="H2801" s="84"/>
      <c r="I2801" s="85"/>
      <c r="J2801" s="72"/>
      <c r="K2801" s="73"/>
      <c r="L2801" s="72"/>
      <c r="M2801" s="73"/>
      <c r="N2801" s="72"/>
      <c r="O2801" s="73"/>
      <c r="P2801" s="72"/>
      <c r="Q2801" s="73"/>
      <c r="R2801" s="72"/>
      <c r="S2801" s="73"/>
      <c r="T2801" s="72"/>
      <c r="U2801" s="73"/>
      <c r="V2801" s="72"/>
      <c r="W2801" s="73"/>
      <c r="X2801" s="72"/>
      <c r="Y2801" s="73"/>
      <c r="Z2801" s="74" t="b">
        <v>0</v>
      </c>
      <c r="AA2801" s="130">
        <f t="shared" si="1117"/>
        <v>0</v>
      </c>
      <c r="AB2801" s="131">
        <f t="shared" si="1118"/>
        <v>0</v>
      </c>
      <c r="AC2801" s="132">
        <f t="shared" si="1119"/>
        <v>0</v>
      </c>
      <c r="AD2801" s="133">
        <f t="shared" si="1120"/>
        <v>0</v>
      </c>
      <c r="AE2801" s="131">
        <f t="shared" si="1121"/>
        <v>0</v>
      </c>
      <c r="AF2801" s="133">
        <f t="shared" si="1122"/>
        <v>0</v>
      </c>
      <c r="AG2801" s="1"/>
    </row>
    <row r="2802" ht="21.0" customHeight="1">
      <c r="A2802" s="1"/>
      <c r="B2802" s="48" t="s">
        <v>43</v>
      </c>
      <c r="C2802" s="49"/>
      <c r="D2802" s="86" t="b">
        <v>0</v>
      </c>
      <c r="E2802" s="66"/>
      <c r="F2802" s="52" t="s">
        <v>37</v>
      </c>
      <c r="G2802" s="67"/>
      <c r="H2802" s="80"/>
      <c r="I2802" s="69"/>
      <c r="J2802" s="72"/>
      <c r="K2802" s="73"/>
      <c r="L2802" s="72"/>
      <c r="M2802" s="73"/>
      <c r="N2802" s="72"/>
      <c r="O2802" s="73"/>
      <c r="P2802" s="72"/>
      <c r="Q2802" s="73"/>
      <c r="R2802" s="72"/>
      <c r="S2802" s="73"/>
      <c r="T2802" s="72"/>
      <c r="U2802" s="73"/>
      <c r="V2802" s="72"/>
      <c r="W2802" s="73"/>
      <c r="X2802" s="72"/>
      <c r="Y2802" s="73"/>
      <c r="Z2802" s="74" t="b">
        <v>0</v>
      </c>
      <c r="AA2802" s="130">
        <f t="shared" si="1117"/>
        <v>0</v>
      </c>
      <c r="AB2802" s="131">
        <f t="shared" si="1118"/>
        <v>0</v>
      </c>
      <c r="AC2802" s="132">
        <f t="shared" si="1119"/>
        <v>0</v>
      </c>
      <c r="AD2802" s="133">
        <f t="shared" si="1120"/>
        <v>0</v>
      </c>
      <c r="AE2802" s="131">
        <f t="shared" si="1121"/>
        <v>0</v>
      </c>
      <c r="AF2802" s="133">
        <f t="shared" si="1122"/>
        <v>0</v>
      </c>
      <c r="AG2802" s="1"/>
    </row>
    <row r="2803" ht="21.0" customHeight="1">
      <c r="A2803" s="1"/>
      <c r="B2803" s="87" t="str">
        <f t="array" ref="B2803">"📌최근 인바디 결과 : "&amp;text(xlookup(B2795,'현황'!O:O,'현황'!O:O,,-1,-1),"m/d(ddd)")</f>
        <v>#REF!</v>
      </c>
      <c r="C2803" s="88"/>
      <c r="D2803" s="49"/>
      <c r="E2803" s="41"/>
      <c r="F2803" s="52" t="s">
        <v>40</v>
      </c>
      <c r="G2803" s="79"/>
      <c r="H2803" s="80"/>
      <c r="I2803" s="69"/>
      <c r="J2803" s="72"/>
      <c r="K2803" s="73"/>
      <c r="L2803" s="72"/>
      <c r="M2803" s="73"/>
      <c r="N2803" s="72"/>
      <c r="O2803" s="73"/>
      <c r="P2803" s="72"/>
      <c r="Q2803" s="73"/>
      <c r="R2803" s="72"/>
      <c r="S2803" s="73"/>
      <c r="T2803" s="72"/>
      <c r="U2803" s="73"/>
      <c r="V2803" s="72"/>
      <c r="W2803" s="73"/>
      <c r="X2803" s="72"/>
      <c r="Y2803" s="73"/>
      <c r="Z2803" s="74" t="b">
        <v>0</v>
      </c>
      <c r="AA2803" s="130">
        <f t="shared" si="1117"/>
        <v>0</v>
      </c>
      <c r="AB2803" s="131">
        <f t="shared" si="1118"/>
        <v>0</v>
      </c>
      <c r="AC2803" s="132">
        <f t="shared" si="1119"/>
        <v>0</v>
      </c>
      <c r="AD2803" s="133">
        <f t="shared" si="1120"/>
        <v>0</v>
      </c>
      <c r="AE2803" s="131">
        <f t="shared" si="1121"/>
        <v>0</v>
      </c>
      <c r="AF2803" s="133">
        <f t="shared" si="1122"/>
        <v>0</v>
      </c>
      <c r="AG2803" s="1"/>
    </row>
    <row r="2804" ht="21.0" customHeight="1">
      <c r="A2804" s="1"/>
      <c r="B2804" s="89" t="s">
        <v>44</v>
      </c>
      <c r="C2804" s="49"/>
      <c r="D2804" s="90">
        <f t="array" ref="D2804">iferror(vlookup(xlookup(B2795,'현황'!O:O,'현황'!O:O,,-1,-1),'현황'!O:S,2,false),0)</f>
        <v>0</v>
      </c>
      <c r="E2804" s="51" t="s">
        <v>45</v>
      </c>
      <c r="F2804" s="52" t="s">
        <v>34</v>
      </c>
      <c r="G2804" s="83"/>
      <c r="H2804" s="84"/>
      <c r="I2804" s="85"/>
      <c r="J2804" s="72"/>
      <c r="K2804" s="73"/>
      <c r="L2804" s="72"/>
      <c r="M2804" s="73"/>
      <c r="N2804" s="72"/>
      <c r="O2804" s="73"/>
      <c r="P2804" s="72"/>
      <c r="Q2804" s="73"/>
      <c r="R2804" s="72"/>
      <c r="S2804" s="73"/>
      <c r="T2804" s="72"/>
      <c r="U2804" s="73"/>
      <c r="V2804" s="72"/>
      <c r="W2804" s="73"/>
      <c r="X2804" s="72"/>
      <c r="Y2804" s="73"/>
      <c r="Z2804" s="74" t="b">
        <v>0</v>
      </c>
      <c r="AA2804" s="130">
        <f t="shared" si="1117"/>
        <v>0</v>
      </c>
      <c r="AB2804" s="131">
        <f t="shared" si="1118"/>
        <v>0</v>
      </c>
      <c r="AC2804" s="132">
        <f t="shared" si="1119"/>
        <v>0</v>
      </c>
      <c r="AD2804" s="133">
        <f t="shared" si="1120"/>
        <v>0</v>
      </c>
      <c r="AE2804" s="131">
        <f t="shared" si="1121"/>
        <v>0</v>
      </c>
      <c r="AF2804" s="133">
        <f t="shared" si="1122"/>
        <v>0</v>
      </c>
      <c r="AG2804" s="1"/>
    </row>
    <row r="2805" ht="21.0" customHeight="1">
      <c r="A2805" s="1"/>
      <c r="B2805" s="48" t="s">
        <v>46</v>
      </c>
      <c r="C2805" s="49"/>
      <c r="D2805" s="91">
        <f t="array" ref="D2805">iferror(vlookup(xlookup(B2795,'현황'!O:O,'현황'!O:O,,-1,-1),'현황'!O:S,3,false),0)</f>
        <v>0</v>
      </c>
      <c r="E2805" s="66"/>
      <c r="F2805" s="52" t="s">
        <v>37</v>
      </c>
      <c r="G2805" s="67"/>
      <c r="H2805" s="80"/>
      <c r="I2805" s="69"/>
      <c r="J2805" s="72"/>
      <c r="K2805" s="73"/>
      <c r="L2805" s="72"/>
      <c r="M2805" s="73"/>
      <c r="N2805" s="72"/>
      <c r="O2805" s="73"/>
      <c r="P2805" s="72"/>
      <c r="Q2805" s="73"/>
      <c r="R2805" s="72"/>
      <c r="S2805" s="73"/>
      <c r="T2805" s="72"/>
      <c r="U2805" s="73"/>
      <c r="V2805" s="72"/>
      <c r="W2805" s="73"/>
      <c r="X2805" s="72"/>
      <c r="Y2805" s="73"/>
      <c r="Z2805" s="74" t="b">
        <v>0</v>
      </c>
      <c r="AA2805" s="130">
        <f t="shared" si="1117"/>
        <v>0</v>
      </c>
      <c r="AB2805" s="131">
        <f t="shared" si="1118"/>
        <v>0</v>
      </c>
      <c r="AC2805" s="132">
        <f t="shared" si="1119"/>
        <v>0</v>
      </c>
      <c r="AD2805" s="133">
        <f t="shared" si="1120"/>
        <v>0</v>
      </c>
      <c r="AE2805" s="131">
        <f t="shared" si="1121"/>
        <v>0</v>
      </c>
      <c r="AF2805" s="133">
        <f t="shared" si="1122"/>
        <v>0</v>
      </c>
      <c r="AG2805" s="1"/>
    </row>
    <row r="2806" ht="21.0" customHeight="1">
      <c r="A2806" s="1"/>
      <c r="B2806" s="48" t="s">
        <v>47</v>
      </c>
      <c r="C2806" s="49"/>
      <c r="D2806" s="91">
        <f t="array" ref="D2806">iferror(vlookup(xlookup(B2795,'현황'!O:O,'현황'!O:O,,-1,-1),'현황'!O:S,4,false),0)</f>
        <v>0</v>
      </c>
      <c r="E2806" s="41"/>
      <c r="F2806" s="92" t="s">
        <v>40</v>
      </c>
      <c r="G2806" s="79"/>
      <c r="H2806" s="93"/>
      <c r="I2806" s="94"/>
      <c r="J2806" s="95"/>
      <c r="K2806" s="96"/>
      <c r="L2806" s="95"/>
      <c r="M2806" s="96"/>
      <c r="N2806" s="95"/>
      <c r="O2806" s="96"/>
      <c r="P2806" s="95"/>
      <c r="Q2806" s="96"/>
      <c r="R2806" s="95"/>
      <c r="S2806" s="96"/>
      <c r="T2806" s="95"/>
      <c r="U2806" s="96"/>
      <c r="V2806" s="95"/>
      <c r="W2806" s="96"/>
      <c r="X2806" s="95"/>
      <c r="Y2806" s="96"/>
      <c r="Z2806" s="97" t="b">
        <v>0</v>
      </c>
      <c r="AA2806" s="135">
        <f t="shared" si="1117"/>
        <v>0</v>
      </c>
      <c r="AB2806" s="136">
        <f t="shared" si="1118"/>
        <v>0</v>
      </c>
      <c r="AC2806" s="137">
        <f t="shared" si="1119"/>
        <v>0</v>
      </c>
      <c r="AD2806" s="138">
        <f t="shared" si="1120"/>
        <v>0</v>
      </c>
      <c r="AE2806" s="136">
        <f t="shared" si="1121"/>
        <v>0</v>
      </c>
      <c r="AF2806" s="138">
        <f t="shared" si="1122"/>
        <v>0</v>
      </c>
      <c r="AG2806" s="1"/>
    </row>
    <row r="2807" ht="21.0" customHeight="1">
      <c r="A2807" s="1"/>
      <c r="B2807" s="102" t="s">
        <v>48</v>
      </c>
      <c r="C2807" s="103"/>
      <c r="D2807" s="104">
        <f>iferror(D2806/D2804,0)</f>
        <v>0</v>
      </c>
      <c r="E2807" s="102" t="s">
        <v>49</v>
      </c>
      <c r="F2807" s="103"/>
      <c r="G2807" s="105"/>
      <c r="H2807" s="106" t="s">
        <v>50</v>
      </c>
      <c r="I2807" s="107"/>
      <c r="J2807" s="11"/>
      <c r="K2807" s="11"/>
      <c r="L2807" s="11"/>
      <c r="M2807" s="11"/>
      <c r="N2807" s="11"/>
      <c r="O2807" s="11"/>
      <c r="P2807" s="108" t="s">
        <v>51</v>
      </c>
      <c r="Q2807" s="12"/>
      <c r="R2807" s="109"/>
      <c r="S2807" s="11"/>
      <c r="T2807" s="11"/>
      <c r="U2807" s="11"/>
      <c r="V2807" s="11"/>
      <c r="W2807" s="11"/>
      <c r="X2807" s="11"/>
      <c r="Y2807" s="11"/>
      <c r="Z2807" s="12"/>
      <c r="AA2807" s="139">
        <f>SUM(AA2798:AA2806)</f>
        <v>0</v>
      </c>
      <c r="AB2807" s="140" t="s">
        <v>471</v>
      </c>
      <c r="AG2807" s="1"/>
    </row>
    <row r="2808" ht="21.0" customHeight="1">
      <c r="A2808" s="1"/>
      <c r="B2808" s="1"/>
      <c r="C2808" s="1"/>
      <c r="D2808" s="1"/>
      <c r="E2808" s="1"/>
      <c r="F2808" s="1"/>
      <c r="G2808" s="1"/>
      <c r="H2808" s="1"/>
      <c r="I2808" s="1"/>
      <c r="AA2808" s="1"/>
      <c r="AB2808" s="1"/>
      <c r="AC2808" s="3"/>
      <c r="AD2808" s="1"/>
      <c r="AE2808" s="1"/>
      <c r="AF2808" s="1"/>
      <c r="AG2808" s="1"/>
    </row>
    <row r="2809" ht="21.0" customHeight="1">
      <c r="A2809" s="1"/>
      <c r="B2809" s="4" t="s">
        <v>1</v>
      </c>
      <c r="C2809" s="5"/>
      <c r="D2809" s="6" t="s">
        <v>2</v>
      </c>
      <c r="E2809" s="7"/>
      <c r="F2809" s="7"/>
      <c r="G2809" s="5"/>
      <c r="H2809" s="8" t="s">
        <v>3</v>
      </c>
      <c r="I2809" s="8" t="s">
        <v>4</v>
      </c>
      <c r="J2809" s="9" t="s">
        <v>5</v>
      </c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5"/>
      <c r="AA2809" s="117" t="s">
        <v>6</v>
      </c>
      <c r="AB2809" s="11"/>
      <c r="AC2809" s="11"/>
      <c r="AD2809" s="11"/>
      <c r="AE2809" s="11"/>
      <c r="AF2809" s="12"/>
      <c r="AG2809" s="1"/>
    </row>
    <row r="2810" ht="21.0" customHeight="1">
      <c r="A2810" s="1"/>
      <c r="B2810" s="149" t="s">
        <v>138</v>
      </c>
      <c r="C2810" s="14" t="str">
        <f>if(B2810="0/0","",choose(weekday(B2810),"(일)","(월)","(화)","(수)","(목)","(금)","(토)"))</f>
        <v/>
      </c>
      <c r="D2810" s="15" t="s">
        <v>7</v>
      </c>
      <c r="E2810" s="16" t="s">
        <v>8</v>
      </c>
      <c r="F2810" s="17"/>
      <c r="G2810" s="18" t="s">
        <v>9</v>
      </c>
      <c r="H2810" s="150" t="s">
        <v>139</v>
      </c>
      <c r="I2810" s="151"/>
      <c r="J2810" s="21" t="s">
        <v>12</v>
      </c>
      <c r="K2810" s="22"/>
      <c r="L2810" s="21" t="s">
        <v>13</v>
      </c>
      <c r="M2810" s="22"/>
      <c r="N2810" s="21" t="s">
        <v>14</v>
      </c>
      <c r="O2810" s="22"/>
      <c r="P2810" s="21" t="s">
        <v>15</v>
      </c>
      <c r="Q2810" s="22"/>
      <c r="R2810" s="23" t="s">
        <v>16</v>
      </c>
      <c r="S2810" s="22"/>
      <c r="T2810" s="23" t="s">
        <v>17</v>
      </c>
      <c r="U2810" s="22"/>
      <c r="V2810" s="23" t="s">
        <v>18</v>
      </c>
      <c r="W2810" s="22"/>
      <c r="X2810" s="23" t="s">
        <v>19</v>
      </c>
      <c r="Y2810" s="22"/>
      <c r="Z2810" s="24" t="s">
        <v>472</v>
      </c>
      <c r="AA2810" s="118" t="s">
        <v>21</v>
      </c>
      <c r="AB2810" s="119" t="s">
        <v>22</v>
      </c>
      <c r="AC2810" s="7"/>
      <c r="AD2810" s="22"/>
      <c r="AE2810" s="120" t="s">
        <v>23</v>
      </c>
      <c r="AF2810" s="22"/>
      <c r="AG2810" s="1"/>
    </row>
    <row r="2811" ht="21.0" customHeight="1">
      <c r="A2811" s="1"/>
      <c r="B2811" s="27">
        <f>iferror(B2810-'현황'!$C$4+1,0)</f>
        <v>0</v>
      </c>
      <c r="C2811" s="28"/>
      <c r="D2811" s="29">
        <v>0.0</v>
      </c>
      <c r="E2811" s="30">
        <v>0.0</v>
      </c>
      <c r="F2811" s="31"/>
      <c r="G2811" s="32">
        <v>0.0</v>
      </c>
      <c r="H2811" s="33">
        <v>0.0</v>
      </c>
      <c r="I2811" s="34"/>
      <c r="J2811" s="35"/>
      <c r="K2811" s="36"/>
      <c r="L2811" s="35"/>
      <c r="M2811" s="36"/>
      <c r="N2811" s="35"/>
      <c r="O2811" s="36"/>
      <c r="P2811" s="35"/>
      <c r="Q2811" s="36"/>
      <c r="R2811" s="35"/>
      <c r="S2811" s="36"/>
      <c r="T2811" s="35"/>
      <c r="U2811" s="36"/>
      <c r="V2811" s="35"/>
      <c r="W2811" s="36"/>
      <c r="X2811" s="35"/>
      <c r="Y2811" s="36"/>
      <c r="Z2811" s="37"/>
      <c r="AA2811" s="37"/>
      <c r="AB2811" s="35"/>
      <c r="AC2811" s="38"/>
      <c r="AD2811" s="36"/>
      <c r="AE2811" s="35"/>
      <c r="AF2811" s="36"/>
      <c r="AG2811" s="1"/>
    </row>
    <row r="2812" ht="21.0" customHeight="1">
      <c r="A2812" s="1"/>
      <c r="B2812" s="39" t="s">
        <v>24</v>
      </c>
      <c r="C2812" s="40"/>
      <c r="D2812" s="41"/>
      <c r="E2812" s="42" t="s">
        <v>25</v>
      </c>
      <c r="F2812" s="40"/>
      <c r="G2812" s="41"/>
      <c r="H2812" s="43" t="s">
        <v>26</v>
      </c>
      <c r="J2812" s="44" t="s">
        <v>27</v>
      </c>
      <c r="K2812" s="45" t="s">
        <v>28</v>
      </c>
      <c r="L2812" s="44" t="s">
        <v>27</v>
      </c>
      <c r="M2812" s="45" t="s">
        <v>28</v>
      </c>
      <c r="N2812" s="44" t="s">
        <v>27</v>
      </c>
      <c r="O2812" s="45" t="s">
        <v>28</v>
      </c>
      <c r="P2812" s="44" t="s">
        <v>27</v>
      </c>
      <c r="Q2812" s="45" t="s">
        <v>28</v>
      </c>
      <c r="R2812" s="44" t="s">
        <v>27</v>
      </c>
      <c r="S2812" s="45" t="s">
        <v>28</v>
      </c>
      <c r="T2812" s="44" t="s">
        <v>27</v>
      </c>
      <c r="U2812" s="45" t="s">
        <v>28</v>
      </c>
      <c r="V2812" s="44" t="s">
        <v>27</v>
      </c>
      <c r="W2812" s="45" t="s">
        <v>28</v>
      </c>
      <c r="X2812" s="44" t="s">
        <v>27</v>
      </c>
      <c r="Y2812" s="45" t="s">
        <v>28</v>
      </c>
      <c r="Z2812" s="46"/>
      <c r="AA2812" s="46"/>
      <c r="AB2812" s="121" t="s">
        <v>29</v>
      </c>
      <c r="AC2812" s="122" t="s">
        <v>30</v>
      </c>
      <c r="AD2812" s="123" t="s">
        <v>31</v>
      </c>
      <c r="AE2812" s="121" t="s">
        <v>27</v>
      </c>
      <c r="AF2812" s="123" t="s">
        <v>28</v>
      </c>
      <c r="AG2812" s="1"/>
    </row>
    <row r="2813" ht="21.0" customHeight="1">
      <c r="A2813" s="1"/>
      <c r="B2813" s="48" t="s">
        <v>32</v>
      </c>
      <c r="C2813" s="49"/>
      <c r="D2813" s="50"/>
      <c r="E2813" s="51" t="s">
        <v>33</v>
      </c>
      <c r="F2813" s="52" t="s">
        <v>34</v>
      </c>
      <c r="G2813" s="53"/>
      <c r="H2813" s="148"/>
      <c r="I2813" s="55"/>
      <c r="J2813" s="58"/>
      <c r="K2813" s="59"/>
      <c r="L2813" s="58"/>
      <c r="M2813" s="59"/>
      <c r="N2813" s="58"/>
      <c r="O2813" s="59"/>
      <c r="P2813" s="58"/>
      <c r="Q2813" s="59"/>
      <c r="R2813" s="58"/>
      <c r="S2813" s="59"/>
      <c r="T2813" s="58"/>
      <c r="U2813" s="59"/>
      <c r="V2813" s="58"/>
      <c r="W2813" s="59"/>
      <c r="X2813" s="58"/>
      <c r="Y2813" s="59"/>
      <c r="Z2813" s="60" t="b">
        <v>0</v>
      </c>
      <c r="AA2813" s="125">
        <f t="shared" ref="AA2813:AA2821" si="1123">(J2813*K2813+L2813*M2813+N2813*O2813+P2813*Q2813+R2813*S2813+T2813*U2813+V2813*W2813+X2813*Y2813)*if(Z2813=true,0.453592,1)</f>
        <v>0</v>
      </c>
      <c r="AB2813" s="126">
        <f t="shared" ref="AB2813:AB2821" si="1124">SUM(AE2813*AF2813*0.025,AE2813)</f>
        <v>0</v>
      </c>
      <c r="AC2813" s="127">
        <f t="shared" ref="AC2813:AC2821" si="1125">AB2813*87%</f>
        <v>0</v>
      </c>
      <c r="AD2813" s="128">
        <f t="shared" ref="AD2813:AD2821" si="1126">AB2813*67%</f>
        <v>0</v>
      </c>
      <c r="AE2813" s="126">
        <f t="shared" ref="AE2813:AE2821" si="1127">MAX(J2813,L2813,N2813,P2813,R2813,T2813,V2813,X2813)*if(Z2813=true,0.453592,1)</f>
        <v>0</v>
      </c>
      <c r="AF2813" s="128">
        <f t="shared" ref="AF2813:AF2821" si="1128">MAX(IF(J2813*if(Z2813=true,0.453592,1)=$AE2813,K2813,0),IF(L2813*if(Z2813=true,0.453592,1)=$AE2813,M2813,0),IF(N2813*if(Z2813=true,0.453592,1)=$AE2813,O2813,0),IF(P2813*if(Z2813=true,0.453592,1)=$AE2813,Q2813,0),IF(R2813*if(Z2813=true,0.453592,1)=$AE2813,S2813,0),IF(T2813*if(Z2813=true,0.453592,1)=$AE2813,U2813,0),IF(V2813*if(Z2813=true,0.453592,1)=$AE2813,W2813,0),IF(X2813*if(Z2813=true,0.453592,1)=$AE2813,Y2813,0))</f>
        <v>0</v>
      </c>
      <c r="AG2813" s="1"/>
    </row>
    <row r="2814" ht="21.0" customHeight="1">
      <c r="A2814" s="1"/>
      <c r="B2814" s="48" t="s">
        <v>36</v>
      </c>
      <c r="C2814" s="49"/>
      <c r="D2814" s="65"/>
      <c r="E2814" s="66"/>
      <c r="F2814" s="52" t="s">
        <v>37</v>
      </c>
      <c r="G2814" s="67"/>
      <c r="H2814" s="129"/>
      <c r="I2814" s="69"/>
      <c r="J2814" s="72"/>
      <c r="K2814" s="73"/>
      <c r="L2814" s="72"/>
      <c r="M2814" s="73"/>
      <c r="N2814" s="72"/>
      <c r="O2814" s="73"/>
      <c r="P2814" s="72"/>
      <c r="Q2814" s="73"/>
      <c r="R2814" s="72"/>
      <c r="S2814" s="73"/>
      <c r="T2814" s="72"/>
      <c r="U2814" s="73"/>
      <c r="V2814" s="72"/>
      <c r="W2814" s="73"/>
      <c r="X2814" s="72"/>
      <c r="Y2814" s="73"/>
      <c r="Z2814" s="74" t="b">
        <v>0</v>
      </c>
      <c r="AA2814" s="130">
        <f t="shared" si="1123"/>
        <v>0</v>
      </c>
      <c r="AB2814" s="131">
        <f t="shared" si="1124"/>
        <v>0</v>
      </c>
      <c r="AC2814" s="132">
        <f t="shared" si="1125"/>
        <v>0</v>
      </c>
      <c r="AD2814" s="133">
        <f t="shared" si="1126"/>
        <v>0</v>
      </c>
      <c r="AE2814" s="131">
        <f t="shared" si="1127"/>
        <v>0</v>
      </c>
      <c r="AF2814" s="133">
        <f t="shared" si="1128"/>
        <v>0</v>
      </c>
      <c r="AG2814" s="1"/>
    </row>
    <row r="2815" ht="21.0" customHeight="1">
      <c r="A2815" s="1"/>
      <c r="B2815" s="48" t="s">
        <v>39</v>
      </c>
      <c r="C2815" s="49"/>
      <c r="D2815" s="65"/>
      <c r="E2815" s="41"/>
      <c r="F2815" s="52" t="s">
        <v>40</v>
      </c>
      <c r="G2815" s="79"/>
      <c r="H2815" s="80"/>
      <c r="I2815" s="69"/>
      <c r="J2815" s="72"/>
      <c r="K2815" s="73"/>
      <c r="L2815" s="72"/>
      <c r="M2815" s="73"/>
      <c r="N2815" s="72"/>
      <c r="O2815" s="73"/>
      <c r="P2815" s="72"/>
      <c r="Q2815" s="73"/>
      <c r="R2815" s="72"/>
      <c r="S2815" s="73"/>
      <c r="T2815" s="72"/>
      <c r="U2815" s="73"/>
      <c r="V2815" s="72"/>
      <c r="W2815" s="73"/>
      <c r="X2815" s="72"/>
      <c r="Y2815" s="73"/>
      <c r="Z2815" s="74" t="b">
        <v>0</v>
      </c>
      <c r="AA2815" s="130">
        <f t="shared" si="1123"/>
        <v>0</v>
      </c>
      <c r="AB2815" s="131">
        <f t="shared" si="1124"/>
        <v>0</v>
      </c>
      <c r="AC2815" s="132">
        <f t="shared" si="1125"/>
        <v>0</v>
      </c>
      <c r="AD2815" s="133">
        <f t="shared" si="1126"/>
        <v>0</v>
      </c>
      <c r="AE2815" s="131">
        <f t="shared" si="1127"/>
        <v>0</v>
      </c>
      <c r="AF2815" s="133">
        <f t="shared" si="1128"/>
        <v>0</v>
      </c>
      <c r="AG2815" s="1"/>
    </row>
    <row r="2816" ht="21.0" customHeight="1">
      <c r="A2816" s="1"/>
      <c r="B2816" s="48" t="s">
        <v>41</v>
      </c>
      <c r="C2816" s="81"/>
      <c r="D2816" s="82" t="b">
        <v>0</v>
      </c>
      <c r="E2816" s="51" t="s">
        <v>42</v>
      </c>
      <c r="F2816" s="52" t="s">
        <v>34</v>
      </c>
      <c r="G2816" s="83"/>
      <c r="H2816" s="84"/>
      <c r="I2816" s="85"/>
      <c r="J2816" s="72"/>
      <c r="K2816" s="73"/>
      <c r="L2816" s="72"/>
      <c r="M2816" s="73"/>
      <c r="N2816" s="72"/>
      <c r="O2816" s="73"/>
      <c r="P2816" s="72"/>
      <c r="Q2816" s="73"/>
      <c r="R2816" s="72"/>
      <c r="S2816" s="73"/>
      <c r="T2816" s="72"/>
      <c r="U2816" s="73"/>
      <c r="V2816" s="72"/>
      <c r="W2816" s="73"/>
      <c r="X2816" s="72"/>
      <c r="Y2816" s="73"/>
      <c r="Z2816" s="74" t="b">
        <v>0</v>
      </c>
      <c r="AA2816" s="130">
        <f t="shared" si="1123"/>
        <v>0</v>
      </c>
      <c r="AB2816" s="131">
        <f t="shared" si="1124"/>
        <v>0</v>
      </c>
      <c r="AC2816" s="132">
        <f t="shared" si="1125"/>
        <v>0</v>
      </c>
      <c r="AD2816" s="133">
        <f t="shared" si="1126"/>
        <v>0</v>
      </c>
      <c r="AE2816" s="131">
        <f t="shared" si="1127"/>
        <v>0</v>
      </c>
      <c r="AF2816" s="133">
        <f t="shared" si="1128"/>
        <v>0</v>
      </c>
      <c r="AG2816" s="1"/>
    </row>
    <row r="2817" ht="21.0" customHeight="1">
      <c r="A2817" s="1"/>
      <c r="B2817" s="48" t="s">
        <v>43</v>
      </c>
      <c r="C2817" s="49"/>
      <c r="D2817" s="86" t="b">
        <v>0</v>
      </c>
      <c r="E2817" s="66"/>
      <c r="F2817" s="52" t="s">
        <v>37</v>
      </c>
      <c r="G2817" s="67"/>
      <c r="H2817" s="80"/>
      <c r="I2817" s="69"/>
      <c r="J2817" s="72"/>
      <c r="K2817" s="73"/>
      <c r="L2817" s="72"/>
      <c r="M2817" s="73"/>
      <c r="N2817" s="72"/>
      <c r="O2817" s="73"/>
      <c r="P2817" s="72"/>
      <c r="Q2817" s="73"/>
      <c r="R2817" s="72"/>
      <c r="S2817" s="73"/>
      <c r="T2817" s="72"/>
      <c r="U2817" s="73"/>
      <c r="V2817" s="72"/>
      <c r="W2817" s="73"/>
      <c r="X2817" s="72"/>
      <c r="Y2817" s="73"/>
      <c r="Z2817" s="74" t="b">
        <v>0</v>
      </c>
      <c r="AA2817" s="130">
        <f t="shared" si="1123"/>
        <v>0</v>
      </c>
      <c r="AB2817" s="131">
        <f t="shared" si="1124"/>
        <v>0</v>
      </c>
      <c r="AC2817" s="132">
        <f t="shared" si="1125"/>
        <v>0</v>
      </c>
      <c r="AD2817" s="133">
        <f t="shared" si="1126"/>
        <v>0</v>
      </c>
      <c r="AE2817" s="131">
        <f t="shared" si="1127"/>
        <v>0</v>
      </c>
      <c r="AF2817" s="133">
        <f t="shared" si="1128"/>
        <v>0</v>
      </c>
      <c r="AG2817" s="1"/>
    </row>
    <row r="2818" ht="21.0" customHeight="1">
      <c r="A2818" s="1"/>
      <c r="B2818" s="87" t="str">
        <f t="array" ref="B2818">"📌최근 인바디 결과 : "&amp;text(xlookup(B2810,'현황'!O:O,'현황'!O:O,,-1,-1),"m/d(ddd)")</f>
        <v>#REF!</v>
      </c>
      <c r="C2818" s="88"/>
      <c r="D2818" s="49"/>
      <c r="E2818" s="41"/>
      <c r="F2818" s="52" t="s">
        <v>40</v>
      </c>
      <c r="G2818" s="79"/>
      <c r="H2818" s="80"/>
      <c r="I2818" s="69"/>
      <c r="J2818" s="72"/>
      <c r="K2818" s="73"/>
      <c r="L2818" s="72"/>
      <c r="M2818" s="73"/>
      <c r="N2818" s="72"/>
      <c r="O2818" s="73"/>
      <c r="P2818" s="72"/>
      <c r="Q2818" s="73"/>
      <c r="R2818" s="72"/>
      <c r="S2818" s="73"/>
      <c r="T2818" s="72"/>
      <c r="U2818" s="73"/>
      <c r="V2818" s="72"/>
      <c r="W2818" s="73"/>
      <c r="X2818" s="72"/>
      <c r="Y2818" s="73"/>
      <c r="Z2818" s="74" t="b">
        <v>0</v>
      </c>
      <c r="AA2818" s="130">
        <f t="shared" si="1123"/>
        <v>0</v>
      </c>
      <c r="AB2818" s="131">
        <f t="shared" si="1124"/>
        <v>0</v>
      </c>
      <c r="AC2818" s="132">
        <f t="shared" si="1125"/>
        <v>0</v>
      </c>
      <c r="AD2818" s="133">
        <f t="shared" si="1126"/>
        <v>0</v>
      </c>
      <c r="AE2818" s="131">
        <f t="shared" si="1127"/>
        <v>0</v>
      </c>
      <c r="AF2818" s="133">
        <f t="shared" si="1128"/>
        <v>0</v>
      </c>
      <c r="AG2818" s="1"/>
    </row>
    <row r="2819" ht="21.0" customHeight="1">
      <c r="A2819" s="1"/>
      <c r="B2819" s="89" t="s">
        <v>44</v>
      </c>
      <c r="C2819" s="49"/>
      <c r="D2819" s="90">
        <f t="array" ref="D2819">iferror(vlookup(xlookup(B2810,'현황'!O:O,'현황'!O:O,,-1,-1),'현황'!O:S,2,false),0)</f>
        <v>0</v>
      </c>
      <c r="E2819" s="51" t="s">
        <v>45</v>
      </c>
      <c r="F2819" s="52" t="s">
        <v>34</v>
      </c>
      <c r="G2819" s="83"/>
      <c r="H2819" s="84"/>
      <c r="I2819" s="85"/>
      <c r="J2819" s="72"/>
      <c r="K2819" s="73"/>
      <c r="L2819" s="72"/>
      <c r="M2819" s="73"/>
      <c r="N2819" s="72"/>
      <c r="O2819" s="73"/>
      <c r="P2819" s="72"/>
      <c r="Q2819" s="73"/>
      <c r="R2819" s="72"/>
      <c r="S2819" s="73"/>
      <c r="T2819" s="72"/>
      <c r="U2819" s="73"/>
      <c r="V2819" s="72"/>
      <c r="W2819" s="73"/>
      <c r="X2819" s="72"/>
      <c r="Y2819" s="73"/>
      <c r="Z2819" s="74" t="b">
        <v>0</v>
      </c>
      <c r="AA2819" s="130">
        <f t="shared" si="1123"/>
        <v>0</v>
      </c>
      <c r="AB2819" s="131">
        <f t="shared" si="1124"/>
        <v>0</v>
      </c>
      <c r="AC2819" s="132">
        <f t="shared" si="1125"/>
        <v>0</v>
      </c>
      <c r="AD2819" s="133">
        <f t="shared" si="1126"/>
        <v>0</v>
      </c>
      <c r="AE2819" s="131">
        <f t="shared" si="1127"/>
        <v>0</v>
      </c>
      <c r="AF2819" s="133">
        <f t="shared" si="1128"/>
        <v>0</v>
      </c>
      <c r="AG2819" s="1"/>
    </row>
    <row r="2820" ht="21.0" customHeight="1">
      <c r="A2820" s="1"/>
      <c r="B2820" s="48" t="s">
        <v>46</v>
      </c>
      <c r="C2820" s="49"/>
      <c r="D2820" s="91">
        <f t="array" ref="D2820">iferror(vlookup(xlookup(B2810,'현황'!O:O,'현황'!O:O,,-1,-1),'현황'!O:S,3,false),0)</f>
        <v>0</v>
      </c>
      <c r="E2820" s="66"/>
      <c r="F2820" s="52" t="s">
        <v>37</v>
      </c>
      <c r="G2820" s="67"/>
      <c r="H2820" s="80"/>
      <c r="I2820" s="69"/>
      <c r="J2820" s="72"/>
      <c r="K2820" s="73"/>
      <c r="L2820" s="72"/>
      <c r="M2820" s="73"/>
      <c r="N2820" s="72"/>
      <c r="O2820" s="73"/>
      <c r="P2820" s="72"/>
      <c r="Q2820" s="73"/>
      <c r="R2820" s="72"/>
      <c r="S2820" s="73"/>
      <c r="T2820" s="72"/>
      <c r="U2820" s="73"/>
      <c r="V2820" s="72"/>
      <c r="W2820" s="73"/>
      <c r="X2820" s="72"/>
      <c r="Y2820" s="73"/>
      <c r="Z2820" s="74" t="b">
        <v>0</v>
      </c>
      <c r="AA2820" s="130">
        <f t="shared" si="1123"/>
        <v>0</v>
      </c>
      <c r="AB2820" s="131">
        <f t="shared" si="1124"/>
        <v>0</v>
      </c>
      <c r="AC2820" s="132">
        <f t="shared" si="1125"/>
        <v>0</v>
      </c>
      <c r="AD2820" s="133">
        <f t="shared" si="1126"/>
        <v>0</v>
      </c>
      <c r="AE2820" s="131">
        <f t="shared" si="1127"/>
        <v>0</v>
      </c>
      <c r="AF2820" s="133">
        <f t="shared" si="1128"/>
        <v>0</v>
      </c>
      <c r="AG2820" s="1"/>
    </row>
    <row r="2821" ht="21.0" customHeight="1">
      <c r="A2821" s="1"/>
      <c r="B2821" s="48" t="s">
        <v>47</v>
      </c>
      <c r="C2821" s="49"/>
      <c r="D2821" s="91">
        <f t="array" ref="D2821">iferror(vlookup(xlookup(B2810,'현황'!O:O,'현황'!O:O,,-1,-1),'현황'!O:S,4,false),0)</f>
        <v>0</v>
      </c>
      <c r="E2821" s="41"/>
      <c r="F2821" s="92" t="s">
        <v>40</v>
      </c>
      <c r="G2821" s="79"/>
      <c r="H2821" s="93"/>
      <c r="I2821" s="94"/>
      <c r="J2821" s="95"/>
      <c r="K2821" s="96"/>
      <c r="L2821" s="95"/>
      <c r="M2821" s="96"/>
      <c r="N2821" s="95"/>
      <c r="O2821" s="96"/>
      <c r="P2821" s="95"/>
      <c r="Q2821" s="96"/>
      <c r="R2821" s="95"/>
      <c r="S2821" s="96"/>
      <c r="T2821" s="95"/>
      <c r="U2821" s="96"/>
      <c r="V2821" s="95"/>
      <c r="W2821" s="96"/>
      <c r="X2821" s="95"/>
      <c r="Y2821" s="96"/>
      <c r="Z2821" s="97" t="b">
        <v>0</v>
      </c>
      <c r="AA2821" s="135">
        <f t="shared" si="1123"/>
        <v>0</v>
      </c>
      <c r="AB2821" s="136">
        <f t="shared" si="1124"/>
        <v>0</v>
      </c>
      <c r="AC2821" s="137">
        <f t="shared" si="1125"/>
        <v>0</v>
      </c>
      <c r="AD2821" s="138">
        <f t="shared" si="1126"/>
        <v>0</v>
      </c>
      <c r="AE2821" s="136">
        <f t="shared" si="1127"/>
        <v>0</v>
      </c>
      <c r="AF2821" s="138">
        <f t="shared" si="1128"/>
        <v>0</v>
      </c>
      <c r="AG2821" s="1"/>
    </row>
    <row r="2822" ht="21.0" customHeight="1">
      <c r="A2822" s="1"/>
      <c r="B2822" s="102" t="s">
        <v>48</v>
      </c>
      <c r="C2822" s="103"/>
      <c r="D2822" s="104">
        <f>iferror(D2821/D2819,0)</f>
        <v>0</v>
      </c>
      <c r="E2822" s="102" t="s">
        <v>49</v>
      </c>
      <c r="F2822" s="103"/>
      <c r="G2822" s="105"/>
      <c r="H2822" s="143" t="s">
        <v>50</v>
      </c>
      <c r="I2822" s="144"/>
      <c r="J2822" s="11"/>
      <c r="K2822" s="11"/>
      <c r="L2822" s="11"/>
      <c r="M2822" s="11"/>
      <c r="N2822" s="11"/>
      <c r="O2822" s="11"/>
      <c r="P2822" s="145" t="s">
        <v>51</v>
      </c>
      <c r="Q2822" s="12"/>
      <c r="R2822" s="146"/>
      <c r="S2822" s="11"/>
      <c r="T2822" s="11"/>
      <c r="U2822" s="11"/>
      <c r="V2822" s="11"/>
      <c r="W2822" s="11"/>
      <c r="X2822" s="11"/>
      <c r="Y2822" s="11"/>
      <c r="Z2822" s="12"/>
      <c r="AA2822" s="139">
        <f>SUM(AA2813:AA2821)</f>
        <v>0</v>
      </c>
      <c r="AB2822" s="140" t="s">
        <v>473</v>
      </c>
      <c r="AG2822" s="1"/>
    </row>
    <row r="2823" ht="21.0" customHeight="1">
      <c r="A2823" s="1"/>
      <c r="B2823" s="1"/>
      <c r="C2823" s="1"/>
      <c r="D2823" s="1"/>
      <c r="E2823" s="1"/>
      <c r="F2823" s="1"/>
      <c r="G2823" s="1"/>
      <c r="H2823" s="1"/>
      <c r="I2823" s="1"/>
      <c r="AA2823" s="1"/>
      <c r="AB2823" s="1"/>
      <c r="AC2823" s="3"/>
      <c r="AD2823" s="1"/>
      <c r="AE2823" s="1"/>
      <c r="AF2823" s="1"/>
      <c r="AG2823" s="1"/>
    </row>
    <row r="2824" ht="21.0" customHeight="1">
      <c r="A2824" s="1"/>
      <c r="B2824" s="4" t="s">
        <v>1</v>
      </c>
      <c r="C2824" s="5"/>
      <c r="D2824" s="6" t="s">
        <v>2</v>
      </c>
      <c r="E2824" s="7"/>
      <c r="F2824" s="7"/>
      <c r="G2824" s="5"/>
      <c r="H2824" s="8" t="s">
        <v>3</v>
      </c>
      <c r="I2824" s="8" t="s">
        <v>4</v>
      </c>
      <c r="J2824" s="9" t="s">
        <v>5</v>
      </c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5"/>
      <c r="AA2824" s="117" t="s">
        <v>6</v>
      </c>
      <c r="AB2824" s="11"/>
      <c r="AC2824" s="11"/>
      <c r="AD2824" s="11"/>
      <c r="AE2824" s="11"/>
      <c r="AF2824" s="12"/>
      <c r="AG2824" s="1"/>
    </row>
    <row r="2825" ht="21.0" customHeight="1">
      <c r="A2825" s="1"/>
      <c r="B2825" s="149" t="s">
        <v>138</v>
      </c>
      <c r="C2825" s="14" t="str">
        <f>if(B2825="0/0","",choose(weekday(B2825),"(일)","(월)","(화)","(수)","(목)","(금)","(토)"))</f>
        <v/>
      </c>
      <c r="D2825" s="15" t="s">
        <v>7</v>
      </c>
      <c r="E2825" s="16" t="s">
        <v>8</v>
      </c>
      <c r="F2825" s="17"/>
      <c r="G2825" s="18" t="s">
        <v>9</v>
      </c>
      <c r="H2825" s="150" t="s">
        <v>139</v>
      </c>
      <c r="I2825" s="151"/>
      <c r="J2825" s="21" t="s">
        <v>12</v>
      </c>
      <c r="K2825" s="22"/>
      <c r="L2825" s="21" t="s">
        <v>13</v>
      </c>
      <c r="M2825" s="22"/>
      <c r="N2825" s="21" t="s">
        <v>14</v>
      </c>
      <c r="O2825" s="22"/>
      <c r="P2825" s="21" t="s">
        <v>15</v>
      </c>
      <c r="Q2825" s="22"/>
      <c r="R2825" s="23" t="s">
        <v>16</v>
      </c>
      <c r="S2825" s="22"/>
      <c r="T2825" s="23" t="s">
        <v>17</v>
      </c>
      <c r="U2825" s="22"/>
      <c r="V2825" s="23" t="s">
        <v>18</v>
      </c>
      <c r="W2825" s="22"/>
      <c r="X2825" s="23" t="s">
        <v>19</v>
      </c>
      <c r="Y2825" s="22"/>
      <c r="Z2825" s="24" t="s">
        <v>474</v>
      </c>
      <c r="AA2825" s="118" t="s">
        <v>21</v>
      </c>
      <c r="AB2825" s="119" t="s">
        <v>22</v>
      </c>
      <c r="AC2825" s="7"/>
      <c r="AD2825" s="22"/>
      <c r="AE2825" s="120" t="s">
        <v>23</v>
      </c>
      <c r="AF2825" s="22"/>
      <c r="AG2825" s="1"/>
    </row>
    <row r="2826" ht="21.0" customHeight="1">
      <c r="A2826" s="1"/>
      <c r="B2826" s="27">
        <f>iferror(B2825-'현황'!$C$4+1,0)</f>
        <v>0</v>
      </c>
      <c r="C2826" s="28"/>
      <c r="D2826" s="29">
        <v>0.0</v>
      </c>
      <c r="E2826" s="30">
        <v>0.0</v>
      </c>
      <c r="F2826" s="31"/>
      <c r="G2826" s="32">
        <v>0.0</v>
      </c>
      <c r="H2826" s="33">
        <v>0.0</v>
      </c>
      <c r="I2826" s="34"/>
      <c r="J2826" s="35"/>
      <c r="K2826" s="36"/>
      <c r="L2826" s="35"/>
      <c r="M2826" s="36"/>
      <c r="N2826" s="35"/>
      <c r="O2826" s="36"/>
      <c r="P2826" s="35"/>
      <c r="Q2826" s="36"/>
      <c r="R2826" s="35"/>
      <c r="S2826" s="36"/>
      <c r="T2826" s="35"/>
      <c r="U2826" s="36"/>
      <c r="V2826" s="35"/>
      <c r="W2826" s="36"/>
      <c r="X2826" s="35"/>
      <c r="Y2826" s="36"/>
      <c r="Z2826" s="37"/>
      <c r="AA2826" s="37"/>
      <c r="AB2826" s="35"/>
      <c r="AC2826" s="38"/>
      <c r="AD2826" s="36"/>
      <c r="AE2826" s="35"/>
      <c r="AF2826" s="36"/>
      <c r="AG2826" s="1"/>
    </row>
    <row r="2827" ht="21.0" customHeight="1">
      <c r="A2827" s="1"/>
      <c r="B2827" s="39" t="s">
        <v>24</v>
      </c>
      <c r="C2827" s="40"/>
      <c r="D2827" s="41"/>
      <c r="E2827" s="42" t="s">
        <v>25</v>
      </c>
      <c r="F2827" s="40"/>
      <c r="G2827" s="41"/>
      <c r="H2827" s="43" t="s">
        <v>26</v>
      </c>
      <c r="J2827" s="44" t="s">
        <v>27</v>
      </c>
      <c r="K2827" s="45" t="s">
        <v>28</v>
      </c>
      <c r="L2827" s="44" t="s">
        <v>27</v>
      </c>
      <c r="M2827" s="45" t="s">
        <v>28</v>
      </c>
      <c r="N2827" s="44" t="s">
        <v>27</v>
      </c>
      <c r="O2827" s="45" t="s">
        <v>28</v>
      </c>
      <c r="P2827" s="44" t="s">
        <v>27</v>
      </c>
      <c r="Q2827" s="45" t="s">
        <v>28</v>
      </c>
      <c r="R2827" s="44" t="s">
        <v>27</v>
      </c>
      <c r="S2827" s="45" t="s">
        <v>28</v>
      </c>
      <c r="T2827" s="44" t="s">
        <v>27</v>
      </c>
      <c r="U2827" s="45" t="s">
        <v>28</v>
      </c>
      <c r="V2827" s="44" t="s">
        <v>27</v>
      </c>
      <c r="W2827" s="45" t="s">
        <v>28</v>
      </c>
      <c r="X2827" s="44" t="s">
        <v>27</v>
      </c>
      <c r="Y2827" s="45" t="s">
        <v>28</v>
      </c>
      <c r="Z2827" s="46"/>
      <c r="AA2827" s="46"/>
      <c r="AB2827" s="121" t="s">
        <v>29</v>
      </c>
      <c r="AC2827" s="122" t="s">
        <v>30</v>
      </c>
      <c r="AD2827" s="123" t="s">
        <v>31</v>
      </c>
      <c r="AE2827" s="121" t="s">
        <v>27</v>
      </c>
      <c r="AF2827" s="123" t="s">
        <v>28</v>
      </c>
      <c r="AG2827" s="1"/>
    </row>
    <row r="2828" ht="21.0" customHeight="1">
      <c r="A2828" s="1"/>
      <c r="B2828" s="48" t="s">
        <v>32</v>
      </c>
      <c r="C2828" s="49"/>
      <c r="D2828" s="50"/>
      <c r="E2828" s="51" t="s">
        <v>33</v>
      </c>
      <c r="F2828" s="52" t="s">
        <v>34</v>
      </c>
      <c r="G2828" s="53"/>
      <c r="H2828" s="148"/>
      <c r="I2828" s="55"/>
      <c r="J2828" s="58"/>
      <c r="K2828" s="59"/>
      <c r="L2828" s="58"/>
      <c r="M2828" s="59"/>
      <c r="N2828" s="58"/>
      <c r="O2828" s="59"/>
      <c r="P2828" s="58"/>
      <c r="Q2828" s="59"/>
      <c r="R2828" s="58"/>
      <c r="S2828" s="59"/>
      <c r="T2828" s="58"/>
      <c r="U2828" s="59"/>
      <c r="V2828" s="58"/>
      <c r="W2828" s="59"/>
      <c r="X2828" s="58"/>
      <c r="Y2828" s="59"/>
      <c r="Z2828" s="60" t="b">
        <v>0</v>
      </c>
      <c r="AA2828" s="125">
        <f t="shared" ref="AA2828:AA2836" si="1129">(J2828*K2828+L2828*M2828+N2828*O2828+P2828*Q2828+R2828*S2828+T2828*U2828+V2828*W2828+X2828*Y2828)*if(Z2828=true,0.453592,1)</f>
        <v>0</v>
      </c>
      <c r="AB2828" s="126">
        <f t="shared" ref="AB2828:AB2836" si="1130">SUM(AE2828*AF2828*0.025,AE2828)</f>
        <v>0</v>
      </c>
      <c r="AC2828" s="127">
        <f t="shared" ref="AC2828:AC2836" si="1131">AB2828*87%</f>
        <v>0</v>
      </c>
      <c r="AD2828" s="128">
        <f t="shared" ref="AD2828:AD2836" si="1132">AB2828*67%</f>
        <v>0</v>
      </c>
      <c r="AE2828" s="126">
        <f t="shared" ref="AE2828:AE2836" si="1133">MAX(J2828,L2828,N2828,P2828,R2828,T2828,V2828,X2828)*if(Z2828=true,0.453592,1)</f>
        <v>0</v>
      </c>
      <c r="AF2828" s="128">
        <f t="shared" ref="AF2828:AF2836" si="1134">MAX(IF(J2828*if(Z2828=true,0.453592,1)=$AE2828,K2828,0),IF(L2828*if(Z2828=true,0.453592,1)=$AE2828,M2828,0),IF(N2828*if(Z2828=true,0.453592,1)=$AE2828,O2828,0),IF(P2828*if(Z2828=true,0.453592,1)=$AE2828,Q2828,0),IF(R2828*if(Z2828=true,0.453592,1)=$AE2828,S2828,0),IF(T2828*if(Z2828=true,0.453592,1)=$AE2828,U2828,0),IF(V2828*if(Z2828=true,0.453592,1)=$AE2828,W2828,0),IF(X2828*if(Z2828=true,0.453592,1)=$AE2828,Y2828,0))</f>
        <v>0</v>
      </c>
      <c r="AG2828" s="1"/>
    </row>
    <row r="2829" ht="21.0" customHeight="1">
      <c r="A2829" s="1"/>
      <c r="B2829" s="48" t="s">
        <v>36</v>
      </c>
      <c r="C2829" s="49"/>
      <c r="D2829" s="65"/>
      <c r="E2829" s="66"/>
      <c r="F2829" s="52" t="s">
        <v>37</v>
      </c>
      <c r="G2829" s="67"/>
      <c r="H2829" s="129"/>
      <c r="I2829" s="69"/>
      <c r="J2829" s="72"/>
      <c r="K2829" s="73"/>
      <c r="L2829" s="72"/>
      <c r="M2829" s="73"/>
      <c r="N2829" s="72"/>
      <c r="O2829" s="73"/>
      <c r="P2829" s="72"/>
      <c r="Q2829" s="73"/>
      <c r="R2829" s="72"/>
      <c r="S2829" s="73"/>
      <c r="T2829" s="72"/>
      <c r="U2829" s="73"/>
      <c r="V2829" s="72"/>
      <c r="W2829" s="73"/>
      <c r="X2829" s="72"/>
      <c r="Y2829" s="73"/>
      <c r="Z2829" s="74" t="b">
        <v>0</v>
      </c>
      <c r="AA2829" s="130">
        <f t="shared" si="1129"/>
        <v>0</v>
      </c>
      <c r="AB2829" s="131">
        <f t="shared" si="1130"/>
        <v>0</v>
      </c>
      <c r="AC2829" s="132">
        <f t="shared" si="1131"/>
        <v>0</v>
      </c>
      <c r="AD2829" s="133">
        <f t="shared" si="1132"/>
        <v>0</v>
      </c>
      <c r="AE2829" s="131">
        <f t="shared" si="1133"/>
        <v>0</v>
      </c>
      <c r="AF2829" s="133">
        <f t="shared" si="1134"/>
        <v>0</v>
      </c>
      <c r="AG2829" s="1"/>
    </row>
    <row r="2830" ht="21.0" customHeight="1">
      <c r="A2830" s="1"/>
      <c r="B2830" s="48" t="s">
        <v>39</v>
      </c>
      <c r="C2830" s="49"/>
      <c r="D2830" s="65"/>
      <c r="E2830" s="41"/>
      <c r="F2830" s="52" t="s">
        <v>40</v>
      </c>
      <c r="G2830" s="79"/>
      <c r="H2830" s="80"/>
      <c r="I2830" s="69"/>
      <c r="J2830" s="72"/>
      <c r="K2830" s="73"/>
      <c r="L2830" s="72"/>
      <c r="M2830" s="73"/>
      <c r="N2830" s="72"/>
      <c r="O2830" s="73"/>
      <c r="P2830" s="72"/>
      <c r="Q2830" s="73"/>
      <c r="R2830" s="72"/>
      <c r="S2830" s="73"/>
      <c r="T2830" s="72"/>
      <c r="U2830" s="73"/>
      <c r="V2830" s="72"/>
      <c r="W2830" s="73"/>
      <c r="X2830" s="72"/>
      <c r="Y2830" s="73"/>
      <c r="Z2830" s="74" t="b">
        <v>0</v>
      </c>
      <c r="AA2830" s="130">
        <f t="shared" si="1129"/>
        <v>0</v>
      </c>
      <c r="AB2830" s="131">
        <f t="shared" si="1130"/>
        <v>0</v>
      </c>
      <c r="AC2830" s="132">
        <f t="shared" si="1131"/>
        <v>0</v>
      </c>
      <c r="AD2830" s="133">
        <f t="shared" si="1132"/>
        <v>0</v>
      </c>
      <c r="AE2830" s="131">
        <f t="shared" si="1133"/>
        <v>0</v>
      </c>
      <c r="AF2830" s="133">
        <f t="shared" si="1134"/>
        <v>0</v>
      </c>
      <c r="AG2830" s="1"/>
    </row>
    <row r="2831" ht="21.0" customHeight="1">
      <c r="A2831" s="1"/>
      <c r="B2831" s="48" t="s">
        <v>41</v>
      </c>
      <c r="C2831" s="81"/>
      <c r="D2831" s="82" t="b">
        <v>0</v>
      </c>
      <c r="E2831" s="51" t="s">
        <v>42</v>
      </c>
      <c r="F2831" s="52" t="s">
        <v>34</v>
      </c>
      <c r="G2831" s="83"/>
      <c r="H2831" s="84"/>
      <c r="I2831" s="85"/>
      <c r="J2831" s="72"/>
      <c r="K2831" s="73"/>
      <c r="L2831" s="72"/>
      <c r="M2831" s="73"/>
      <c r="N2831" s="72"/>
      <c r="O2831" s="73"/>
      <c r="P2831" s="72"/>
      <c r="Q2831" s="73"/>
      <c r="R2831" s="72"/>
      <c r="S2831" s="73"/>
      <c r="T2831" s="72"/>
      <c r="U2831" s="73"/>
      <c r="V2831" s="72"/>
      <c r="W2831" s="73"/>
      <c r="X2831" s="72"/>
      <c r="Y2831" s="73"/>
      <c r="Z2831" s="74" t="b">
        <v>0</v>
      </c>
      <c r="AA2831" s="130">
        <f t="shared" si="1129"/>
        <v>0</v>
      </c>
      <c r="AB2831" s="131">
        <f t="shared" si="1130"/>
        <v>0</v>
      </c>
      <c r="AC2831" s="132">
        <f t="shared" si="1131"/>
        <v>0</v>
      </c>
      <c r="AD2831" s="133">
        <f t="shared" si="1132"/>
        <v>0</v>
      </c>
      <c r="AE2831" s="131">
        <f t="shared" si="1133"/>
        <v>0</v>
      </c>
      <c r="AF2831" s="133">
        <f t="shared" si="1134"/>
        <v>0</v>
      </c>
      <c r="AG2831" s="1"/>
    </row>
    <row r="2832" ht="21.0" customHeight="1">
      <c r="A2832" s="1"/>
      <c r="B2832" s="48" t="s">
        <v>43</v>
      </c>
      <c r="C2832" s="49"/>
      <c r="D2832" s="86" t="b">
        <v>0</v>
      </c>
      <c r="E2832" s="66"/>
      <c r="F2832" s="52" t="s">
        <v>37</v>
      </c>
      <c r="G2832" s="67"/>
      <c r="H2832" s="80"/>
      <c r="I2832" s="69"/>
      <c r="J2832" s="72"/>
      <c r="K2832" s="73"/>
      <c r="L2832" s="72"/>
      <c r="M2832" s="73"/>
      <c r="N2832" s="72"/>
      <c r="O2832" s="73"/>
      <c r="P2832" s="72"/>
      <c r="Q2832" s="73"/>
      <c r="R2832" s="72"/>
      <c r="S2832" s="73"/>
      <c r="T2832" s="72"/>
      <c r="U2832" s="73"/>
      <c r="V2832" s="72"/>
      <c r="W2832" s="73"/>
      <c r="X2832" s="72"/>
      <c r="Y2832" s="73"/>
      <c r="Z2832" s="74" t="b">
        <v>0</v>
      </c>
      <c r="AA2832" s="130">
        <f t="shared" si="1129"/>
        <v>0</v>
      </c>
      <c r="AB2832" s="131">
        <f t="shared" si="1130"/>
        <v>0</v>
      </c>
      <c r="AC2832" s="132">
        <f t="shared" si="1131"/>
        <v>0</v>
      </c>
      <c r="AD2832" s="133">
        <f t="shared" si="1132"/>
        <v>0</v>
      </c>
      <c r="AE2832" s="131">
        <f t="shared" si="1133"/>
        <v>0</v>
      </c>
      <c r="AF2832" s="133">
        <f t="shared" si="1134"/>
        <v>0</v>
      </c>
      <c r="AG2832" s="1"/>
    </row>
    <row r="2833" ht="21.0" customHeight="1">
      <c r="A2833" s="1"/>
      <c r="B2833" s="87" t="str">
        <f t="array" ref="B2833">"📌최근 인바디 결과 : "&amp;text(xlookup(B2825,'현황'!O:O,'현황'!O:O,,-1,-1),"m/d(ddd)")</f>
        <v>#REF!</v>
      </c>
      <c r="C2833" s="88"/>
      <c r="D2833" s="49"/>
      <c r="E2833" s="41"/>
      <c r="F2833" s="52" t="s">
        <v>40</v>
      </c>
      <c r="G2833" s="79"/>
      <c r="H2833" s="80"/>
      <c r="I2833" s="69"/>
      <c r="J2833" s="72"/>
      <c r="K2833" s="73"/>
      <c r="L2833" s="72"/>
      <c r="M2833" s="73"/>
      <c r="N2833" s="72"/>
      <c r="O2833" s="73"/>
      <c r="P2833" s="72"/>
      <c r="Q2833" s="73"/>
      <c r="R2833" s="72"/>
      <c r="S2833" s="73"/>
      <c r="T2833" s="72"/>
      <c r="U2833" s="73"/>
      <c r="V2833" s="72"/>
      <c r="W2833" s="73"/>
      <c r="X2833" s="72"/>
      <c r="Y2833" s="73"/>
      <c r="Z2833" s="74" t="b">
        <v>0</v>
      </c>
      <c r="AA2833" s="130">
        <f t="shared" si="1129"/>
        <v>0</v>
      </c>
      <c r="AB2833" s="131">
        <f t="shared" si="1130"/>
        <v>0</v>
      </c>
      <c r="AC2833" s="132">
        <f t="shared" si="1131"/>
        <v>0</v>
      </c>
      <c r="AD2833" s="133">
        <f t="shared" si="1132"/>
        <v>0</v>
      </c>
      <c r="AE2833" s="131">
        <f t="shared" si="1133"/>
        <v>0</v>
      </c>
      <c r="AF2833" s="133">
        <f t="shared" si="1134"/>
        <v>0</v>
      </c>
      <c r="AG2833" s="1"/>
    </row>
    <row r="2834" ht="21.0" customHeight="1">
      <c r="A2834" s="1"/>
      <c r="B2834" s="89" t="s">
        <v>44</v>
      </c>
      <c r="C2834" s="49"/>
      <c r="D2834" s="90">
        <f t="array" ref="D2834">iferror(vlookup(xlookup(B2825,'현황'!O:O,'현황'!O:O,,-1,-1),'현황'!O:S,2,false),0)</f>
        <v>0</v>
      </c>
      <c r="E2834" s="51" t="s">
        <v>45</v>
      </c>
      <c r="F2834" s="52" t="s">
        <v>34</v>
      </c>
      <c r="G2834" s="83"/>
      <c r="H2834" s="84"/>
      <c r="I2834" s="85"/>
      <c r="J2834" s="72"/>
      <c r="K2834" s="73"/>
      <c r="L2834" s="72"/>
      <c r="M2834" s="73"/>
      <c r="N2834" s="72"/>
      <c r="O2834" s="73"/>
      <c r="P2834" s="72"/>
      <c r="Q2834" s="73"/>
      <c r="R2834" s="72"/>
      <c r="S2834" s="73"/>
      <c r="T2834" s="72"/>
      <c r="U2834" s="73"/>
      <c r="V2834" s="72"/>
      <c r="W2834" s="73"/>
      <c r="X2834" s="72"/>
      <c r="Y2834" s="73"/>
      <c r="Z2834" s="74" t="b">
        <v>0</v>
      </c>
      <c r="AA2834" s="130">
        <f t="shared" si="1129"/>
        <v>0</v>
      </c>
      <c r="AB2834" s="131">
        <f t="shared" si="1130"/>
        <v>0</v>
      </c>
      <c r="AC2834" s="132">
        <f t="shared" si="1131"/>
        <v>0</v>
      </c>
      <c r="AD2834" s="133">
        <f t="shared" si="1132"/>
        <v>0</v>
      </c>
      <c r="AE2834" s="131">
        <f t="shared" si="1133"/>
        <v>0</v>
      </c>
      <c r="AF2834" s="133">
        <f t="shared" si="1134"/>
        <v>0</v>
      </c>
      <c r="AG2834" s="1"/>
    </row>
    <row r="2835" ht="21.0" customHeight="1">
      <c r="A2835" s="1"/>
      <c r="B2835" s="48" t="s">
        <v>46</v>
      </c>
      <c r="C2835" s="49"/>
      <c r="D2835" s="91">
        <f t="array" ref="D2835">iferror(vlookup(xlookup(B2825,'현황'!O:O,'현황'!O:O,,-1,-1),'현황'!O:S,3,false),0)</f>
        <v>0</v>
      </c>
      <c r="E2835" s="66"/>
      <c r="F2835" s="52" t="s">
        <v>37</v>
      </c>
      <c r="G2835" s="67"/>
      <c r="H2835" s="80"/>
      <c r="I2835" s="69"/>
      <c r="J2835" s="72"/>
      <c r="K2835" s="73"/>
      <c r="L2835" s="72"/>
      <c r="M2835" s="73"/>
      <c r="N2835" s="72"/>
      <c r="O2835" s="73"/>
      <c r="P2835" s="72"/>
      <c r="Q2835" s="73"/>
      <c r="R2835" s="72"/>
      <c r="S2835" s="73"/>
      <c r="T2835" s="72"/>
      <c r="U2835" s="73"/>
      <c r="V2835" s="72"/>
      <c r="W2835" s="73"/>
      <c r="X2835" s="72"/>
      <c r="Y2835" s="73"/>
      <c r="Z2835" s="74" t="b">
        <v>0</v>
      </c>
      <c r="AA2835" s="130">
        <f t="shared" si="1129"/>
        <v>0</v>
      </c>
      <c r="AB2835" s="131">
        <f t="shared" si="1130"/>
        <v>0</v>
      </c>
      <c r="AC2835" s="132">
        <f t="shared" si="1131"/>
        <v>0</v>
      </c>
      <c r="AD2835" s="133">
        <f t="shared" si="1132"/>
        <v>0</v>
      </c>
      <c r="AE2835" s="131">
        <f t="shared" si="1133"/>
        <v>0</v>
      </c>
      <c r="AF2835" s="133">
        <f t="shared" si="1134"/>
        <v>0</v>
      </c>
      <c r="AG2835" s="1"/>
    </row>
    <row r="2836" ht="21.0" customHeight="1">
      <c r="A2836" s="1"/>
      <c r="B2836" s="48" t="s">
        <v>47</v>
      </c>
      <c r="C2836" s="49"/>
      <c r="D2836" s="91">
        <f t="array" ref="D2836">iferror(vlookup(xlookup(B2825,'현황'!O:O,'현황'!O:O,,-1,-1),'현황'!O:S,4,false),0)</f>
        <v>0</v>
      </c>
      <c r="E2836" s="41"/>
      <c r="F2836" s="92" t="s">
        <v>40</v>
      </c>
      <c r="G2836" s="79"/>
      <c r="H2836" s="93"/>
      <c r="I2836" s="94"/>
      <c r="J2836" s="95"/>
      <c r="K2836" s="96"/>
      <c r="L2836" s="95"/>
      <c r="M2836" s="96"/>
      <c r="N2836" s="95"/>
      <c r="O2836" s="96"/>
      <c r="P2836" s="95"/>
      <c r="Q2836" s="96"/>
      <c r="R2836" s="95"/>
      <c r="S2836" s="96"/>
      <c r="T2836" s="95"/>
      <c r="U2836" s="96"/>
      <c r="V2836" s="95"/>
      <c r="W2836" s="96"/>
      <c r="X2836" s="95"/>
      <c r="Y2836" s="96"/>
      <c r="Z2836" s="97" t="b">
        <v>0</v>
      </c>
      <c r="AA2836" s="135">
        <f t="shared" si="1129"/>
        <v>0</v>
      </c>
      <c r="AB2836" s="136">
        <f t="shared" si="1130"/>
        <v>0</v>
      </c>
      <c r="AC2836" s="137">
        <f t="shared" si="1131"/>
        <v>0</v>
      </c>
      <c r="AD2836" s="138">
        <f t="shared" si="1132"/>
        <v>0</v>
      </c>
      <c r="AE2836" s="136">
        <f t="shared" si="1133"/>
        <v>0</v>
      </c>
      <c r="AF2836" s="138">
        <f t="shared" si="1134"/>
        <v>0</v>
      </c>
      <c r="AG2836" s="1"/>
    </row>
    <row r="2837" ht="21.0" customHeight="1">
      <c r="A2837" s="1"/>
      <c r="B2837" s="102" t="s">
        <v>48</v>
      </c>
      <c r="C2837" s="103"/>
      <c r="D2837" s="104">
        <f>iferror(D2836/D2834,0)</f>
        <v>0</v>
      </c>
      <c r="E2837" s="102" t="s">
        <v>49</v>
      </c>
      <c r="F2837" s="103"/>
      <c r="G2837" s="105"/>
      <c r="H2837" s="106" t="s">
        <v>50</v>
      </c>
      <c r="I2837" s="107"/>
      <c r="J2837" s="11"/>
      <c r="K2837" s="11"/>
      <c r="L2837" s="11"/>
      <c r="M2837" s="11"/>
      <c r="N2837" s="11"/>
      <c r="O2837" s="11"/>
      <c r="P2837" s="108" t="s">
        <v>51</v>
      </c>
      <c r="Q2837" s="12"/>
      <c r="R2837" s="109"/>
      <c r="S2837" s="11"/>
      <c r="T2837" s="11"/>
      <c r="U2837" s="11"/>
      <c r="V2837" s="11"/>
      <c r="W2837" s="11"/>
      <c r="X2837" s="11"/>
      <c r="Y2837" s="11"/>
      <c r="Z2837" s="12"/>
      <c r="AA2837" s="139">
        <f>SUM(AA2828:AA2836)</f>
        <v>0</v>
      </c>
      <c r="AB2837" s="140" t="s">
        <v>475</v>
      </c>
      <c r="AG2837" s="1"/>
    </row>
    <row r="2838" ht="21.0" customHeight="1">
      <c r="A2838" s="1"/>
      <c r="B2838" s="1"/>
      <c r="C2838" s="1"/>
      <c r="D2838" s="1"/>
      <c r="E2838" s="1"/>
      <c r="F2838" s="1"/>
      <c r="G2838" s="1"/>
      <c r="H2838" s="1"/>
      <c r="I2838" s="1"/>
      <c r="AA2838" s="1"/>
      <c r="AB2838" s="1"/>
      <c r="AC2838" s="3"/>
      <c r="AD2838" s="1"/>
      <c r="AE2838" s="1"/>
      <c r="AF2838" s="1"/>
      <c r="AG2838" s="1"/>
    </row>
    <row r="2839" ht="21.0" customHeight="1">
      <c r="A2839" s="1"/>
      <c r="B2839" s="4" t="s">
        <v>1</v>
      </c>
      <c r="C2839" s="5"/>
      <c r="D2839" s="6" t="s">
        <v>2</v>
      </c>
      <c r="E2839" s="7"/>
      <c r="F2839" s="7"/>
      <c r="G2839" s="5"/>
      <c r="H2839" s="8" t="s">
        <v>3</v>
      </c>
      <c r="I2839" s="8" t="s">
        <v>4</v>
      </c>
      <c r="J2839" s="9" t="s">
        <v>5</v>
      </c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5"/>
      <c r="AA2839" s="117" t="s">
        <v>6</v>
      </c>
      <c r="AB2839" s="11"/>
      <c r="AC2839" s="11"/>
      <c r="AD2839" s="11"/>
      <c r="AE2839" s="11"/>
      <c r="AF2839" s="12"/>
      <c r="AG2839" s="1"/>
    </row>
    <row r="2840" ht="21.0" customHeight="1">
      <c r="A2840" s="1"/>
      <c r="B2840" s="149" t="s">
        <v>138</v>
      </c>
      <c r="C2840" s="14" t="str">
        <f>if(B2840="0/0","",choose(weekday(B2840),"(일)","(월)","(화)","(수)","(목)","(금)","(토)"))</f>
        <v/>
      </c>
      <c r="D2840" s="15" t="s">
        <v>7</v>
      </c>
      <c r="E2840" s="16" t="s">
        <v>8</v>
      </c>
      <c r="F2840" s="17"/>
      <c r="G2840" s="18" t="s">
        <v>9</v>
      </c>
      <c r="H2840" s="150" t="s">
        <v>139</v>
      </c>
      <c r="I2840" s="151"/>
      <c r="J2840" s="21" t="s">
        <v>12</v>
      </c>
      <c r="K2840" s="22"/>
      <c r="L2840" s="21" t="s">
        <v>13</v>
      </c>
      <c r="M2840" s="22"/>
      <c r="N2840" s="21" t="s">
        <v>14</v>
      </c>
      <c r="O2840" s="22"/>
      <c r="P2840" s="21" t="s">
        <v>15</v>
      </c>
      <c r="Q2840" s="22"/>
      <c r="R2840" s="23" t="s">
        <v>16</v>
      </c>
      <c r="S2840" s="22"/>
      <c r="T2840" s="23" t="s">
        <v>17</v>
      </c>
      <c r="U2840" s="22"/>
      <c r="V2840" s="23" t="s">
        <v>18</v>
      </c>
      <c r="W2840" s="22"/>
      <c r="X2840" s="23" t="s">
        <v>19</v>
      </c>
      <c r="Y2840" s="22"/>
      <c r="Z2840" s="24" t="s">
        <v>476</v>
      </c>
      <c r="AA2840" s="118" t="s">
        <v>21</v>
      </c>
      <c r="AB2840" s="119" t="s">
        <v>22</v>
      </c>
      <c r="AC2840" s="7"/>
      <c r="AD2840" s="22"/>
      <c r="AE2840" s="120" t="s">
        <v>23</v>
      </c>
      <c r="AF2840" s="22"/>
      <c r="AG2840" s="1"/>
    </row>
    <row r="2841" ht="21.0" customHeight="1">
      <c r="A2841" s="1"/>
      <c r="B2841" s="27">
        <f>iferror(B2840-'현황'!$C$4+1,0)</f>
        <v>0</v>
      </c>
      <c r="C2841" s="28"/>
      <c r="D2841" s="29">
        <v>0.0</v>
      </c>
      <c r="E2841" s="30">
        <v>0.0</v>
      </c>
      <c r="F2841" s="31"/>
      <c r="G2841" s="32">
        <v>0.0</v>
      </c>
      <c r="H2841" s="33">
        <v>0.0</v>
      </c>
      <c r="I2841" s="34"/>
      <c r="J2841" s="35"/>
      <c r="K2841" s="36"/>
      <c r="L2841" s="35"/>
      <c r="M2841" s="36"/>
      <c r="N2841" s="35"/>
      <c r="O2841" s="36"/>
      <c r="P2841" s="35"/>
      <c r="Q2841" s="36"/>
      <c r="R2841" s="35"/>
      <c r="S2841" s="36"/>
      <c r="T2841" s="35"/>
      <c r="U2841" s="36"/>
      <c r="V2841" s="35"/>
      <c r="W2841" s="36"/>
      <c r="X2841" s="35"/>
      <c r="Y2841" s="36"/>
      <c r="Z2841" s="37"/>
      <c r="AA2841" s="37"/>
      <c r="AB2841" s="35"/>
      <c r="AC2841" s="38"/>
      <c r="AD2841" s="36"/>
      <c r="AE2841" s="35"/>
      <c r="AF2841" s="36"/>
      <c r="AG2841" s="1"/>
    </row>
    <row r="2842" ht="21.0" customHeight="1">
      <c r="A2842" s="1"/>
      <c r="B2842" s="39" t="s">
        <v>24</v>
      </c>
      <c r="C2842" s="40"/>
      <c r="D2842" s="41"/>
      <c r="E2842" s="42" t="s">
        <v>25</v>
      </c>
      <c r="F2842" s="40"/>
      <c r="G2842" s="41"/>
      <c r="H2842" s="43" t="s">
        <v>26</v>
      </c>
      <c r="J2842" s="44" t="s">
        <v>27</v>
      </c>
      <c r="K2842" s="45" t="s">
        <v>28</v>
      </c>
      <c r="L2842" s="44" t="s">
        <v>27</v>
      </c>
      <c r="M2842" s="45" t="s">
        <v>28</v>
      </c>
      <c r="N2842" s="44" t="s">
        <v>27</v>
      </c>
      <c r="O2842" s="45" t="s">
        <v>28</v>
      </c>
      <c r="P2842" s="44" t="s">
        <v>27</v>
      </c>
      <c r="Q2842" s="45" t="s">
        <v>28</v>
      </c>
      <c r="R2842" s="44" t="s">
        <v>27</v>
      </c>
      <c r="S2842" s="45" t="s">
        <v>28</v>
      </c>
      <c r="T2842" s="44" t="s">
        <v>27</v>
      </c>
      <c r="U2842" s="45" t="s">
        <v>28</v>
      </c>
      <c r="V2842" s="44" t="s">
        <v>27</v>
      </c>
      <c r="W2842" s="45" t="s">
        <v>28</v>
      </c>
      <c r="X2842" s="44" t="s">
        <v>27</v>
      </c>
      <c r="Y2842" s="45" t="s">
        <v>28</v>
      </c>
      <c r="Z2842" s="46"/>
      <c r="AA2842" s="46"/>
      <c r="AB2842" s="121" t="s">
        <v>29</v>
      </c>
      <c r="AC2842" s="122" t="s">
        <v>30</v>
      </c>
      <c r="AD2842" s="123" t="s">
        <v>31</v>
      </c>
      <c r="AE2842" s="121" t="s">
        <v>27</v>
      </c>
      <c r="AF2842" s="123" t="s">
        <v>28</v>
      </c>
      <c r="AG2842" s="1"/>
    </row>
    <row r="2843" ht="21.0" customHeight="1">
      <c r="A2843" s="1"/>
      <c r="B2843" s="48" t="s">
        <v>32</v>
      </c>
      <c r="C2843" s="49"/>
      <c r="D2843" s="50"/>
      <c r="E2843" s="51" t="s">
        <v>33</v>
      </c>
      <c r="F2843" s="52" t="s">
        <v>34</v>
      </c>
      <c r="G2843" s="53"/>
      <c r="H2843" s="148"/>
      <c r="I2843" s="55"/>
      <c r="J2843" s="58"/>
      <c r="K2843" s="59"/>
      <c r="L2843" s="58"/>
      <c r="M2843" s="59"/>
      <c r="N2843" s="58"/>
      <c r="O2843" s="59"/>
      <c r="P2843" s="58"/>
      <c r="Q2843" s="59"/>
      <c r="R2843" s="58"/>
      <c r="S2843" s="59"/>
      <c r="T2843" s="58"/>
      <c r="U2843" s="59"/>
      <c r="V2843" s="58"/>
      <c r="W2843" s="59"/>
      <c r="X2843" s="58"/>
      <c r="Y2843" s="59"/>
      <c r="Z2843" s="60" t="b">
        <v>0</v>
      </c>
      <c r="AA2843" s="125">
        <f t="shared" ref="AA2843:AA2851" si="1135">(J2843*K2843+L2843*M2843+N2843*O2843+P2843*Q2843+R2843*S2843+T2843*U2843+V2843*W2843+X2843*Y2843)*if(Z2843=true,0.453592,1)</f>
        <v>0</v>
      </c>
      <c r="AB2843" s="126">
        <f t="shared" ref="AB2843:AB2851" si="1136">SUM(AE2843*AF2843*0.025,AE2843)</f>
        <v>0</v>
      </c>
      <c r="AC2843" s="127">
        <f t="shared" ref="AC2843:AC2851" si="1137">AB2843*87%</f>
        <v>0</v>
      </c>
      <c r="AD2843" s="128">
        <f t="shared" ref="AD2843:AD2851" si="1138">AB2843*67%</f>
        <v>0</v>
      </c>
      <c r="AE2843" s="126">
        <f t="shared" ref="AE2843:AE2851" si="1139">MAX(J2843,L2843,N2843,P2843,R2843,T2843,V2843,X2843)*if(Z2843=true,0.453592,1)</f>
        <v>0</v>
      </c>
      <c r="AF2843" s="128">
        <f t="shared" ref="AF2843:AF2851" si="1140">MAX(IF(J2843*if(Z2843=true,0.453592,1)=$AE2843,K2843,0),IF(L2843*if(Z2843=true,0.453592,1)=$AE2843,M2843,0),IF(N2843*if(Z2843=true,0.453592,1)=$AE2843,O2843,0),IF(P2843*if(Z2843=true,0.453592,1)=$AE2843,Q2843,0),IF(R2843*if(Z2843=true,0.453592,1)=$AE2843,S2843,0),IF(T2843*if(Z2843=true,0.453592,1)=$AE2843,U2843,0),IF(V2843*if(Z2843=true,0.453592,1)=$AE2843,W2843,0),IF(X2843*if(Z2843=true,0.453592,1)=$AE2843,Y2843,0))</f>
        <v>0</v>
      </c>
      <c r="AG2843" s="1"/>
    </row>
    <row r="2844" ht="21.0" customHeight="1">
      <c r="A2844" s="1"/>
      <c r="B2844" s="48" t="s">
        <v>36</v>
      </c>
      <c r="C2844" s="49"/>
      <c r="D2844" s="65"/>
      <c r="E2844" s="66"/>
      <c r="F2844" s="52" t="s">
        <v>37</v>
      </c>
      <c r="G2844" s="67"/>
      <c r="H2844" s="129"/>
      <c r="I2844" s="69"/>
      <c r="J2844" s="72"/>
      <c r="K2844" s="73"/>
      <c r="L2844" s="72"/>
      <c r="M2844" s="73"/>
      <c r="N2844" s="72"/>
      <c r="O2844" s="73"/>
      <c r="P2844" s="72"/>
      <c r="Q2844" s="73"/>
      <c r="R2844" s="72"/>
      <c r="S2844" s="73"/>
      <c r="T2844" s="72"/>
      <c r="U2844" s="73"/>
      <c r="V2844" s="72"/>
      <c r="W2844" s="73"/>
      <c r="X2844" s="72"/>
      <c r="Y2844" s="73"/>
      <c r="Z2844" s="74" t="b">
        <v>0</v>
      </c>
      <c r="AA2844" s="130">
        <f t="shared" si="1135"/>
        <v>0</v>
      </c>
      <c r="AB2844" s="131">
        <f t="shared" si="1136"/>
        <v>0</v>
      </c>
      <c r="AC2844" s="132">
        <f t="shared" si="1137"/>
        <v>0</v>
      </c>
      <c r="AD2844" s="133">
        <f t="shared" si="1138"/>
        <v>0</v>
      </c>
      <c r="AE2844" s="131">
        <f t="shared" si="1139"/>
        <v>0</v>
      </c>
      <c r="AF2844" s="133">
        <f t="shared" si="1140"/>
        <v>0</v>
      </c>
      <c r="AG2844" s="1"/>
    </row>
    <row r="2845" ht="21.0" customHeight="1">
      <c r="A2845" s="1"/>
      <c r="B2845" s="48" t="s">
        <v>39</v>
      </c>
      <c r="C2845" s="49"/>
      <c r="D2845" s="65"/>
      <c r="E2845" s="41"/>
      <c r="F2845" s="52" t="s">
        <v>40</v>
      </c>
      <c r="G2845" s="79"/>
      <c r="H2845" s="80"/>
      <c r="I2845" s="69"/>
      <c r="J2845" s="72"/>
      <c r="K2845" s="73"/>
      <c r="L2845" s="72"/>
      <c r="M2845" s="73"/>
      <c r="N2845" s="72"/>
      <c r="O2845" s="73"/>
      <c r="P2845" s="72"/>
      <c r="Q2845" s="73"/>
      <c r="R2845" s="72"/>
      <c r="S2845" s="73"/>
      <c r="T2845" s="72"/>
      <c r="U2845" s="73"/>
      <c r="V2845" s="72"/>
      <c r="W2845" s="73"/>
      <c r="X2845" s="72"/>
      <c r="Y2845" s="73"/>
      <c r="Z2845" s="74" t="b">
        <v>0</v>
      </c>
      <c r="AA2845" s="130">
        <f t="shared" si="1135"/>
        <v>0</v>
      </c>
      <c r="AB2845" s="131">
        <f t="shared" si="1136"/>
        <v>0</v>
      </c>
      <c r="AC2845" s="132">
        <f t="shared" si="1137"/>
        <v>0</v>
      </c>
      <c r="AD2845" s="133">
        <f t="shared" si="1138"/>
        <v>0</v>
      </c>
      <c r="AE2845" s="131">
        <f t="shared" si="1139"/>
        <v>0</v>
      </c>
      <c r="AF2845" s="133">
        <f t="shared" si="1140"/>
        <v>0</v>
      </c>
      <c r="AG2845" s="1"/>
    </row>
    <row r="2846" ht="21.0" customHeight="1">
      <c r="A2846" s="1"/>
      <c r="B2846" s="48" t="s">
        <v>41</v>
      </c>
      <c r="C2846" s="81"/>
      <c r="D2846" s="82" t="b">
        <v>0</v>
      </c>
      <c r="E2846" s="51" t="s">
        <v>42</v>
      </c>
      <c r="F2846" s="52" t="s">
        <v>34</v>
      </c>
      <c r="G2846" s="83"/>
      <c r="H2846" s="84"/>
      <c r="I2846" s="85"/>
      <c r="J2846" s="72"/>
      <c r="K2846" s="73"/>
      <c r="L2846" s="72"/>
      <c r="M2846" s="73"/>
      <c r="N2846" s="72"/>
      <c r="O2846" s="73"/>
      <c r="P2846" s="72"/>
      <c r="Q2846" s="73"/>
      <c r="R2846" s="72"/>
      <c r="S2846" s="73"/>
      <c r="T2846" s="72"/>
      <c r="U2846" s="73"/>
      <c r="V2846" s="72"/>
      <c r="W2846" s="73"/>
      <c r="X2846" s="72"/>
      <c r="Y2846" s="73"/>
      <c r="Z2846" s="74" t="b">
        <v>0</v>
      </c>
      <c r="AA2846" s="130">
        <f t="shared" si="1135"/>
        <v>0</v>
      </c>
      <c r="AB2846" s="131">
        <f t="shared" si="1136"/>
        <v>0</v>
      </c>
      <c r="AC2846" s="132">
        <f t="shared" si="1137"/>
        <v>0</v>
      </c>
      <c r="AD2846" s="133">
        <f t="shared" si="1138"/>
        <v>0</v>
      </c>
      <c r="AE2846" s="131">
        <f t="shared" si="1139"/>
        <v>0</v>
      </c>
      <c r="AF2846" s="133">
        <f t="shared" si="1140"/>
        <v>0</v>
      </c>
      <c r="AG2846" s="1"/>
    </row>
    <row r="2847" ht="21.0" customHeight="1">
      <c r="A2847" s="1"/>
      <c r="B2847" s="48" t="s">
        <v>43</v>
      </c>
      <c r="C2847" s="49"/>
      <c r="D2847" s="86" t="b">
        <v>0</v>
      </c>
      <c r="E2847" s="66"/>
      <c r="F2847" s="52" t="s">
        <v>37</v>
      </c>
      <c r="G2847" s="67"/>
      <c r="H2847" s="80"/>
      <c r="I2847" s="69"/>
      <c r="J2847" s="72"/>
      <c r="K2847" s="73"/>
      <c r="L2847" s="72"/>
      <c r="M2847" s="73"/>
      <c r="N2847" s="72"/>
      <c r="O2847" s="73"/>
      <c r="P2847" s="72"/>
      <c r="Q2847" s="73"/>
      <c r="R2847" s="72"/>
      <c r="S2847" s="73"/>
      <c r="T2847" s="72"/>
      <c r="U2847" s="73"/>
      <c r="V2847" s="72"/>
      <c r="W2847" s="73"/>
      <c r="X2847" s="72"/>
      <c r="Y2847" s="73"/>
      <c r="Z2847" s="74" t="b">
        <v>0</v>
      </c>
      <c r="AA2847" s="130">
        <f t="shared" si="1135"/>
        <v>0</v>
      </c>
      <c r="AB2847" s="131">
        <f t="shared" si="1136"/>
        <v>0</v>
      </c>
      <c r="AC2847" s="132">
        <f t="shared" si="1137"/>
        <v>0</v>
      </c>
      <c r="AD2847" s="133">
        <f t="shared" si="1138"/>
        <v>0</v>
      </c>
      <c r="AE2847" s="131">
        <f t="shared" si="1139"/>
        <v>0</v>
      </c>
      <c r="AF2847" s="133">
        <f t="shared" si="1140"/>
        <v>0</v>
      </c>
      <c r="AG2847" s="1"/>
    </row>
    <row r="2848" ht="21.0" customHeight="1">
      <c r="A2848" s="1"/>
      <c r="B2848" s="87" t="str">
        <f t="array" ref="B2848">"📌최근 인바디 결과 : "&amp;text(xlookup(B2840,'현황'!O:O,'현황'!O:O,,-1,-1),"m/d(ddd)")</f>
        <v>#REF!</v>
      </c>
      <c r="C2848" s="88"/>
      <c r="D2848" s="49"/>
      <c r="E2848" s="41"/>
      <c r="F2848" s="52" t="s">
        <v>40</v>
      </c>
      <c r="G2848" s="79"/>
      <c r="H2848" s="80"/>
      <c r="I2848" s="69"/>
      <c r="J2848" s="72"/>
      <c r="K2848" s="73"/>
      <c r="L2848" s="72"/>
      <c r="M2848" s="73"/>
      <c r="N2848" s="72"/>
      <c r="O2848" s="73"/>
      <c r="P2848" s="72"/>
      <c r="Q2848" s="73"/>
      <c r="R2848" s="72"/>
      <c r="S2848" s="73"/>
      <c r="T2848" s="72"/>
      <c r="U2848" s="73"/>
      <c r="V2848" s="72"/>
      <c r="W2848" s="73"/>
      <c r="X2848" s="72"/>
      <c r="Y2848" s="73"/>
      <c r="Z2848" s="74" t="b">
        <v>0</v>
      </c>
      <c r="AA2848" s="130">
        <f t="shared" si="1135"/>
        <v>0</v>
      </c>
      <c r="AB2848" s="131">
        <f t="shared" si="1136"/>
        <v>0</v>
      </c>
      <c r="AC2848" s="132">
        <f t="shared" si="1137"/>
        <v>0</v>
      </c>
      <c r="AD2848" s="133">
        <f t="shared" si="1138"/>
        <v>0</v>
      </c>
      <c r="AE2848" s="131">
        <f t="shared" si="1139"/>
        <v>0</v>
      </c>
      <c r="AF2848" s="133">
        <f t="shared" si="1140"/>
        <v>0</v>
      </c>
      <c r="AG2848" s="1"/>
    </row>
    <row r="2849" ht="21.0" customHeight="1">
      <c r="A2849" s="1"/>
      <c r="B2849" s="89" t="s">
        <v>44</v>
      </c>
      <c r="C2849" s="49"/>
      <c r="D2849" s="90">
        <f t="array" ref="D2849">iferror(vlookup(xlookup(B2840,'현황'!O:O,'현황'!O:O,,-1,-1),'현황'!O:S,2,false),0)</f>
        <v>0</v>
      </c>
      <c r="E2849" s="51" t="s">
        <v>45</v>
      </c>
      <c r="F2849" s="52" t="s">
        <v>34</v>
      </c>
      <c r="G2849" s="83"/>
      <c r="H2849" s="84"/>
      <c r="I2849" s="85"/>
      <c r="J2849" s="72"/>
      <c r="K2849" s="73"/>
      <c r="L2849" s="72"/>
      <c r="M2849" s="73"/>
      <c r="N2849" s="72"/>
      <c r="O2849" s="73"/>
      <c r="P2849" s="72"/>
      <c r="Q2849" s="73"/>
      <c r="R2849" s="72"/>
      <c r="S2849" s="73"/>
      <c r="T2849" s="72"/>
      <c r="U2849" s="73"/>
      <c r="V2849" s="72"/>
      <c r="W2849" s="73"/>
      <c r="X2849" s="72"/>
      <c r="Y2849" s="73"/>
      <c r="Z2849" s="74" t="b">
        <v>0</v>
      </c>
      <c r="AA2849" s="130">
        <f t="shared" si="1135"/>
        <v>0</v>
      </c>
      <c r="AB2849" s="131">
        <f t="shared" si="1136"/>
        <v>0</v>
      </c>
      <c r="AC2849" s="132">
        <f t="shared" si="1137"/>
        <v>0</v>
      </c>
      <c r="AD2849" s="133">
        <f t="shared" si="1138"/>
        <v>0</v>
      </c>
      <c r="AE2849" s="131">
        <f t="shared" si="1139"/>
        <v>0</v>
      </c>
      <c r="AF2849" s="133">
        <f t="shared" si="1140"/>
        <v>0</v>
      </c>
      <c r="AG2849" s="1"/>
    </row>
    <row r="2850" ht="21.0" customHeight="1">
      <c r="A2850" s="1"/>
      <c r="B2850" s="48" t="s">
        <v>46</v>
      </c>
      <c r="C2850" s="49"/>
      <c r="D2850" s="91">
        <f t="array" ref="D2850">iferror(vlookup(xlookup(B2840,'현황'!O:O,'현황'!O:O,,-1,-1),'현황'!O:S,3,false),0)</f>
        <v>0</v>
      </c>
      <c r="E2850" s="66"/>
      <c r="F2850" s="52" t="s">
        <v>37</v>
      </c>
      <c r="G2850" s="67"/>
      <c r="H2850" s="80"/>
      <c r="I2850" s="69"/>
      <c r="J2850" s="72"/>
      <c r="K2850" s="73"/>
      <c r="L2850" s="72"/>
      <c r="M2850" s="73"/>
      <c r="N2850" s="72"/>
      <c r="O2850" s="73"/>
      <c r="P2850" s="72"/>
      <c r="Q2850" s="73"/>
      <c r="R2850" s="72"/>
      <c r="S2850" s="73"/>
      <c r="T2850" s="72"/>
      <c r="U2850" s="73"/>
      <c r="V2850" s="72"/>
      <c r="W2850" s="73"/>
      <c r="X2850" s="72"/>
      <c r="Y2850" s="73"/>
      <c r="Z2850" s="74" t="b">
        <v>0</v>
      </c>
      <c r="AA2850" s="130">
        <f t="shared" si="1135"/>
        <v>0</v>
      </c>
      <c r="AB2850" s="131">
        <f t="shared" si="1136"/>
        <v>0</v>
      </c>
      <c r="AC2850" s="132">
        <f t="shared" si="1137"/>
        <v>0</v>
      </c>
      <c r="AD2850" s="133">
        <f t="shared" si="1138"/>
        <v>0</v>
      </c>
      <c r="AE2850" s="131">
        <f t="shared" si="1139"/>
        <v>0</v>
      </c>
      <c r="AF2850" s="133">
        <f t="shared" si="1140"/>
        <v>0</v>
      </c>
      <c r="AG2850" s="1"/>
    </row>
    <row r="2851" ht="21.0" customHeight="1">
      <c r="A2851" s="1"/>
      <c r="B2851" s="48" t="s">
        <v>47</v>
      </c>
      <c r="C2851" s="49"/>
      <c r="D2851" s="91">
        <f t="array" ref="D2851">iferror(vlookup(xlookup(B2840,'현황'!O:O,'현황'!O:O,,-1,-1),'현황'!O:S,4,false),0)</f>
        <v>0</v>
      </c>
      <c r="E2851" s="41"/>
      <c r="F2851" s="92" t="s">
        <v>40</v>
      </c>
      <c r="G2851" s="79"/>
      <c r="H2851" s="93"/>
      <c r="I2851" s="94"/>
      <c r="J2851" s="95"/>
      <c r="K2851" s="96"/>
      <c r="L2851" s="95"/>
      <c r="M2851" s="96"/>
      <c r="N2851" s="95"/>
      <c r="O2851" s="96"/>
      <c r="P2851" s="95"/>
      <c r="Q2851" s="96"/>
      <c r="R2851" s="95"/>
      <c r="S2851" s="96"/>
      <c r="T2851" s="95"/>
      <c r="U2851" s="96"/>
      <c r="V2851" s="95"/>
      <c r="W2851" s="96"/>
      <c r="X2851" s="95"/>
      <c r="Y2851" s="96"/>
      <c r="Z2851" s="97" t="b">
        <v>0</v>
      </c>
      <c r="AA2851" s="135">
        <f t="shared" si="1135"/>
        <v>0</v>
      </c>
      <c r="AB2851" s="136">
        <f t="shared" si="1136"/>
        <v>0</v>
      </c>
      <c r="AC2851" s="137">
        <f t="shared" si="1137"/>
        <v>0</v>
      </c>
      <c r="AD2851" s="138">
        <f t="shared" si="1138"/>
        <v>0</v>
      </c>
      <c r="AE2851" s="136">
        <f t="shared" si="1139"/>
        <v>0</v>
      </c>
      <c r="AF2851" s="138">
        <f t="shared" si="1140"/>
        <v>0</v>
      </c>
      <c r="AG2851" s="1"/>
    </row>
    <row r="2852" ht="21.0" customHeight="1">
      <c r="A2852" s="1"/>
      <c r="B2852" s="102" t="s">
        <v>48</v>
      </c>
      <c r="C2852" s="103"/>
      <c r="D2852" s="104">
        <f>iferror(D2851/D2849,0)</f>
        <v>0</v>
      </c>
      <c r="E2852" s="102" t="s">
        <v>49</v>
      </c>
      <c r="F2852" s="103"/>
      <c r="G2852" s="105"/>
      <c r="H2852" s="106" t="s">
        <v>50</v>
      </c>
      <c r="I2852" s="107"/>
      <c r="J2852" s="11"/>
      <c r="K2852" s="11"/>
      <c r="L2852" s="11"/>
      <c r="M2852" s="11"/>
      <c r="N2852" s="11"/>
      <c r="O2852" s="11"/>
      <c r="P2852" s="108" t="s">
        <v>51</v>
      </c>
      <c r="Q2852" s="12"/>
      <c r="R2852" s="109"/>
      <c r="S2852" s="11"/>
      <c r="T2852" s="11"/>
      <c r="U2852" s="11"/>
      <c r="V2852" s="11"/>
      <c r="W2852" s="11"/>
      <c r="X2852" s="11"/>
      <c r="Y2852" s="11"/>
      <c r="Z2852" s="12"/>
      <c r="AA2852" s="139">
        <f>SUM(AA2843:AA2851)</f>
        <v>0</v>
      </c>
      <c r="AB2852" s="140" t="s">
        <v>477</v>
      </c>
      <c r="AG2852" s="1"/>
    </row>
    <row r="2853" ht="21.0" customHeight="1">
      <c r="A2853" s="1"/>
      <c r="B2853" s="1"/>
      <c r="C2853" s="1"/>
      <c r="D2853" s="1"/>
      <c r="E2853" s="1"/>
      <c r="F2853" s="1"/>
      <c r="G2853" s="1"/>
      <c r="H2853" s="1"/>
      <c r="I2853" s="1"/>
      <c r="AA2853" s="1"/>
      <c r="AB2853" s="1"/>
      <c r="AC2853" s="3"/>
      <c r="AD2853" s="1"/>
      <c r="AE2853" s="1"/>
      <c r="AF2853" s="1"/>
      <c r="AG2853" s="1"/>
    </row>
    <row r="2854" ht="21.0" customHeight="1">
      <c r="A2854" s="1"/>
      <c r="B2854" s="4" t="s">
        <v>1</v>
      </c>
      <c r="C2854" s="5"/>
      <c r="D2854" s="6" t="s">
        <v>2</v>
      </c>
      <c r="E2854" s="7"/>
      <c r="F2854" s="7"/>
      <c r="G2854" s="5"/>
      <c r="H2854" s="8" t="s">
        <v>3</v>
      </c>
      <c r="I2854" s="8" t="s">
        <v>4</v>
      </c>
      <c r="J2854" s="9" t="s">
        <v>5</v>
      </c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5"/>
      <c r="AA2854" s="117" t="s">
        <v>6</v>
      </c>
      <c r="AB2854" s="11"/>
      <c r="AC2854" s="11"/>
      <c r="AD2854" s="11"/>
      <c r="AE2854" s="11"/>
      <c r="AF2854" s="12"/>
      <c r="AG2854" s="1"/>
    </row>
    <row r="2855" ht="21.0" customHeight="1">
      <c r="A2855" s="1"/>
      <c r="B2855" s="149" t="s">
        <v>138</v>
      </c>
      <c r="C2855" s="14" t="str">
        <f>if(B2855="0/0","",choose(weekday(B2855),"(일)","(월)","(화)","(수)","(목)","(금)","(토)"))</f>
        <v/>
      </c>
      <c r="D2855" s="15" t="s">
        <v>7</v>
      </c>
      <c r="E2855" s="16" t="s">
        <v>8</v>
      </c>
      <c r="F2855" s="17"/>
      <c r="G2855" s="18" t="s">
        <v>9</v>
      </c>
      <c r="H2855" s="150" t="s">
        <v>139</v>
      </c>
      <c r="I2855" s="151"/>
      <c r="J2855" s="21" t="s">
        <v>12</v>
      </c>
      <c r="K2855" s="22"/>
      <c r="L2855" s="21" t="s">
        <v>13</v>
      </c>
      <c r="M2855" s="22"/>
      <c r="N2855" s="21" t="s">
        <v>14</v>
      </c>
      <c r="O2855" s="22"/>
      <c r="P2855" s="21" t="s">
        <v>15</v>
      </c>
      <c r="Q2855" s="22"/>
      <c r="R2855" s="23" t="s">
        <v>16</v>
      </c>
      <c r="S2855" s="22"/>
      <c r="T2855" s="23" t="s">
        <v>17</v>
      </c>
      <c r="U2855" s="22"/>
      <c r="V2855" s="23" t="s">
        <v>18</v>
      </c>
      <c r="W2855" s="22"/>
      <c r="X2855" s="23" t="s">
        <v>19</v>
      </c>
      <c r="Y2855" s="22"/>
      <c r="Z2855" s="24" t="s">
        <v>478</v>
      </c>
      <c r="AA2855" s="118" t="s">
        <v>21</v>
      </c>
      <c r="AB2855" s="119" t="s">
        <v>22</v>
      </c>
      <c r="AC2855" s="7"/>
      <c r="AD2855" s="22"/>
      <c r="AE2855" s="120" t="s">
        <v>23</v>
      </c>
      <c r="AF2855" s="22"/>
      <c r="AG2855" s="1"/>
    </row>
    <row r="2856" ht="21.0" customHeight="1">
      <c r="A2856" s="1"/>
      <c r="B2856" s="27">
        <f>iferror(B2855-'현황'!$C$4+1,0)</f>
        <v>0</v>
      </c>
      <c r="C2856" s="28"/>
      <c r="D2856" s="29">
        <v>0.0</v>
      </c>
      <c r="E2856" s="30">
        <v>0.0</v>
      </c>
      <c r="F2856" s="31"/>
      <c r="G2856" s="32">
        <v>0.0</v>
      </c>
      <c r="H2856" s="33">
        <v>0.0</v>
      </c>
      <c r="I2856" s="34"/>
      <c r="J2856" s="35"/>
      <c r="K2856" s="36"/>
      <c r="L2856" s="35"/>
      <c r="M2856" s="36"/>
      <c r="N2856" s="35"/>
      <c r="O2856" s="36"/>
      <c r="P2856" s="35"/>
      <c r="Q2856" s="36"/>
      <c r="R2856" s="35"/>
      <c r="S2856" s="36"/>
      <c r="T2856" s="35"/>
      <c r="U2856" s="36"/>
      <c r="V2856" s="35"/>
      <c r="W2856" s="36"/>
      <c r="X2856" s="35"/>
      <c r="Y2856" s="36"/>
      <c r="Z2856" s="37"/>
      <c r="AA2856" s="37"/>
      <c r="AB2856" s="35"/>
      <c r="AC2856" s="38"/>
      <c r="AD2856" s="36"/>
      <c r="AE2856" s="35"/>
      <c r="AF2856" s="36"/>
      <c r="AG2856" s="1"/>
    </row>
    <row r="2857" ht="21.0" customHeight="1">
      <c r="A2857" s="1"/>
      <c r="B2857" s="39" t="s">
        <v>24</v>
      </c>
      <c r="C2857" s="40"/>
      <c r="D2857" s="41"/>
      <c r="E2857" s="42" t="s">
        <v>25</v>
      </c>
      <c r="F2857" s="40"/>
      <c r="G2857" s="41"/>
      <c r="H2857" s="43" t="s">
        <v>26</v>
      </c>
      <c r="J2857" s="44" t="s">
        <v>27</v>
      </c>
      <c r="K2857" s="45" t="s">
        <v>28</v>
      </c>
      <c r="L2857" s="44" t="s">
        <v>27</v>
      </c>
      <c r="M2857" s="45" t="s">
        <v>28</v>
      </c>
      <c r="N2857" s="44" t="s">
        <v>27</v>
      </c>
      <c r="O2857" s="45" t="s">
        <v>28</v>
      </c>
      <c r="P2857" s="44" t="s">
        <v>27</v>
      </c>
      <c r="Q2857" s="45" t="s">
        <v>28</v>
      </c>
      <c r="R2857" s="44" t="s">
        <v>27</v>
      </c>
      <c r="S2857" s="45" t="s">
        <v>28</v>
      </c>
      <c r="T2857" s="44" t="s">
        <v>27</v>
      </c>
      <c r="U2857" s="45" t="s">
        <v>28</v>
      </c>
      <c r="V2857" s="44" t="s">
        <v>27</v>
      </c>
      <c r="W2857" s="45" t="s">
        <v>28</v>
      </c>
      <c r="X2857" s="44" t="s">
        <v>27</v>
      </c>
      <c r="Y2857" s="45" t="s">
        <v>28</v>
      </c>
      <c r="Z2857" s="46"/>
      <c r="AA2857" s="46"/>
      <c r="AB2857" s="121" t="s">
        <v>29</v>
      </c>
      <c r="AC2857" s="122" t="s">
        <v>30</v>
      </c>
      <c r="AD2857" s="123" t="s">
        <v>31</v>
      </c>
      <c r="AE2857" s="121" t="s">
        <v>27</v>
      </c>
      <c r="AF2857" s="123" t="s">
        <v>28</v>
      </c>
      <c r="AG2857" s="1"/>
    </row>
    <row r="2858" ht="21.0" customHeight="1">
      <c r="A2858" s="1"/>
      <c r="B2858" s="48" t="s">
        <v>32</v>
      </c>
      <c r="C2858" s="49"/>
      <c r="D2858" s="50"/>
      <c r="E2858" s="51" t="s">
        <v>33</v>
      </c>
      <c r="F2858" s="52" t="s">
        <v>34</v>
      </c>
      <c r="G2858" s="53"/>
      <c r="H2858" s="148"/>
      <c r="I2858" s="55"/>
      <c r="J2858" s="58"/>
      <c r="K2858" s="59"/>
      <c r="L2858" s="58"/>
      <c r="M2858" s="59"/>
      <c r="N2858" s="58"/>
      <c r="O2858" s="59"/>
      <c r="P2858" s="58"/>
      <c r="Q2858" s="59"/>
      <c r="R2858" s="58"/>
      <c r="S2858" s="59"/>
      <c r="T2858" s="58"/>
      <c r="U2858" s="59"/>
      <c r="V2858" s="58"/>
      <c r="W2858" s="59"/>
      <c r="X2858" s="58"/>
      <c r="Y2858" s="59"/>
      <c r="Z2858" s="60" t="b">
        <v>0</v>
      </c>
      <c r="AA2858" s="125">
        <f t="shared" ref="AA2858:AA2866" si="1141">(J2858*K2858+L2858*M2858+N2858*O2858+P2858*Q2858+R2858*S2858+T2858*U2858+V2858*W2858+X2858*Y2858)*if(Z2858=true,0.453592,1)</f>
        <v>0</v>
      </c>
      <c r="AB2858" s="126">
        <f t="shared" ref="AB2858:AB2866" si="1142">SUM(AE2858*AF2858*0.025,AE2858)</f>
        <v>0</v>
      </c>
      <c r="AC2858" s="127">
        <f t="shared" ref="AC2858:AC2866" si="1143">AB2858*87%</f>
        <v>0</v>
      </c>
      <c r="AD2858" s="128">
        <f t="shared" ref="AD2858:AD2866" si="1144">AB2858*67%</f>
        <v>0</v>
      </c>
      <c r="AE2858" s="126">
        <f t="shared" ref="AE2858:AE2866" si="1145">MAX(J2858,L2858,N2858,P2858,R2858,T2858,V2858,X2858)*if(Z2858=true,0.453592,1)</f>
        <v>0</v>
      </c>
      <c r="AF2858" s="128">
        <f t="shared" ref="AF2858:AF2866" si="1146">MAX(IF(J2858*if(Z2858=true,0.453592,1)=$AE2858,K2858,0),IF(L2858*if(Z2858=true,0.453592,1)=$AE2858,M2858,0),IF(N2858*if(Z2858=true,0.453592,1)=$AE2858,O2858,0),IF(P2858*if(Z2858=true,0.453592,1)=$AE2858,Q2858,0),IF(R2858*if(Z2858=true,0.453592,1)=$AE2858,S2858,0),IF(T2858*if(Z2858=true,0.453592,1)=$AE2858,U2858,0),IF(V2858*if(Z2858=true,0.453592,1)=$AE2858,W2858,0),IF(X2858*if(Z2858=true,0.453592,1)=$AE2858,Y2858,0))</f>
        <v>0</v>
      </c>
      <c r="AG2858" s="1"/>
    </row>
    <row r="2859" ht="21.0" customHeight="1">
      <c r="A2859" s="1"/>
      <c r="B2859" s="48" t="s">
        <v>36</v>
      </c>
      <c r="C2859" s="49"/>
      <c r="D2859" s="65"/>
      <c r="E2859" s="66"/>
      <c r="F2859" s="52" t="s">
        <v>37</v>
      </c>
      <c r="G2859" s="67"/>
      <c r="H2859" s="129"/>
      <c r="I2859" s="69"/>
      <c r="J2859" s="72"/>
      <c r="K2859" s="73"/>
      <c r="L2859" s="72"/>
      <c r="M2859" s="73"/>
      <c r="N2859" s="72"/>
      <c r="O2859" s="73"/>
      <c r="P2859" s="72"/>
      <c r="Q2859" s="73"/>
      <c r="R2859" s="72"/>
      <c r="S2859" s="73"/>
      <c r="T2859" s="72"/>
      <c r="U2859" s="73"/>
      <c r="V2859" s="72"/>
      <c r="W2859" s="73"/>
      <c r="X2859" s="72"/>
      <c r="Y2859" s="73"/>
      <c r="Z2859" s="74" t="b">
        <v>0</v>
      </c>
      <c r="AA2859" s="130">
        <f t="shared" si="1141"/>
        <v>0</v>
      </c>
      <c r="AB2859" s="131">
        <f t="shared" si="1142"/>
        <v>0</v>
      </c>
      <c r="AC2859" s="132">
        <f t="shared" si="1143"/>
        <v>0</v>
      </c>
      <c r="AD2859" s="133">
        <f t="shared" si="1144"/>
        <v>0</v>
      </c>
      <c r="AE2859" s="131">
        <f t="shared" si="1145"/>
        <v>0</v>
      </c>
      <c r="AF2859" s="133">
        <f t="shared" si="1146"/>
        <v>0</v>
      </c>
      <c r="AG2859" s="1"/>
    </row>
    <row r="2860" ht="21.0" customHeight="1">
      <c r="A2860" s="1"/>
      <c r="B2860" s="48" t="s">
        <v>39</v>
      </c>
      <c r="C2860" s="49"/>
      <c r="D2860" s="65"/>
      <c r="E2860" s="41"/>
      <c r="F2860" s="52" t="s">
        <v>40</v>
      </c>
      <c r="G2860" s="79"/>
      <c r="H2860" s="80"/>
      <c r="I2860" s="69"/>
      <c r="J2860" s="72"/>
      <c r="K2860" s="73"/>
      <c r="L2860" s="72"/>
      <c r="M2860" s="73"/>
      <c r="N2860" s="72"/>
      <c r="O2860" s="73"/>
      <c r="P2860" s="72"/>
      <c r="Q2860" s="73"/>
      <c r="R2860" s="72"/>
      <c r="S2860" s="73"/>
      <c r="T2860" s="72"/>
      <c r="U2860" s="73"/>
      <c r="V2860" s="72"/>
      <c r="W2860" s="73"/>
      <c r="X2860" s="72"/>
      <c r="Y2860" s="73"/>
      <c r="Z2860" s="74" t="b">
        <v>0</v>
      </c>
      <c r="AA2860" s="130">
        <f t="shared" si="1141"/>
        <v>0</v>
      </c>
      <c r="AB2860" s="131">
        <f t="shared" si="1142"/>
        <v>0</v>
      </c>
      <c r="AC2860" s="132">
        <f t="shared" si="1143"/>
        <v>0</v>
      </c>
      <c r="AD2860" s="133">
        <f t="shared" si="1144"/>
        <v>0</v>
      </c>
      <c r="AE2860" s="131">
        <f t="shared" si="1145"/>
        <v>0</v>
      </c>
      <c r="AF2860" s="133">
        <f t="shared" si="1146"/>
        <v>0</v>
      </c>
      <c r="AG2860" s="1"/>
    </row>
    <row r="2861" ht="21.0" customHeight="1">
      <c r="A2861" s="1"/>
      <c r="B2861" s="48" t="s">
        <v>41</v>
      </c>
      <c r="C2861" s="81"/>
      <c r="D2861" s="82" t="b">
        <v>0</v>
      </c>
      <c r="E2861" s="51" t="s">
        <v>42</v>
      </c>
      <c r="F2861" s="52" t="s">
        <v>34</v>
      </c>
      <c r="G2861" s="83"/>
      <c r="H2861" s="84"/>
      <c r="I2861" s="85"/>
      <c r="J2861" s="72"/>
      <c r="K2861" s="73"/>
      <c r="L2861" s="72"/>
      <c r="M2861" s="73"/>
      <c r="N2861" s="72"/>
      <c r="O2861" s="73"/>
      <c r="P2861" s="72"/>
      <c r="Q2861" s="73"/>
      <c r="R2861" s="72"/>
      <c r="S2861" s="73"/>
      <c r="T2861" s="72"/>
      <c r="U2861" s="73"/>
      <c r="V2861" s="72"/>
      <c r="W2861" s="73"/>
      <c r="X2861" s="72"/>
      <c r="Y2861" s="73"/>
      <c r="Z2861" s="74" t="b">
        <v>0</v>
      </c>
      <c r="AA2861" s="130">
        <f t="shared" si="1141"/>
        <v>0</v>
      </c>
      <c r="AB2861" s="131">
        <f t="shared" si="1142"/>
        <v>0</v>
      </c>
      <c r="AC2861" s="132">
        <f t="shared" si="1143"/>
        <v>0</v>
      </c>
      <c r="AD2861" s="133">
        <f t="shared" si="1144"/>
        <v>0</v>
      </c>
      <c r="AE2861" s="131">
        <f t="shared" si="1145"/>
        <v>0</v>
      </c>
      <c r="AF2861" s="133">
        <f t="shared" si="1146"/>
        <v>0</v>
      </c>
      <c r="AG2861" s="1"/>
    </row>
    <row r="2862" ht="21.0" customHeight="1">
      <c r="A2862" s="1"/>
      <c r="B2862" s="48" t="s">
        <v>43</v>
      </c>
      <c r="C2862" s="49"/>
      <c r="D2862" s="86" t="b">
        <v>0</v>
      </c>
      <c r="E2862" s="66"/>
      <c r="F2862" s="52" t="s">
        <v>37</v>
      </c>
      <c r="G2862" s="67"/>
      <c r="H2862" s="80"/>
      <c r="I2862" s="69"/>
      <c r="J2862" s="72"/>
      <c r="K2862" s="73"/>
      <c r="L2862" s="72"/>
      <c r="M2862" s="73"/>
      <c r="N2862" s="72"/>
      <c r="O2862" s="73"/>
      <c r="P2862" s="72"/>
      <c r="Q2862" s="73"/>
      <c r="R2862" s="72"/>
      <c r="S2862" s="73"/>
      <c r="T2862" s="72"/>
      <c r="U2862" s="73"/>
      <c r="V2862" s="72"/>
      <c r="W2862" s="73"/>
      <c r="X2862" s="72"/>
      <c r="Y2862" s="73"/>
      <c r="Z2862" s="74" t="b">
        <v>0</v>
      </c>
      <c r="AA2862" s="130">
        <f t="shared" si="1141"/>
        <v>0</v>
      </c>
      <c r="AB2862" s="131">
        <f t="shared" si="1142"/>
        <v>0</v>
      </c>
      <c r="AC2862" s="132">
        <f t="shared" si="1143"/>
        <v>0</v>
      </c>
      <c r="AD2862" s="133">
        <f t="shared" si="1144"/>
        <v>0</v>
      </c>
      <c r="AE2862" s="131">
        <f t="shared" si="1145"/>
        <v>0</v>
      </c>
      <c r="AF2862" s="133">
        <f t="shared" si="1146"/>
        <v>0</v>
      </c>
      <c r="AG2862" s="1"/>
    </row>
    <row r="2863" ht="21.0" customHeight="1">
      <c r="A2863" s="1"/>
      <c r="B2863" s="87" t="str">
        <f t="array" ref="B2863">"📌최근 인바디 결과 : "&amp;text(xlookup(B2855,'현황'!O:O,'현황'!O:O,,-1,-1),"m/d(ddd)")</f>
        <v>#REF!</v>
      </c>
      <c r="C2863" s="88"/>
      <c r="D2863" s="49"/>
      <c r="E2863" s="41"/>
      <c r="F2863" s="52" t="s">
        <v>40</v>
      </c>
      <c r="G2863" s="79"/>
      <c r="H2863" s="80"/>
      <c r="I2863" s="69"/>
      <c r="J2863" s="72"/>
      <c r="K2863" s="73"/>
      <c r="L2863" s="72"/>
      <c r="M2863" s="73"/>
      <c r="N2863" s="72"/>
      <c r="O2863" s="73"/>
      <c r="P2863" s="72"/>
      <c r="Q2863" s="73"/>
      <c r="R2863" s="72"/>
      <c r="S2863" s="73"/>
      <c r="T2863" s="72"/>
      <c r="U2863" s="73"/>
      <c r="V2863" s="72"/>
      <c r="W2863" s="73"/>
      <c r="X2863" s="72"/>
      <c r="Y2863" s="73"/>
      <c r="Z2863" s="74" t="b">
        <v>0</v>
      </c>
      <c r="AA2863" s="130">
        <f t="shared" si="1141"/>
        <v>0</v>
      </c>
      <c r="AB2863" s="131">
        <f t="shared" si="1142"/>
        <v>0</v>
      </c>
      <c r="AC2863" s="132">
        <f t="shared" si="1143"/>
        <v>0</v>
      </c>
      <c r="AD2863" s="133">
        <f t="shared" si="1144"/>
        <v>0</v>
      </c>
      <c r="AE2863" s="131">
        <f t="shared" si="1145"/>
        <v>0</v>
      </c>
      <c r="AF2863" s="133">
        <f t="shared" si="1146"/>
        <v>0</v>
      </c>
      <c r="AG2863" s="1"/>
    </row>
    <row r="2864" ht="21.0" customHeight="1">
      <c r="A2864" s="1"/>
      <c r="B2864" s="89" t="s">
        <v>44</v>
      </c>
      <c r="C2864" s="49"/>
      <c r="D2864" s="90">
        <f t="array" ref="D2864">iferror(vlookup(xlookup(B2855,'현황'!O:O,'현황'!O:O,,-1,-1),'현황'!O:S,2,false),0)</f>
        <v>0</v>
      </c>
      <c r="E2864" s="51" t="s">
        <v>45</v>
      </c>
      <c r="F2864" s="52" t="s">
        <v>34</v>
      </c>
      <c r="G2864" s="83"/>
      <c r="H2864" s="84"/>
      <c r="I2864" s="85"/>
      <c r="J2864" s="72"/>
      <c r="K2864" s="73"/>
      <c r="L2864" s="72"/>
      <c r="M2864" s="73"/>
      <c r="N2864" s="72"/>
      <c r="O2864" s="73"/>
      <c r="P2864" s="72"/>
      <c r="Q2864" s="73"/>
      <c r="R2864" s="72"/>
      <c r="S2864" s="73"/>
      <c r="T2864" s="72"/>
      <c r="U2864" s="73"/>
      <c r="V2864" s="72"/>
      <c r="W2864" s="73"/>
      <c r="X2864" s="72"/>
      <c r="Y2864" s="73"/>
      <c r="Z2864" s="74" t="b">
        <v>0</v>
      </c>
      <c r="AA2864" s="130">
        <f t="shared" si="1141"/>
        <v>0</v>
      </c>
      <c r="AB2864" s="131">
        <f t="shared" si="1142"/>
        <v>0</v>
      </c>
      <c r="AC2864" s="132">
        <f t="shared" si="1143"/>
        <v>0</v>
      </c>
      <c r="AD2864" s="133">
        <f t="shared" si="1144"/>
        <v>0</v>
      </c>
      <c r="AE2864" s="131">
        <f t="shared" si="1145"/>
        <v>0</v>
      </c>
      <c r="AF2864" s="133">
        <f t="shared" si="1146"/>
        <v>0</v>
      </c>
      <c r="AG2864" s="1"/>
    </row>
    <row r="2865" ht="21.0" customHeight="1">
      <c r="A2865" s="1"/>
      <c r="B2865" s="48" t="s">
        <v>46</v>
      </c>
      <c r="C2865" s="49"/>
      <c r="D2865" s="91">
        <f t="array" ref="D2865">iferror(vlookup(xlookup(B2855,'현황'!O:O,'현황'!O:O,,-1,-1),'현황'!O:S,3,false),0)</f>
        <v>0</v>
      </c>
      <c r="E2865" s="66"/>
      <c r="F2865" s="52" t="s">
        <v>37</v>
      </c>
      <c r="G2865" s="67"/>
      <c r="H2865" s="80"/>
      <c r="I2865" s="69"/>
      <c r="J2865" s="72"/>
      <c r="K2865" s="73"/>
      <c r="L2865" s="72"/>
      <c r="M2865" s="73"/>
      <c r="N2865" s="72"/>
      <c r="O2865" s="73"/>
      <c r="P2865" s="72"/>
      <c r="Q2865" s="73"/>
      <c r="R2865" s="72"/>
      <c r="S2865" s="73"/>
      <c r="T2865" s="72"/>
      <c r="U2865" s="73"/>
      <c r="V2865" s="72"/>
      <c r="W2865" s="73"/>
      <c r="X2865" s="72"/>
      <c r="Y2865" s="73"/>
      <c r="Z2865" s="74" t="b">
        <v>0</v>
      </c>
      <c r="AA2865" s="130">
        <f t="shared" si="1141"/>
        <v>0</v>
      </c>
      <c r="AB2865" s="131">
        <f t="shared" si="1142"/>
        <v>0</v>
      </c>
      <c r="AC2865" s="132">
        <f t="shared" si="1143"/>
        <v>0</v>
      </c>
      <c r="AD2865" s="133">
        <f t="shared" si="1144"/>
        <v>0</v>
      </c>
      <c r="AE2865" s="131">
        <f t="shared" si="1145"/>
        <v>0</v>
      </c>
      <c r="AF2865" s="133">
        <f t="shared" si="1146"/>
        <v>0</v>
      </c>
      <c r="AG2865" s="1"/>
    </row>
    <row r="2866" ht="21.0" customHeight="1">
      <c r="A2866" s="1"/>
      <c r="B2866" s="48" t="s">
        <v>47</v>
      </c>
      <c r="C2866" s="49"/>
      <c r="D2866" s="91">
        <f t="array" ref="D2866">iferror(vlookup(xlookup(B2855,'현황'!O:O,'현황'!O:O,,-1,-1),'현황'!O:S,4,false),0)</f>
        <v>0</v>
      </c>
      <c r="E2866" s="41"/>
      <c r="F2866" s="92" t="s">
        <v>40</v>
      </c>
      <c r="G2866" s="79"/>
      <c r="H2866" s="93"/>
      <c r="I2866" s="94"/>
      <c r="J2866" s="95"/>
      <c r="K2866" s="96"/>
      <c r="L2866" s="95"/>
      <c r="M2866" s="96"/>
      <c r="N2866" s="95"/>
      <c r="O2866" s="96"/>
      <c r="P2866" s="95"/>
      <c r="Q2866" s="96"/>
      <c r="R2866" s="95"/>
      <c r="S2866" s="96"/>
      <c r="T2866" s="95"/>
      <c r="U2866" s="96"/>
      <c r="V2866" s="95"/>
      <c r="W2866" s="96"/>
      <c r="X2866" s="95"/>
      <c r="Y2866" s="96"/>
      <c r="Z2866" s="97" t="b">
        <v>0</v>
      </c>
      <c r="AA2866" s="135">
        <f t="shared" si="1141"/>
        <v>0</v>
      </c>
      <c r="AB2866" s="136">
        <f t="shared" si="1142"/>
        <v>0</v>
      </c>
      <c r="AC2866" s="137">
        <f t="shared" si="1143"/>
        <v>0</v>
      </c>
      <c r="AD2866" s="138">
        <f t="shared" si="1144"/>
        <v>0</v>
      </c>
      <c r="AE2866" s="136">
        <f t="shared" si="1145"/>
        <v>0</v>
      </c>
      <c r="AF2866" s="138">
        <f t="shared" si="1146"/>
        <v>0</v>
      </c>
      <c r="AG2866" s="1"/>
    </row>
    <row r="2867" ht="21.0" customHeight="1">
      <c r="A2867" s="1"/>
      <c r="B2867" s="102" t="s">
        <v>48</v>
      </c>
      <c r="C2867" s="103"/>
      <c r="D2867" s="104">
        <f>iferror(D2866/D2864,0)</f>
        <v>0</v>
      </c>
      <c r="E2867" s="102" t="s">
        <v>49</v>
      </c>
      <c r="F2867" s="103"/>
      <c r="G2867" s="105"/>
      <c r="H2867" s="106" t="s">
        <v>50</v>
      </c>
      <c r="I2867" s="107"/>
      <c r="J2867" s="11"/>
      <c r="K2867" s="11"/>
      <c r="L2867" s="11"/>
      <c r="M2867" s="11"/>
      <c r="N2867" s="11"/>
      <c r="O2867" s="11"/>
      <c r="P2867" s="108" t="s">
        <v>51</v>
      </c>
      <c r="Q2867" s="12"/>
      <c r="R2867" s="109"/>
      <c r="S2867" s="11"/>
      <c r="T2867" s="11"/>
      <c r="U2867" s="11"/>
      <c r="V2867" s="11"/>
      <c r="W2867" s="11"/>
      <c r="X2867" s="11"/>
      <c r="Y2867" s="11"/>
      <c r="Z2867" s="12"/>
      <c r="AA2867" s="139">
        <f>SUM(AA2858:AA2866)</f>
        <v>0</v>
      </c>
      <c r="AB2867" s="140" t="s">
        <v>479</v>
      </c>
      <c r="AG2867" s="1"/>
    </row>
    <row r="2868" ht="21.0" customHeight="1">
      <c r="A2868" s="1"/>
      <c r="B2868" s="1"/>
      <c r="C2868" s="1"/>
      <c r="D2868" s="1"/>
      <c r="E2868" s="1"/>
      <c r="F2868" s="1"/>
      <c r="G2868" s="1"/>
      <c r="H2868" s="1"/>
      <c r="I2868" s="1"/>
      <c r="AA2868" s="1"/>
      <c r="AB2868" s="1"/>
      <c r="AC2868" s="3"/>
      <c r="AD2868" s="1"/>
      <c r="AE2868" s="1"/>
      <c r="AF2868" s="1"/>
      <c r="AG2868" s="1"/>
    </row>
    <row r="2869" ht="21.0" customHeight="1">
      <c r="A2869" s="1"/>
      <c r="B2869" s="4" t="s">
        <v>1</v>
      </c>
      <c r="C2869" s="5"/>
      <c r="D2869" s="6" t="s">
        <v>2</v>
      </c>
      <c r="E2869" s="7"/>
      <c r="F2869" s="7"/>
      <c r="G2869" s="5"/>
      <c r="H2869" s="8" t="s">
        <v>3</v>
      </c>
      <c r="I2869" s="8" t="s">
        <v>4</v>
      </c>
      <c r="J2869" s="9" t="s">
        <v>5</v>
      </c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5"/>
      <c r="AA2869" s="117" t="s">
        <v>6</v>
      </c>
      <c r="AB2869" s="11"/>
      <c r="AC2869" s="11"/>
      <c r="AD2869" s="11"/>
      <c r="AE2869" s="11"/>
      <c r="AF2869" s="12"/>
      <c r="AG2869" s="1"/>
    </row>
    <row r="2870" ht="21.0" customHeight="1">
      <c r="A2870" s="1"/>
      <c r="B2870" s="149" t="s">
        <v>138</v>
      </c>
      <c r="C2870" s="14" t="str">
        <f>if(B2870="0/0","",choose(weekday(B2870),"(일)","(월)","(화)","(수)","(목)","(금)","(토)"))</f>
        <v/>
      </c>
      <c r="D2870" s="15" t="s">
        <v>7</v>
      </c>
      <c r="E2870" s="16" t="s">
        <v>8</v>
      </c>
      <c r="F2870" s="17"/>
      <c r="G2870" s="18" t="s">
        <v>9</v>
      </c>
      <c r="H2870" s="150" t="s">
        <v>139</v>
      </c>
      <c r="I2870" s="151"/>
      <c r="J2870" s="21" t="s">
        <v>12</v>
      </c>
      <c r="K2870" s="22"/>
      <c r="L2870" s="21" t="s">
        <v>13</v>
      </c>
      <c r="M2870" s="22"/>
      <c r="N2870" s="21" t="s">
        <v>14</v>
      </c>
      <c r="O2870" s="22"/>
      <c r="P2870" s="21" t="s">
        <v>15</v>
      </c>
      <c r="Q2870" s="22"/>
      <c r="R2870" s="23" t="s">
        <v>16</v>
      </c>
      <c r="S2870" s="22"/>
      <c r="T2870" s="23" t="s">
        <v>17</v>
      </c>
      <c r="U2870" s="22"/>
      <c r="V2870" s="23" t="s">
        <v>18</v>
      </c>
      <c r="W2870" s="22"/>
      <c r="X2870" s="23" t="s">
        <v>19</v>
      </c>
      <c r="Y2870" s="22"/>
      <c r="Z2870" s="24" t="s">
        <v>480</v>
      </c>
      <c r="AA2870" s="118" t="s">
        <v>21</v>
      </c>
      <c r="AB2870" s="119" t="s">
        <v>22</v>
      </c>
      <c r="AC2870" s="7"/>
      <c r="AD2870" s="22"/>
      <c r="AE2870" s="120" t="s">
        <v>23</v>
      </c>
      <c r="AF2870" s="22"/>
      <c r="AG2870" s="1"/>
    </row>
    <row r="2871" ht="21.0" customHeight="1">
      <c r="A2871" s="1"/>
      <c r="B2871" s="27">
        <f>iferror(B2870-'현황'!$C$4+1,0)</f>
        <v>0</v>
      </c>
      <c r="C2871" s="28"/>
      <c r="D2871" s="29">
        <v>0.0</v>
      </c>
      <c r="E2871" s="30">
        <v>0.0</v>
      </c>
      <c r="F2871" s="31"/>
      <c r="G2871" s="32">
        <v>0.0</v>
      </c>
      <c r="H2871" s="33">
        <v>0.0</v>
      </c>
      <c r="I2871" s="34"/>
      <c r="J2871" s="35"/>
      <c r="K2871" s="36"/>
      <c r="L2871" s="35"/>
      <c r="M2871" s="36"/>
      <c r="N2871" s="35"/>
      <c r="O2871" s="36"/>
      <c r="P2871" s="35"/>
      <c r="Q2871" s="36"/>
      <c r="R2871" s="35"/>
      <c r="S2871" s="36"/>
      <c r="T2871" s="35"/>
      <c r="U2871" s="36"/>
      <c r="V2871" s="35"/>
      <c r="W2871" s="36"/>
      <c r="X2871" s="35"/>
      <c r="Y2871" s="36"/>
      <c r="Z2871" s="37"/>
      <c r="AA2871" s="37"/>
      <c r="AB2871" s="35"/>
      <c r="AC2871" s="38"/>
      <c r="AD2871" s="36"/>
      <c r="AE2871" s="35"/>
      <c r="AF2871" s="36"/>
      <c r="AG2871" s="1"/>
    </row>
    <row r="2872" ht="21.0" customHeight="1">
      <c r="A2872" s="1"/>
      <c r="B2872" s="39" t="s">
        <v>24</v>
      </c>
      <c r="C2872" s="40"/>
      <c r="D2872" s="41"/>
      <c r="E2872" s="42" t="s">
        <v>25</v>
      </c>
      <c r="F2872" s="40"/>
      <c r="G2872" s="41"/>
      <c r="H2872" s="43" t="s">
        <v>26</v>
      </c>
      <c r="J2872" s="44" t="s">
        <v>27</v>
      </c>
      <c r="K2872" s="45" t="s">
        <v>28</v>
      </c>
      <c r="L2872" s="44" t="s">
        <v>27</v>
      </c>
      <c r="M2872" s="45" t="s">
        <v>28</v>
      </c>
      <c r="N2872" s="44" t="s">
        <v>27</v>
      </c>
      <c r="O2872" s="45" t="s">
        <v>28</v>
      </c>
      <c r="P2872" s="44" t="s">
        <v>27</v>
      </c>
      <c r="Q2872" s="45" t="s">
        <v>28</v>
      </c>
      <c r="R2872" s="44" t="s">
        <v>27</v>
      </c>
      <c r="S2872" s="45" t="s">
        <v>28</v>
      </c>
      <c r="T2872" s="44" t="s">
        <v>27</v>
      </c>
      <c r="U2872" s="45" t="s">
        <v>28</v>
      </c>
      <c r="V2872" s="44" t="s">
        <v>27</v>
      </c>
      <c r="W2872" s="45" t="s">
        <v>28</v>
      </c>
      <c r="X2872" s="44" t="s">
        <v>27</v>
      </c>
      <c r="Y2872" s="45" t="s">
        <v>28</v>
      </c>
      <c r="Z2872" s="46"/>
      <c r="AA2872" s="46"/>
      <c r="AB2872" s="121" t="s">
        <v>29</v>
      </c>
      <c r="AC2872" s="122" t="s">
        <v>30</v>
      </c>
      <c r="AD2872" s="123" t="s">
        <v>31</v>
      </c>
      <c r="AE2872" s="121" t="s">
        <v>27</v>
      </c>
      <c r="AF2872" s="123" t="s">
        <v>28</v>
      </c>
      <c r="AG2872" s="1"/>
    </row>
    <row r="2873" ht="21.0" customHeight="1">
      <c r="A2873" s="1"/>
      <c r="B2873" s="48" t="s">
        <v>32</v>
      </c>
      <c r="C2873" s="49"/>
      <c r="D2873" s="50"/>
      <c r="E2873" s="51" t="s">
        <v>33</v>
      </c>
      <c r="F2873" s="52" t="s">
        <v>34</v>
      </c>
      <c r="G2873" s="53"/>
      <c r="H2873" s="148"/>
      <c r="I2873" s="55"/>
      <c r="J2873" s="58"/>
      <c r="K2873" s="59"/>
      <c r="L2873" s="58"/>
      <c r="M2873" s="59"/>
      <c r="N2873" s="58"/>
      <c r="O2873" s="59"/>
      <c r="P2873" s="58"/>
      <c r="Q2873" s="59"/>
      <c r="R2873" s="58"/>
      <c r="S2873" s="59"/>
      <c r="T2873" s="58"/>
      <c r="U2873" s="59"/>
      <c r="V2873" s="58"/>
      <c r="W2873" s="59"/>
      <c r="X2873" s="58"/>
      <c r="Y2873" s="59"/>
      <c r="Z2873" s="60" t="b">
        <v>0</v>
      </c>
      <c r="AA2873" s="125">
        <f t="shared" ref="AA2873:AA2881" si="1147">(J2873*K2873+L2873*M2873+N2873*O2873+P2873*Q2873+R2873*S2873+T2873*U2873+V2873*W2873+X2873*Y2873)*if(Z2873=true,0.453592,1)</f>
        <v>0</v>
      </c>
      <c r="AB2873" s="126">
        <f t="shared" ref="AB2873:AB2881" si="1148">SUM(AE2873*AF2873*0.025,AE2873)</f>
        <v>0</v>
      </c>
      <c r="AC2873" s="127">
        <f t="shared" ref="AC2873:AC2881" si="1149">AB2873*87%</f>
        <v>0</v>
      </c>
      <c r="AD2873" s="128">
        <f t="shared" ref="AD2873:AD2881" si="1150">AB2873*67%</f>
        <v>0</v>
      </c>
      <c r="AE2873" s="126">
        <f t="shared" ref="AE2873:AE2881" si="1151">MAX(J2873,L2873,N2873,P2873,R2873,T2873,V2873,X2873)*if(Z2873=true,0.453592,1)</f>
        <v>0</v>
      </c>
      <c r="AF2873" s="128">
        <f t="shared" ref="AF2873:AF2881" si="1152">MAX(IF(J2873*if(Z2873=true,0.453592,1)=$AE2873,K2873,0),IF(L2873*if(Z2873=true,0.453592,1)=$AE2873,M2873,0),IF(N2873*if(Z2873=true,0.453592,1)=$AE2873,O2873,0),IF(P2873*if(Z2873=true,0.453592,1)=$AE2873,Q2873,0),IF(R2873*if(Z2873=true,0.453592,1)=$AE2873,S2873,0),IF(T2873*if(Z2873=true,0.453592,1)=$AE2873,U2873,0),IF(V2873*if(Z2873=true,0.453592,1)=$AE2873,W2873,0),IF(X2873*if(Z2873=true,0.453592,1)=$AE2873,Y2873,0))</f>
        <v>0</v>
      </c>
      <c r="AG2873" s="1"/>
    </row>
    <row r="2874" ht="21.0" customHeight="1">
      <c r="A2874" s="1"/>
      <c r="B2874" s="48" t="s">
        <v>36</v>
      </c>
      <c r="C2874" s="49"/>
      <c r="D2874" s="65"/>
      <c r="E2874" s="66"/>
      <c r="F2874" s="52" t="s">
        <v>37</v>
      </c>
      <c r="G2874" s="67"/>
      <c r="H2874" s="129"/>
      <c r="I2874" s="69"/>
      <c r="J2874" s="72"/>
      <c r="K2874" s="73"/>
      <c r="L2874" s="72"/>
      <c r="M2874" s="73"/>
      <c r="N2874" s="72"/>
      <c r="O2874" s="73"/>
      <c r="P2874" s="72"/>
      <c r="Q2874" s="73"/>
      <c r="R2874" s="72"/>
      <c r="S2874" s="73"/>
      <c r="T2874" s="72"/>
      <c r="U2874" s="73"/>
      <c r="V2874" s="72"/>
      <c r="W2874" s="73"/>
      <c r="X2874" s="72"/>
      <c r="Y2874" s="73"/>
      <c r="Z2874" s="74" t="b">
        <v>0</v>
      </c>
      <c r="AA2874" s="130">
        <f t="shared" si="1147"/>
        <v>0</v>
      </c>
      <c r="AB2874" s="131">
        <f t="shared" si="1148"/>
        <v>0</v>
      </c>
      <c r="AC2874" s="132">
        <f t="shared" si="1149"/>
        <v>0</v>
      </c>
      <c r="AD2874" s="133">
        <f t="shared" si="1150"/>
        <v>0</v>
      </c>
      <c r="AE2874" s="131">
        <f t="shared" si="1151"/>
        <v>0</v>
      </c>
      <c r="AF2874" s="133">
        <f t="shared" si="1152"/>
        <v>0</v>
      </c>
      <c r="AG2874" s="1"/>
    </row>
    <row r="2875" ht="21.0" customHeight="1">
      <c r="A2875" s="1"/>
      <c r="B2875" s="48" t="s">
        <v>39</v>
      </c>
      <c r="C2875" s="49"/>
      <c r="D2875" s="65"/>
      <c r="E2875" s="41"/>
      <c r="F2875" s="52" t="s">
        <v>40</v>
      </c>
      <c r="G2875" s="79"/>
      <c r="H2875" s="80"/>
      <c r="I2875" s="69"/>
      <c r="J2875" s="72"/>
      <c r="K2875" s="73"/>
      <c r="L2875" s="72"/>
      <c r="M2875" s="73"/>
      <c r="N2875" s="72"/>
      <c r="O2875" s="73"/>
      <c r="P2875" s="72"/>
      <c r="Q2875" s="73"/>
      <c r="R2875" s="72"/>
      <c r="S2875" s="73"/>
      <c r="T2875" s="72"/>
      <c r="U2875" s="73"/>
      <c r="V2875" s="72"/>
      <c r="W2875" s="73"/>
      <c r="X2875" s="72"/>
      <c r="Y2875" s="73"/>
      <c r="Z2875" s="74" t="b">
        <v>0</v>
      </c>
      <c r="AA2875" s="130">
        <f t="shared" si="1147"/>
        <v>0</v>
      </c>
      <c r="AB2875" s="131">
        <f t="shared" si="1148"/>
        <v>0</v>
      </c>
      <c r="AC2875" s="132">
        <f t="shared" si="1149"/>
        <v>0</v>
      </c>
      <c r="AD2875" s="133">
        <f t="shared" si="1150"/>
        <v>0</v>
      </c>
      <c r="AE2875" s="131">
        <f t="shared" si="1151"/>
        <v>0</v>
      </c>
      <c r="AF2875" s="133">
        <f t="shared" si="1152"/>
        <v>0</v>
      </c>
      <c r="AG2875" s="1"/>
    </row>
    <row r="2876" ht="21.0" customHeight="1">
      <c r="A2876" s="1"/>
      <c r="B2876" s="48" t="s">
        <v>41</v>
      </c>
      <c r="C2876" s="81"/>
      <c r="D2876" s="82" t="b">
        <v>0</v>
      </c>
      <c r="E2876" s="51" t="s">
        <v>42</v>
      </c>
      <c r="F2876" s="52" t="s">
        <v>34</v>
      </c>
      <c r="G2876" s="83"/>
      <c r="H2876" s="84"/>
      <c r="I2876" s="85"/>
      <c r="J2876" s="72"/>
      <c r="K2876" s="73"/>
      <c r="L2876" s="72"/>
      <c r="M2876" s="73"/>
      <c r="N2876" s="72"/>
      <c r="O2876" s="73"/>
      <c r="P2876" s="72"/>
      <c r="Q2876" s="73"/>
      <c r="R2876" s="72"/>
      <c r="S2876" s="73"/>
      <c r="T2876" s="72"/>
      <c r="U2876" s="73"/>
      <c r="V2876" s="72"/>
      <c r="W2876" s="73"/>
      <c r="X2876" s="72"/>
      <c r="Y2876" s="73"/>
      <c r="Z2876" s="74" t="b">
        <v>0</v>
      </c>
      <c r="AA2876" s="130">
        <f t="shared" si="1147"/>
        <v>0</v>
      </c>
      <c r="AB2876" s="131">
        <f t="shared" si="1148"/>
        <v>0</v>
      </c>
      <c r="AC2876" s="132">
        <f t="shared" si="1149"/>
        <v>0</v>
      </c>
      <c r="AD2876" s="133">
        <f t="shared" si="1150"/>
        <v>0</v>
      </c>
      <c r="AE2876" s="131">
        <f t="shared" si="1151"/>
        <v>0</v>
      </c>
      <c r="AF2876" s="133">
        <f t="shared" si="1152"/>
        <v>0</v>
      </c>
      <c r="AG2876" s="1"/>
    </row>
    <row r="2877" ht="21.0" customHeight="1">
      <c r="A2877" s="1"/>
      <c r="B2877" s="48" t="s">
        <v>43</v>
      </c>
      <c r="C2877" s="49"/>
      <c r="D2877" s="86" t="b">
        <v>0</v>
      </c>
      <c r="E2877" s="66"/>
      <c r="F2877" s="52" t="s">
        <v>37</v>
      </c>
      <c r="G2877" s="67"/>
      <c r="H2877" s="80"/>
      <c r="I2877" s="69"/>
      <c r="J2877" s="72"/>
      <c r="K2877" s="73"/>
      <c r="L2877" s="72"/>
      <c r="M2877" s="73"/>
      <c r="N2877" s="72"/>
      <c r="O2877" s="73"/>
      <c r="P2877" s="72"/>
      <c r="Q2877" s="73"/>
      <c r="R2877" s="72"/>
      <c r="S2877" s="73"/>
      <c r="T2877" s="72"/>
      <c r="U2877" s="73"/>
      <c r="V2877" s="72"/>
      <c r="W2877" s="73"/>
      <c r="X2877" s="72"/>
      <c r="Y2877" s="73"/>
      <c r="Z2877" s="74" t="b">
        <v>0</v>
      </c>
      <c r="AA2877" s="130">
        <f t="shared" si="1147"/>
        <v>0</v>
      </c>
      <c r="AB2877" s="131">
        <f t="shared" si="1148"/>
        <v>0</v>
      </c>
      <c r="AC2877" s="132">
        <f t="shared" si="1149"/>
        <v>0</v>
      </c>
      <c r="AD2877" s="133">
        <f t="shared" si="1150"/>
        <v>0</v>
      </c>
      <c r="AE2877" s="131">
        <f t="shared" si="1151"/>
        <v>0</v>
      </c>
      <c r="AF2877" s="133">
        <f t="shared" si="1152"/>
        <v>0</v>
      </c>
      <c r="AG2877" s="1"/>
    </row>
    <row r="2878" ht="21.0" customHeight="1">
      <c r="A2878" s="1"/>
      <c r="B2878" s="87" t="str">
        <f t="array" ref="B2878">"📌최근 인바디 결과 : "&amp;text(xlookup(B2870,'현황'!O:O,'현황'!O:O,,-1,-1),"m/d(ddd)")</f>
        <v>#REF!</v>
      </c>
      <c r="C2878" s="88"/>
      <c r="D2878" s="49"/>
      <c r="E2878" s="41"/>
      <c r="F2878" s="52" t="s">
        <v>40</v>
      </c>
      <c r="G2878" s="79"/>
      <c r="H2878" s="80"/>
      <c r="I2878" s="69"/>
      <c r="J2878" s="72"/>
      <c r="K2878" s="73"/>
      <c r="L2878" s="72"/>
      <c r="M2878" s="73"/>
      <c r="N2878" s="72"/>
      <c r="O2878" s="73"/>
      <c r="P2878" s="72"/>
      <c r="Q2878" s="73"/>
      <c r="R2878" s="72"/>
      <c r="S2878" s="73"/>
      <c r="T2878" s="72"/>
      <c r="U2878" s="73"/>
      <c r="V2878" s="72"/>
      <c r="W2878" s="73"/>
      <c r="X2878" s="72"/>
      <c r="Y2878" s="73"/>
      <c r="Z2878" s="74" t="b">
        <v>0</v>
      </c>
      <c r="AA2878" s="130">
        <f t="shared" si="1147"/>
        <v>0</v>
      </c>
      <c r="AB2878" s="131">
        <f t="shared" si="1148"/>
        <v>0</v>
      </c>
      <c r="AC2878" s="132">
        <f t="shared" si="1149"/>
        <v>0</v>
      </c>
      <c r="AD2878" s="133">
        <f t="shared" si="1150"/>
        <v>0</v>
      </c>
      <c r="AE2878" s="131">
        <f t="shared" si="1151"/>
        <v>0</v>
      </c>
      <c r="AF2878" s="133">
        <f t="shared" si="1152"/>
        <v>0</v>
      </c>
      <c r="AG2878" s="1"/>
    </row>
    <row r="2879" ht="21.0" customHeight="1">
      <c r="A2879" s="1"/>
      <c r="B2879" s="89" t="s">
        <v>44</v>
      </c>
      <c r="C2879" s="49"/>
      <c r="D2879" s="90">
        <f t="array" ref="D2879">iferror(vlookup(xlookup(B2870,'현황'!O:O,'현황'!O:O,,-1,-1),'현황'!O:S,2,false),0)</f>
        <v>0</v>
      </c>
      <c r="E2879" s="51" t="s">
        <v>45</v>
      </c>
      <c r="F2879" s="52" t="s">
        <v>34</v>
      </c>
      <c r="G2879" s="83"/>
      <c r="H2879" s="84"/>
      <c r="I2879" s="85"/>
      <c r="J2879" s="72"/>
      <c r="K2879" s="73"/>
      <c r="L2879" s="72"/>
      <c r="M2879" s="73"/>
      <c r="N2879" s="72"/>
      <c r="O2879" s="73"/>
      <c r="P2879" s="72"/>
      <c r="Q2879" s="73"/>
      <c r="R2879" s="72"/>
      <c r="S2879" s="73"/>
      <c r="T2879" s="72"/>
      <c r="U2879" s="73"/>
      <c r="V2879" s="72"/>
      <c r="W2879" s="73"/>
      <c r="X2879" s="72"/>
      <c r="Y2879" s="73"/>
      <c r="Z2879" s="74" t="b">
        <v>0</v>
      </c>
      <c r="AA2879" s="130">
        <f t="shared" si="1147"/>
        <v>0</v>
      </c>
      <c r="AB2879" s="131">
        <f t="shared" si="1148"/>
        <v>0</v>
      </c>
      <c r="AC2879" s="132">
        <f t="shared" si="1149"/>
        <v>0</v>
      </c>
      <c r="AD2879" s="133">
        <f t="shared" si="1150"/>
        <v>0</v>
      </c>
      <c r="AE2879" s="131">
        <f t="shared" si="1151"/>
        <v>0</v>
      </c>
      <c r="AF2879" s="133">
        <f t="shared" si="1152"/>
        <v>0</v>
      </c>
      <c r="AG2879" s="1"/>
    </row>
    <row r="2880" ht="21.0" customHeight="1">
      <c r="A2880" s="1"/>
      <c r="B2880" s="48" t="s">
        <v>46</v>
      </c>
      <c r="C2880" s="49"/>
      <c r="D2880" s="91">
        <f t="array" ref="D2880">iferror(vlookup(xlookup(B2870,'현황'!O:O,'현황'!O:O,,-1,-1),'현황'!O:S,3,false),0)</f>
        <v>0</v>
      </c>
      <c r="E2880" s="66"/>
      <c r="F2880" s="52" t="s">
        <v>37</v>
      </c>
      <c r="G2880" s="67"/>
      <c r="H2880" s="80"/>
      <c r="I2880" s="69"/>
      <c r="J2880" s="72"/>
      <c r="K2880" s="73"/>
      <c r="L2880" s="72"/>
      <c r="M2880" s="73"/>
      <c r="N2880" s="72"/>
      <c r="O2880" s="73"/>
      <c r="P2880" s="72"/>
      <c r="Q2880" s="73"/>
      <c r="R2880" s="72"/>
      <c r="S2880" s="73"/>
      <c r="T2880" s="72"/>
      <c r="U2880" s="73"/>
      <c r="V2880" s="72"/>
      <c r="W2880" s="73"/>
      <c r="X2880" s="72"/>
      <c r="Y2880" s="73"/>
      <c r="Z2880" s="74" t="b">
        <v>0</v>
      </c>
      <c r="AA2880" s="130">
        <f t="shared" si="1147"/>
        <v>0</v>
      </c>
      <c r="AB2880" s="131">
        <f t="shared" si="1148"/>
        <v>0</v>
      </c>
      <c r="AC2880" s="132">
        <f t="shared" si="1149"/>
        <v>0</v>
      </c>
      <c r="AD2880" s="133">
        <f t="shared" si="1150"/>
        <v>0</v>
      </c>
      <c r="AE2880" s="131">
        <f t="shared" si="1151"/>
        <v>0</v>
      </c>
      <c r="AF2880" s="133">
        <f t="shared" si="1152"/>
        <v>0</v>
      </c>
      <c r="AG2880" s="1"/>
    </row>
    <row r="2881" ht="21.0" customHeight="1">
      <c r="A2881" s="1"/>
      <c r="B2881" s="48" t="s">
        <v>47</v>
      </c>
      <c r="C2881" s="49"/>
      <c r="D2881" s="91">
        <f t="array" ref="D2881">iferror(vlookup(xlookup(B2870,'현황'!O:O,'현황'!O:O,,-1,-1),'현황'!O:S,4,false),0)</f>
        <v>0</v>
      </c>
      <c r="E2881" s="41"/>
      <c r="F2881" s="92" t="s">
        <v>40</v>
      </c>
      <c r="G2881" s="79"/>
      <c r="H2881" s="93"/>
      <c r="I2881" s="94"/>
      <c r="J2881" s="95"/>
      <c r="K2881" s="96"/>
      <c r="L2881" s="95"/>
      <c r="M2881" s="96"/>
      <c r="N2881" s="95"/>
      <c r="O2881" s="96"/>
      <c r="P2881" s="95"/>
      <c r="Q2881" s="96"/>
      <c r="R2881" s="95"/>
      <c r="S2881" s="96"/>
      <c r="T2881" s="95"/>
      <c r="U2881" s="96"/>
      <c r="V2881" s="95"/>
      <c r="W2881" s="96"/>
      <c r="X2881" s="95"/>
      <c r="Y2881" s="96"/>
      <c r="Z2881" s="97" t="b">
        <v>0</v>
      </c>
      <c r="AA2881" s="135">
        <f t="shared" si="1147"/>
        <v>0</v>
      </c>
      <c r="AB2881" s="136">
        <f t="shared" si="1148"/>
        <v>0</v>
      </c>
      <c r="AC2881" s="137">
        <f t="shared" si="1149"/>
        <v>0</v>
      </c>
      <c r="AD2881" s="138">
        <f t="shared" si="1150"/>
        <v>0</v>
      </c>
      <c r="AE2881" s="136">
        <f t="shared" si="1151"/>
        <v>0</v>
      </c>
      <c r="AF2881" s="138">
        <f t="shared" si="1152"/>
        <v>0</v>
      </c>
      <c r="AG2881" s="1"/>
    </row>
    <row r="2882" ht="21.0" customHeight="1">
      <c r="A2882" s="1"/>
      <c r="B2882" s="102" t="s">
        <v>48</v>
      </c>
      <c r="C2882" s="103"/>
      <c r="D2882" s="104">
        <f>iferror(D2881/D2879,0)</f>
        <v>0</v>
      </c>
      <c r="E2882" s="102" t="s">
        <v>49</v>
      </c>
      <c r="F2882" s="103"/>
      <c r="G2882" s="105"/>
      <c r="H2882" s="143" t="s">
        <v>50</v>
      </c>
      <c r="I2882" s="144"/>
      <c r="J2882" s="11"/>
      <c r="K2882" s="11"/>
      <c r="L2882" s="11"/>
      <c r="M2882" s="11"/>
      <c r="N2882" s="11"/>
      <c r="O2882" s="11"/>
      <c r="P2882" s="145" t="s">
        <v>51</v>
      </c>
      <c r="Q2882" s="12"/>
      <c r="R2882" s="146"/>
      <c r="S2882" s="11"/>
      <c r="T2882" s="11"/>
      <c r="U2882" s="11"/>
      <c r="V2882" s="11"/>
      <c r="W2882" s="11"/>
      <c r="X2882" s="11"/>
      <c r="Y2882" s="11"/>
      <c r="Z2882" s="12"/>
      <c r="AA2882" s="139">
        <f>SUM(AA2873:AA2881)</f>
        <v>0</v>
      </c>
      <c r="AB2882" s="140" t="s">
        <v>481</v>
      </c>
      <c r="AG2882" s="1"/>
    </row>
    <row r="2883" ht="21.0" customHeight="1">
      <c r="A2883" s="1"/>
      <c r="B2883" s="1"/>
      <c r="C2883" s="1"/>
      <c r="D2883" s="1"/>
      <c r="E2883" s="1"/>
      <c r="F2883" s="1"/>
      <c r="G2883" s="1"/>
      <c r="H2883" s="1"/>
      <c r="I2883" s="1"/>
      <c r="AA2883" s="1"/>
      <c r="AB2883" s="1"/>
      <c r="AC2883" s="3"/>
      <c r="AD2883" s="1"/>
      <c r="AE2883" s="1"/>
      <c r="AF2883" s="1"/>
      <c r="AG2883" s="1"/>
    </row>
    <row r="2884" ht="21.0" customHeight="1">
      <c r="A2884" s="1"/>
      <c r="B2884" s="4" t="s">
        <v>1</v>
      </c>
      <c r="C2884" s="5"/>
      <c r="D2884" s="6" t="s">
        <v>2</v>
      </c>
      <c r="E2884" s="7"/>
      <c r="F2884" s="7"/>
      <c r="G2884" s="5"/>
      <c r="H2884" s="8" t="s">
        <v>3</v>
      </c>
      <c r="I2884" s="8" t="s">
        <v>4</v>
      </c>
      <c r="J2884" s="9" t="s">
        <v>5</v>
      </c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5"/>
      <c r="AA2884" s="117" t="s">
        <v>6</v>
      </c>
      <c r="AB2884" s="11"/>
      <c r="AC2884" s="11"/>
      <c r="AD2884" s="11"/>
      <c r="AE2884" s="11"/>
      <c r="AF2884" s="12"/>
      <c r="AG2884" s="1"/>
    </row>
    <row r="2885" ht="21.0" customHeight="1">
      <c r="A2885" s="1"/>
      <c r="B2885" s="149" t="s">
        <v>138</v>
      </c>
      <c r="C2885" s="14" t="str">
        <f>if(B2885="0/0","",choose(weekday(B2885),"(일)","(월)","(화)","(수)","(목)","(금)","(토)"))</f>
        <v/>
      </c>
      <c r="D2885" s="15" t="s">
        <v>7</v>
      </c>
      <c r="E2885" s="16" t="s">
        <v>8</v>
      </c>
      <c r="F2885" s="17"/>
      <c r="G2885" s="18" t="s">
        <v>9</v>
      </c>
      <c r="H2885" s="150" t="s">
        <v>139</v>
      </c>
      <c r="I2885" s="151"/>
      <c r="J2885" s="21" t="s">
        <v>12</v>
      </c>
      <c r="K2885" s="22"/>
      <c r="L2885" s="21" t="s">
        <v>13</v>
      </c>
      <c r="M2885" s="22"/>
      <c r="N2885" s="21" t="s">
        <v>14</v>
      </c>
      <c r="O2885" s="22"/>
      <c r="P2885" s="21" t="s">
        <v>15</v>
      </c>
      <c r="Q2885" s="22"/>
      <c r="R2885" s="23" t="s">
        <v>16</v>
      </c>
      <c r="S2885" s="22"/>
      <c r="T2885" s="23" t="s">
        <v>17</v>
      </c>
      <c r="U2885" s="22"/>
      <c r="V2885" s="23" t="s">
        <v>18</v>
      </c>
      <c r="W2885" s="22"/>
      <c r="X2885" s="23" t="s">
        <v>19</v>
      </c>
      <c r="Y2885" s="22"/>
      <c r="Z2885" s="24" t="s">
        <v>482</v>
      </c>
      <c r="AA2885" s="118" t="s">
        <v>21</v>
      </c>
      <c r="AB2885" s="119" t="s">
        <v>22</v>
      </c>
      <c r="AC2885" s="7"/>
      <c r="AD2885" s="22"/>
      <c r="AE2885" s="120" t="s">
        <v>23</v>
      </c>
      <c r="AF2885" s="22"/>
      <c r="AG2885" s="1"/>
    </row>
    <row r="2886" ht="21.0" customHeight="1">
      <c r="A2886" s="1"/>
      <c r="B2886" s="27">
        <f>iferror(B2885-'현황'!$C$4+1,0)</f>
        <v>0</v>
      </c>
      <c r="C2886" s="28"/>
      <c r="D2886" s="29">
        <v>0.0</v>
      </c>
      <c r="E2886" s="30">
        <v>0.0</v>
      </c>
      <c r="F2886" s="31"/>
      <c r="G2886" s="32">
        <v>0.0</v>
      </c>
      <c r="H2886" s="33">
        <v>0.0</v>
      </c>
      <c r="I2886" s="34"/>
      <c r="J2886" s="35"/>
      <c r="K2886" s="36"/>
      <c r="L2886" s="35"/>
      <c r="M2886" s="36"/>
      <c r="N2886" s="35"/>
      <c r="O2886" s="36"/>
      <c r="P2886" s="35"/>
      <c r="Q2886" s="36"/>
      <c r="R2886" s="35"/>
      <c r="S2886" s="36"/>
      <c r="T2886" s="35"/>
      <c r="U2886" s="36"/>
      <c r="V2886" s="35"/>
      <c r="W2886" s="36"/>
      <c r="X2886" s="35"/>
      <c r="Y2886" s="36"/>
      <c r="Z2886" s="37"/>
      <c r="AA2886" s="37"/>
      <c r="AB2886" s="35"/>
      <c r="AC2886" s="38"/>
      <c r="AD2886" s="36"/>
      <c r="AE2886" s="35"/>
      <c r="AF2886" s="36"/>
      <c r="AG2886" s="1"/>
    </row>
    <row r="2887" ht="21.0" customHeight="1">
      <c r="A2887" s="1"/>
      <c r="B2887" s="39" t="s">
        <v>24</v>
      </c>
      <c r="C2887" s="40"/>
      <c r="D2887" s="41"/>
      <c r="E2887" s="42" t="s">
        <v>25</v>
      </c>
      <c r="F2887" s="40"/>
      <c r="G2887" s="41"/>
      <c r="H2887" s="43" t="s">
        <v>26</v>
      </c>
      <c r="J2887" s="44" t="s">
        <v>27</v>
      </c>
      <c r="K2887" s="45" t="s">
        <v>28</v>
      </c>
      <c r="L2887" s="44" t="s">
        <v>27</v>
      </c>
      <c r="M2887" s="45" t="s">
        <v>28</v>
      </c>
      <c r="N2887" s="44" t="s">
        <v>27</v>
      </c>
      <c r="O2887" s="45" t="s">
        <v>28</v>
      </c>
      <c r="P2887" s="44" t="s">
        <v>27</v>
      </c>
      <c r="Q2887" s="45" t="s">
        <v>28</v>
      </c>
      <c r="R2887" s="44" t="s">
        <v>27</v>
      </c>
      <c r="S2887" s="45" t="s">
        <v>28</v>
      </c>
      <c r="T2887" s="44" t="s">
        <v>27</v>
      </c>
      <c r="U2887" s="45" t="s">
        <v>28</v>
      </c>
      <c r="V2887" s="44" t="s">
        <v>27</v>
      </c>
      <c r="W2887" s="45" t="s">
        <v>28</v>
      </c>
      <c r="X2887" s="44" t="s">
        <v>27</v>
      </c>
      <c r="Y2887" s="45" t="s">
        <v>28</v>
      </c>
      <c r="Z2887" s="46"/>
      <c r="AA2887" s="46"/>
      <c r="AB2887" s="121" t="s">
        <v>29</v>
      </c>
      <c r="AC2887" s="122" t="s">
        <v>30</v>
      </c>
      <c r="AD2887" s="123" t="s">
        <v>31</v>
      </c>
      <c r="AE2887" s="121" t="s">
        <v>27</v>
      </c>
      <c r="AF2887" s="123" t="s">
        <v>28</v>
      </c>
      <c r="AG2887" s="1"/>
    </row>
    <row r="2888" ht="21.0" customHeight="1">
      <c r="A2888" s="1"/>
      <c r="B2888" s="48" t="s">
        <v>32</v>
      </c>
      <c r="C2888" s="49"/>
      <c r="D2888" s="50"/>
      <c r="E2888" s="51" t="s">
        <v>33</v>
      </c>
      <c r="F2888" s="52" t="s">
        <v>34</v>
      </c>
      <c r="G2888" s="53"/>
      <c r="H2888" s="148"/>
      <c r="I2888" s="55"/>
      <c r="J2888" s="58"/>
      <c r="K2888" s="59"/>
      <c r="L2888" s="58"/>
      <c r="M2888" s="59"/>
      <c r="N2888" s="58"/>
      <c r="O2888" s="59"/>
      <c r="P2888" s="58"/>
      <c r="Q2888" s="59"/>
      <c r="R2888" s="58"/>
      <c r="S2888" s="59"/>
      <c r="T2888" s="58"/>
      <c r="U2888" s="59"/>
      <c r="V2888" s="58"/>
      <c r="W2888" s="59"/>
      <c r="X2888" s="58"/>
      <c r="Y2888" s="59"/>
      <c r="Z2888" s="60" t="b">
        <v>0</v>
      </c>
      <c r="AA2888" s="125">
        <f t="shared" ref="AA2888:AA2896" si="1153">(J2888*K2888+L2888*M2888+N2888*O2888+P2888*Q2888+R2888*S2888+T2888*U2888+V2888*W2888+X2888*Y2888)*if(Z2888=true,0.453592,1)</f>
        <v>0</v>
      </c>
      <c r="AB2888" s="126">
        <f t="shared" ref="AB2888:AB2896" si="1154">SUM(AE2888*AF2888*0.025,AE2888)</f>
        <v>0</v>
      </c>
      <c r="AC2888" s="127">
        <f t="shared" ref="AC2888:AC2896" si="1155">AB2888*87%</f>
        <v>0</v>
      </c>
      <c r="AD2888" s="128">
        <f t="shared" ref="AD2888:AD2896" si="1156">AB2888*67%</f>
        <v>0</v>
      </c>
      <c r="AE2888" s="126">
        <f t="shared" ref="AE2888:AE2896" si="1157">MAX(J2888,L2888,N2888,P2888,R2888,T2888,V2888,X2888)*if(Z2888=true,0.453592,1)</f>
        <v>0</v>
      </c>
      <c r="AF2888" s="128">
        <f t="shared" ref="AF2888:AF2896" si="1158">MAX(IF(J2888*if(Z2888=true,0.453592,1)=$AE2888,K2888,0),IF(L2888*if(Z2888=true,0.453592,1)=$AE2888,M2888,0),IF(N2888*if(Z2888=true,0.453592,1)=$AE2888,O2888,0),IF(P2888*if(Z2888=true,0.453592,1)=$AE2888,Q2888,0),IF(R2888*if(Z2888=true,0.453592,1)=$AE2888,S2888,0),IF(T2888*if(Z2888=true,0.453592,1)=$AE2888,U2888,0),IF(V2888*if(Z2888=true,0.453592,1)=$AE2888,W2888,0),IF(X2888*if(Z2888=true,0.453592,1)=$AE2888,Y2888,0))</f>
        <v>0</v>
      </c>
      <c r="AG2888" s="1"/>
    </row>
    <row r="2889" ht="21.0" customHeight="1">
      <c r="A2889" s="1"/>
      <c r="B2889" s="48" t="s">
        <v>36</v>
      </c>
      <c r="C2889" s="49"/>
      <c r="D2889" s="65"/>
      <c r="E2889" s="66"/>
      <c r="F2889" s="52" t="s">
        <v>37</v>
      </c>
      <c r="G2889" s="67"/>
      <c r="H2889" s="129"/>
      <c r="I2889" s="69"/>
      <c r="J2889" s="72"/>
      <c r="K2889" s="73"/>
      <c r="L2889" s="72"/>
      <c r="M2889" s="73"/>
      <c r="N2889" s="72"/>
      <c r="O2889" s="73"/>
      <c r="P2889" s="72"/>
      <c r="Q2889" s="73"/>
      <c r="R2889" s="72"/>
      <c r="S2889" s="73"/>
      <c r="T2889" s="72"/>
      <c r="U2889" s="73"/>
      <c r="V2889" s="72"/>
      <c r="W2889" s="73"/>
      <c r="X2889" s="72"/>
      <c r="Y2889" s="73"/>
      <c r="Z2889" s="74" t="b">
        <v>0</v>
      </c>
      <c r="AA2889" s="130">
        <f t="shared" si="1153"/>
        <v>0</v>
      </c>
      <c r="AB2889" s="131">
        <f t="shared" si="1154"/>
        <v>0</v>
      </c>
      <c r="AC2889" s="132">
        <f t="shared" si="1155"/>
        <v>0</v>
      </c>
      <c r="AD2889" s="133">
        <f t="shared" si="1156"/>
        <v>0</v>
      </c>
      <c r="AE2889" s="131">
        <f t="shared" si="1157"/>
        <v>0</v>
      </c>
      <c r="AF2889" s="133">
        <f t="shared" si="1158"/>
        <v>0</v>
      </c>
      <c r="AG2889" s="1"/>
    </row>
    <row r="2890" ht="21.0" customHeight="1">
      <c r="A2890" s="1"/>
      <c r="B2890" s="48" t="s">
        <v>39</v>
      </c>
      <c r="C2890" s="49"/>
      <c r="D2890" s="65"/>
      <c r="E2890" s="41"/>
      <c r="F2890" s="52" t="s">
        <v>40</v>
      </c>
      <c r="G2890" s="79"/>
      <c r="H2890" s="80"/>
      <c r="I2890" s="69"/>
      <c r="J2890" s="72"/>
      <c r="K2890" s="73"/>
      <c r="L2890" s="72"/>
      <c r="M2890" s="73"/>
      <c r="N2890" s="72"/>
      <c r="O2890" s="73"/>
      <c r="P2890" s="72"/>
      <c r="Q2890" s="73"/>
      <c r="R2890" s="72"/>
      <c r="S2890" s="73"/>
      <c r="T2890" s="72"/>
      <c r="U2890" s="73"/>
      <c r="V2890" s="72"/>
      <c r="W2890" s="73"/>
      <c r="X2890" s="72"/>
      <c r="Y2890" s="73"/>
      <c r="Z2890" s="74" t="b">
        <v>0</v>
      </c>
      <c r="AA2890" s="130">
        <f t="shared" si="1153"/>
        <v>0</v>
      </c>
      <c r="AB2890" s="131">
        <f t="shared" si="1154"/>
        <v>0</v>
      </c>
      <c r="AC2890" s="132">
        <f t="shared" si="1155"/>
        <v>0</v>
      </c>
      <c r="AD2890" s="133">
        <f t="shared" si="1156"/>
        <v>0</v>
      </c>
      <c r="AE2890" s="131">
        <f t="shared" si="1157"/>
        <v>0</v>
      </c>
      <c r="AF2890" s="133">
        <f t="shared" si="1158"/>
        <v>0</v>
      </c>
      <c r="AG2890" s="1"/>
    </row>
    <row r="2891" ht="21.0" customHeight="1">
      <c r="A2891" s="1"/>
      <c r="B2891" s="48" t="s">
        <v>41</v>
      </c>
      <c r="C2891" s="81"/>
      <c r="D2891" s="82" t="b">
        <v>0</v>
      </c>
      <c r="E2891" s="51" t="s">
        <v>42</v>
      </c>
      <c r="F2891" s="52" t="s">
        <v>34</v>
      </c>
      <c r="G2891" s="83"/>
      <c r="H2891" s="84"/>
      <c r="I2891" s="85"/>
      <c r="J2891" s="72"/>
      <c r="K2891" s="73"/>
      <c r="L2891" s="72"/>
      <c r="M2891" s="73"/>
      <c r="N2891" s="72"/>
      <c r="O2891" s="73"/>
      <c r="P2891" s="72"/>
      <c r="Q2891" s="73"/>
      <c r="R2891" s="72"/>
      <c r="S2891" s="73"/>
      <c r="T2891" s="72"/>
      <c r="U2891" s="73"/>
      <c r="V2891" s="72"/>
      <c r="W2891" s="73"/>
      <c r="X2891" s="72"/>
      <c r="Y2891" s="73"/>
      <c r="Z2891" s="74" t="b">
        <v>0</v>
      </c>
      <c r="AA2891" s="130">
        <f t="shared" si="1153"/>
        <v>0</v>
      </c>
      <c r="AB2891" s="131">
        <f t="shared" si="1154"/>
        <v>0</v>
      </c>
      <c r="AC2891" s="132">
        <f t="shared" si="1155"/>
        <v>0</v>
      </c>
      <c r="AD2891" s="133">
        <f t="shared" si="1156"/>
        <v>0</v>
      </c>
      <c r="AE2891" s="131">
        <f t="shared" si="1157"/>
        <v>0</v>
      </c>
      <c r="AF2891" s="133">
        <f t="shared" si="1158"/>
        <v>0</v>
      </c>
      <c r="AG2891" s="1"/>
    </row>
    <row r="2892" ht="21.0" customHeight="1">
      <c r="A2892" s="1"/>
      <c r="B2892" s="48" t="s">
        <v>43</v>
      </c>
      <c r="C2892" s="49"/>
      <c r="D2892" s="86" t="b">
        <v>0</v>
      </c>
      <c r="E2892" s="66"/>
      <c r="F2892" s="52" t="s">
        <v>37</v>
      </c>
      <c r="G2892" s="67"/>
      <c r="H2892" s="80"/>
      <c r="I2892" s="69"/>
      <c r="J2892" s="72"/>
      <c r="K2892" s="73"/>
      <c r="L2892" s="72"/>
      <c r="M2892" s="73"/>
      <c r="N2892" s="72"/>
      <c r="O2892" s="73"/>
      <c r="P2892" s="72"/>
      <c r="Q2892" s="73"/>
      <c r="R2892" s="72"/>
      <c r="S2892" s="73"/>
      <c r="T2892" s="72"/>
      <c r="U2892" s="73"/>
      <c r="V2892" s="72"/>
      <c r="W2892" s="73"/>
      <c r="X2892" s="72"/>
      <c r="Y2892" s="73"/>
      <c r="Z2892" s="74" t="b">
        <v>0</v>
      </c>
      <c r="AA2892" s="130">
        <f t="shared" si="1153"/>
        <v>0</v>
      </c>
      <c r="AB2892" s="131">
        <f t="shared" si="1154"/>
        <v>0</v>
      </c>
      <c r="AC2892" s="132">
        <f t="shared" si="1155"/>
        <v>0</v>
      </c>
      <c r="AD2892" s="133">
        <f t="shared" si="1156"/>
        <v>0</v>
      </c>
      <c r="AE2892" s="131">
        <f t="shared" si="1157"/>
        <v>0</v>
      </c>
      <c r="AF2892" s="133">
        <f t="shared" si="1158"/>
        <v>0</v>
      </c>
      <c r="AG2892" s="1"/>
    </row>
    <row r="2893" ht="21.0" customHeight="1">
      <c r="A2893" s="1"/>
      <c r="B2893" s="87" t="str">
        <f t="array" ref="B2893">"📌최근 인바디 결과 : "&amp;text(xlookup(B2885,'현황'!O:O,'현황'!O:O,,-1,-1),"m/d(ddd)")</f>
        <v>#REF!</v>
      </c>
      <c r="C2893" s="88"/>
      <c r="D2893" s="49"/>
      <c r="E2893" s="41"/>
      <c r="F2893" s="52" t="s">
        <v>40</v>
      </c>
      <c r="G2893" s="79"/>
      <c r="H2893" s="80"/>
      <c r="I2893" s="69"/>
      <c r="J2893" s="72"/>
      <c r="K2893" s="73"/>
      <c r="L2893" s="72"/>
      <c r="M2893" s="73"/>
      <c r="N2893" s="72"/>
      <c r="O2893" s="73"/>
      <c r="P2893" s="72"/>
      <c r="Q2893" s="73"/>
      <c r="R2893" s="72"/>
      <c r="S2893" s="73"/>
      <c r="T2893" s="72"/>
      <c r="U2893" s="73"/>
      <c r="V2893" s="72"/>
      <c r="W2893" s="73"/>
      <c r="X2893" s="72"/>
      <c r="Y2893" s="73"/>
      <c r="Z2893" s="74" t="b">
        <v>0</v>
      </c>
      <c r="AA2893" s="130">
        <f t="shared" si="1153"/>
        <v>0</v>
      </c>
      <c r="AB2893" s="131">
        <f t="shared" si="1154"/>
        <v>0</v>
      </c>
      <c r="AC2893" s="132">
        <f t="shared" si="1155"/>
        <v>0</v>
      </c>
      <c r="AD2893" s="133">
        <f t="shared" si="1156"/>
        <v>0</v>
      </c>
      <c r="AE2893" s="131">
        <f t="shared" si="1157"/>
        <v>0</v>
      </c>
      <c r="AF2893" s="133">
        <f t="shared" si="1158"/>
        <v>0</v>
      </c>
      <c r="AG2893" s="1"/>
    </row>
    <row r="2894" ht="21.0" customHeight="1">
      <c r="A2894" s="1"/>
      <c r="B2894" s="89" t="s">
        <v>44</v>
      </c>
      <c r="C2894" s="49"/>
      <c r="D2894" s="90">
        <f t="array" ref="D2894">iferror(vlookup(xlookup(B2885,'현황'!O:O,'현황'!O:O,,-1,-1),'현황'!O:S,2,false),0)</f>
        <v>0</v>
      </c>
      <c r="E2894" s="51" t="s">
        <v>45</v>
      </c>
      <c r="F2894" s="52" t="s">
        <v>34</v>
      </c>
      <c r="G2894" s="83"/>
      <c r="H2894" s="84"/>
      <c r="I2894" s="85"/>
      <c r="J2894" s="72"/>
      <c r="K2894" s="73"/>
      <c r="L2894" s="72"/>
      <c r="M2894" s="73"/>
      <c r="N2894" s="72"/>
      <c r="O2894" s="73"/>
      <c r="P2894" s="72"/>
      <c r="Q2894" s="73"/>
      <c r="R2894" s="72"/>
      <c r="S2894" s="73"/>
      <c r="T2894" s="72"/>
      <c r="U2894" s="73"/>
      <c r="V2894" s="72"/>
      <c r="W2894" s="73"/>
      <c r="X2894" s="72"/>
      <c r="Y2894" s="73"/>
      <c r="Z2894" s="74" t="b">
        <v>0</v>
      </c>
      <c r="AA2894" s="130">
        <f t="shared" si="1153"/>
        <v>0</v>
      </c>
      <c r="AB2894" s="131">
        <f t="shared" si="1154"/>
        <v>0</v>
      </c>
      <c r="AC2894" s="132">
        <f t="shared" si="1155"/>
        <v>0</v>
      </c>
      <c r="AD2894" s="133">
        <f t="shared" si="1156"/>
        <v>0</v>
      </c>
      <c r="AE2894" s="131">
        <f t="shared" si="1157"/>
        <v>0</v>
      </c>
      <c r="AF2894" s="133">
        <f t="shared" si="1158"/>
        <v>0</v>
      </c>
      <c r="AG2894" s="1"/>
    </row>
    <row r="2895" ht="21.0" customHeight="1">
      <c r="A2895" s="1"/>
      <c r="B2895" s="48" t="s">
        <v>46</v>
      </c>
      <c r="C2895" s="49"/>
      <c r="D2895" s="91">
        <f t="array" ref="D2895">iferror(vlookup(xlookup(B2885,'현황'!O:O,'현황'!O:O,,-1,-1),'현황'!O:S,3,false),0)</f>
        <v>0</v>
      </c>
      <c r="E2895" s="66"/>
      <c r="F2895" s="52" t="s">
        <v>37</v>
      </c>
      <c r="G2895" s="67"/>
      <c r="H2895" s="80"/>
      <c r="I2895" s="69"/>
      <c r="J2895" s="72"/>
      <c r="K2895" s="73"/>
      <c r="L2895" s="72"/>
      <c r="M2895" s="73"/>
      <c r="N2895" s="72"/>
      <c r="O2895" s="73"/>
      <c r="P2895" s="72"/>
      <c r="Q2895" s="73"/>
      <c r="R2895" s="72"/>
      <c r="S2895" s="73"/>
      <c r="T2895" s="72"/>
      <c r="U2895" s="73"/>
      <c r="V2895" s="72"/>
      <c r="W2895" s="73"/>
      <c r="X2895" s="72"/>
      <c r="Y2895" s="73"/>
      <c r="Z2895" s="74" t="b">
        <v>0</v>
      </c>
      <c r="AA2895" s="130">
        <f t="shared" si="1153"/>
        <v>0</v>
      </c>
      <c r="AB2895" s="131">
        <f t="shared" si="1154"/>
        <v>0</v>
      </c>
      <c r="AC2895" s="132">
        <f t="shared" si="1155"/>
        <v>0</v>
      </c>
      <c r="AD2895" s="133">
        <f t="shared" si="1156"/>
        <v>0</v>
      </c>
      <c r="AE2895" s="131">
        <f t="shared" si="1157"/>
        <v>0</v>
      </c>
      <c r="AF2895" s="133">
        <f t="shared" si="1158"/>
        <v>0</v>
      </c>
      <c r="AG2895" s="1"/>
    </row>
    <row r="2896" ht="21.0" customHeight="1">
      <c r="A2896" s="1"/>
      <c r="B2896" s="48" t="s">
        <v>47</v>
      </c>
      <c r="C2896" s="49"/>
      <c r="D2896" s="91">
        <f t="array" ref="D2896">iferror(vlookup(xlookup(B2885,'현황'!O:O,'현황'!O:O,,-1,-1),'현황'!O:S,4,false),0)</f>
        <v>0</v>
      </c>
      <c r="E2896" s="41"/>
      <c r="F2896" s="92" t="s">
        <v>40</v>
      </c>
      <c r="G2896" s="79"/>
      <c r="H2896" s="93"/>
      <c r="I2896" s="94"/>
      <c r="J2896" s="95"/>
      <c r="K2896" s="96"/>
      <c r="L2896" s="95"/>
      <c r="M2896" s="96"/>
      <c r="N2896" s="95"/>
      <c r="O2896" s="96"/>
      <c r="P2896" s="95"/>
      <c r="Q2896" s="96"/>
      <c r="R2896" s="95"/>
      <c r="S2896" s="96"/>
      <c r="T2896" s="95"/>
      <c r="U2896" s="96"/>
      <c r="V2896" s="95"/>
      <c r="W2896" s="96"/>
      <c r="X2896" s="95"/>
      <c r="Y2896" s="96"/>
      <c r="Z2896" s="97" t="b">
        <v>0</v>
      </c>
      <c r="AA2896" s="135">
        <f t="shared" si="1153"/>
        <v>0</v>
      </c>
      <c r="AB2896" s="136">
        <f t="shared" si="1154"/>
        <v>0</v>
      </c>
      <c r="AC2896" s="137">
        <f t="shared" si="1155"/>
        <v>0</v>
      </c>
      <c r="AD2896" s="138">
        <f t="shared" si="1156"/>
        <v>0</v>
      </c>
      <c r="AE2896" s="136">
        <f t="shared" si="1157"/>
        <v>0</v>
      </c>
      <c r="AF2896" s="138">
        <f t="shared" si="1158"/>
        <v>0</v>
      </c>
      <c r="AG2896" s="1"/>
    </row>
    <row r="2897" ht="21.0" customHeight="1">
      <c r="A2897" s="1"/>
      <c r="B2897" s="102" t="s">
        <v>48</v>
      </c>
      <c r="C2897" s="103"/>
      <c r="D2897" s="104">
        <f>iferror(D2896/D2894,0)</f>
        <v>0</v>
      </c>
      <c r="E2897" s="102" t="s">
        <v>49</v>
      </c>
      <c r="F2897" s="103"/>
      <c r="G2897" s="105"/>
      <c r="H2897" s="106" t="s">
        <v>50</v>
      </c>
      <c r="I2897" s="107"/>
      <c r="J2897" s="11"/>
      <c r="K2897" s="11"/>
      <c r="L2897" s="11"/>
      <c r="M2897" s="11"/>
      <c r="N2897" s="11"/>
      <c r="O2897" s="11"/>
      <c r="P2897" s="108" t="s">
        <v>51</v>
      </c>
      <c r="Q2897" s="12"/>
      <c r="R2897" s="109"/>
      <c r="S2897" s="11"/>
      <c r="T2897" s="11"/>
      <c r="U2897" s="11"/>
      <c r="V2897" s="11"/>
      <c r="W2897" s="11"/>
      <c r="X2897" s="11"/>
      <c r="Y2897" s="11"/>
      <c r="Z2897" s="12"/>
      <c r="AA2897" s="139">
        <f>SUM(AA2888:AA2896)</f>
        <v>0</v>
      </c>
      <c r="AB2897" s="140" t="s">
        <v>483</v>
      </c>
      <c r="AG2897" s="1"/>
    </row>
    <row r="2898" ht="21.0" customHeight="1">
      <c r="A2898" s="1"/>
      <c r="B2898" s="1"/>
      <c r="C2898" s="1"/>
      <c r="D2898" s="1"/>
      <c r="E2898" s="1"/>
      <c r="F2898" s="1"/>
      <c r="G2898" s="1"/>
      <c r="H2898" s="1"/>
      <c r="I2898" s="1"/>
      <c r="AA2898" s="1"/>
      <c r="AB2898" s="1"/>
      <c r="AC2898" s="3"/>
      <c r="AD2898" s="1"/>
      <c r="AE2898" s="1"/>
      <c r="AF2898" s="1"/>
      <c r="AG2898" s="1"/>
    </row>
    <row r="2899" ht="21.0" customHeight="1">
      <c r="A2899" s="1"/>
      <c r="B2899" s="4" t="s">
        <v>1</v>
      </c>
      <c r="C2899" s="5"/>
      <c r="D2899" s="6" t="s">
        <v>2</v>
      </c>
      <c r="E2899" s="7"/>
      <c r="F2899" s="7"/>
      <c r="G2899" s="5"/>
      <c r="H2899" s="8" t="s">
        <v>3</v>
      </c>
      <c r="I2899" s="8" t="s">
        <v>4</v>
      </c>
      <c r="J2899" s="9" t="s">
        <v>5</v>
      </c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5"/>
      <c r="AA2899" s="117" t="s">
        <v>6</v>
      </c>
      <c r="AB2899" s="11"/>
      <c r="AC2899" s="11"/>
      <c r="AD2899" s="11"/>
      <c r="AE2899" s="11"/>
      <c r="AF2899" s="12"/>
      <c r="AG2899" s="1"/>
    </row>
    <row r="2900" ht="21.0" customHeight="1">
      <c r="A2900" s="1"/>
      <c r="B2900" s="149" t="s">
        <v>138</v>
      </c>
      <c r="C2900" s="14" t="str">
        <f>if(B2900="0/0","",choose(weekday(B2900),"(일)","(월)","(화)","(수)","(목)","(금)","(토)"))</f>
        <v/>
      </c>
      <c r="D2900" s="15" t="s">
        <v>7</v>
      </c>
      <c r="E2900" s="16" t="s">
        <v>8</v>
      </c>
      <c r="F2900" s="17"/>
      <c r="G2900" s="18" t="s">
        <v>9</v>
      </c>
      <c r="H2900" s="150" t="s">
        <v>139</v>
      </c>
      <c r="I2900" s="151"/>
      <c r="J2900" s="21" t="s">
        <v>12</v>
      </c>
      <c r="K2900" s="22"/>
      <c r="L2900" s="21" t="s">
        <v>13</v>
      </c>
      <c r="M2900" s="22"/>
      <c r="N2900" s="21" t="s">
        <v>14</v>
      </c>
      <c r="O2900" s="22"/>
      <c r="P2900" s="21" t="s">
        <v>15</v>
      </c>
      <c r="Q2900" s="22"/>
      <c r="R2900" s="23" t="s">
        <v>16</v>
      </c>
      <c r="S2900" s="22"/>
      <c r="T2900" s="23" t="s">
        <v>17</v>
      </c>
      <c r="U2900" s="22"/>
      <c r="V2900" s="23" t="s">
        <v>18</v>
      </c>
      <c r="W2900" s="22"/>
      <c r="X2900" s="23" t="s">
        <v>19</v>
      </c>
      <c r="Y2900" s="22"/>
      <c r="Z2900" s="24" t="s">
        <v>484</v>
      </c>
      <c r="AA2900" s="118" t="s">
        <v>21</v>
      </c>
      <c r="AB2900" s="119" t="s">
        <v>22</v>
      </c>
      <c r="AC2900" s="7"/>
      <c r="AD2900" s="22"/>
      <c r="AE2900" s="120" t="s">
        <v>23</v>
      </c>
      <c r="AF2900" s="22"/>
      <c r="AG2900" s="1"/>
    </row>
    <row r="2901" ht="21.0" customHeight="1">
      <c r="A2901" s="1"/>
      <c r="B2901" s="27">
        <f>iferror(B2900-'현황'!$C$4+1,0)</f>
        <v>0</v>
      </c>
      <c r="C2901" s="28"/>
      <c r="D2901" s="29">
        <v>0.0</v>
      </c>
      <c r="E2901" s="30">
        <v>0.0</v>
      </c>
      <c r="F2901" s="31"/>
      <c r="G2901" s="32">
        <v>0.0</v>
      </c>
      <c r="H2901" s="33">
        <v>0.0</v>
      </c>
      <c r="I2901" s="34"/>
      <c r="J2901" s="35"/>
      <c r="K2901" s="36"/>
      <c r="L2901" s="35"/>
      <c r="M2901" s="36"/>
      <c r="N2901" s="35"/>
      <c r="O2901" s="36"/>
      <c r="P2901" s="35"/>
      <c r="Q2901" s="36"/>
      <c r="R2901" s="35"/>
      <c r="S2901" s="36"/>
      <c r="T2901" s="35"/>
      <c r="U2901" s="36"/>
      <c r="V2901" s="35"/>
      <c r="W2901" s="36"/>
      <c r="X2901" s="35"/>
      <c r="Y2901" s="36"/>
      <c r="Z2901" s="37"/>
      <c r="AA2901" s="37"/>
      <c r="AB2901" s="35"/>
      <c r="AC2901" s="38"/>
      <c r="AD2901" s="36"/>
      <c r="AE2901" s="35"/>
      <c r="AF2901" s="36"/>
      <c r="AG2901" s="1"/>
    </row>
    <row r="2902" ht="21.0" customHeight="1">
      <c r="A2902" s="1"/>
      <c r="B2902" s="39" t="s">
        <v>24</v>
      </c>
      <c r="C2902" s="40"/>
      <c r="D2902" s="41"/>
      <c r="E2902" s="42" t="s">
        <v>25</v>
      </c>
      <c r="F2902" s="40"/>
      <c r="G2902" s="41"/>
      <c r="H2902" s="43" t="s">
        <v>26</v>
      </c>
      <c r="J2902" s="44" t="s">
        <v>27</v>
      </c>
      <c r="K2902" s="45" t="s">
        <v>28</v>
      </c>
      <c r="L2902" s="44" t="s">
        <v>27</v>
      </c>
      <c r="M2902" s="45" t="s">
        <v>28</v>
      </c>
      <c r="N2902" s="44" t="s">
        <v>27</v>
      </c>
      <c r="O2902" s="45" t="s">
        <v>28</v>
      </c>
      <c r="P2902" s="44" t="s">
        <v>27</v>
      </c>
      <c r="Q2902" s="45" t="s">
        <v>28</v>
      </c>
      <c r="R2902" s="44" t="s">
        <v>27</v>
      </c>
      <c r="S2902" s="45" t="s">
        <v>28</v>
      </c>
      <c r="T2902" s="44" t="s">
        <v>27</v>
      </c>
      <c r="U2902" s="45" t="s">
        <v>28</v>
      </c>
      <c r="V2902" s="44" t="s">
        <v>27</v>
      </c>
      <c r="W2902" s="45" t="s">
        <v>28</v>
      </c>
      <c r="X2902" s="44" t="s">
        <v>27</v>
      </c>
      <c r="Y2902" s="45" t="s">
        <v>28</v>
      </c>
      <c r="Z2902" s="46"/>
      <c r="AA2902" s="46"/>
      <c r="AB2902" s="121" t="s">
        <v>29</v>
      </c>
      <c r="AC2902" s="122" t="s">
        <v>30</v>
      </c>
      <c r="AD2902" s="123" t="s">
        <v>31</v>
      </c>
      <c r="AE2902" s="121" t="s">
        <v>27</v>
      </c>
      <c r="AF2902" s="123" t="s">
        <v>28</v>
      </c>
      <c r="AG2902" s="1"/>
    </row>
    <row r="2903" ht="21.0" customHeight="1">
      <c r="A2903" s="1"/>
      <c r="B2903" s="48" t="s">
        <v>32</v>
      </c>
      <c r="C2903" s="49"/>
      <c r="D2903" s="50"/>
      <c r="E2903" s="51" t="s">
        <v>33</v>
      </c>
      <c r="F2903" s="52" t="s">
        <v>34</v>
      </c>
      <c r="G2903" s="53"/>
      <c r="H2903" s="148"/>
      <c r="I2903" s="55"/>
      <c r="J2903" s="58"/>
      <c r="K2903" s="59"/>
      <c r="L2903" s="58"/>
      <c r="M2903" s="59"/>
      <c r="N2903" s="58"/>
      <c r="O2903" s="59"/>
      <c r="P2903" s="58"/>
      <c r="Q2903" s="59"/>
      <c r="R2903" s="58"/>
      <c r="S2903" s="59"/>
      <c r="T2903" s="58"/>
      <c r="U2903" s="59"/>
      <c r="V2903" s="58"/>
      <c r="W2903" s="59"/>
      <c r="X2903" s="58"/>
      <c r="Y2903" s="59"/>
      <c r="Z2903" s="60" t="b">
        <v>0</v>
      </c>
      <c r="AA2903" s="125">
        <f t="shared" ref="AA2903:AA2911" si="1159">(J2903*K2903+L2903*M2903+N2903*O2903+P2903*Q2903+R2903*S2903+T2903*U2903+V2903*W2903+X2903*Y2903)*if(Z2903=true,0.453592,1)</f>
        <v>0</v>
      </c>
      <c r="AB2903" s="126">
        <f t="shared" ref="AB2903:AB2911" si="1160">SUM(AE2903*AF2903*0.025,AE2903)</f>
        <v>0</v>
      </c>
      <c r="AC2903" s="127">
        <f t="shared" ref="AC2903:AC2911" si="1161">AB2903*87%</f>
        <v>0</v>
      </c>
      <c r="AD2903" s="128">
        <f t="shared" ref="AD2903:AD2911" si="1162">AB2903*67%</f>
        <v>0</v>
      </c>
      <c r="AE2903" s="126">
        <f t="shared" ref="AE2903:AE2911" si="1163">MAX(J2903,L2903,N2903,P2903,R2903,T2903,V2903,X2903)*if(Z2903=true,0.453592,1)</f>
        <v>0</v>
      </c>
      <c r="AF2903" s="128">
        <f t="shared" ref="AF2903:AF2911" si="1164">MAX(IF(J2903*if(Z2903=true,0.453592,1)=$AE2903,K2903,0),IF(L2903*if(Z2903=true,0.453592,1)=$AE2903,M2903,0),IF(N2903*if(Z2903=true,0.453592,1)=$AE2903,O2903,0),IF(P2903*if(Z2903=true,0.453592,1)=$AE2903,Q2903,0),IF(R2903*if(Z2903=true,0.453592,1)=$AE2903,S2903,0),IF(T2903*if(Z2903=true,0.453592,1)=$AE2903,U2903,0),IF(V2903*if(Z2903=true,0.453592,1)=$AE2903,W2903,0),IF(X2903*if(Z2903=true,0.453592,1)=$AE2903,Y2903,0))</f>
        <v>0</v>
      </c>
      <c r="AG2903" s="1"/>
    </row>
    <row r="2904" ht="21.0" customHeight="1">
      <c r="A2904" s="1"/>
      <c r="B2904" s="48" t="s">
        <v>36</v>
      </c>
      <c r="C2904" s="49"/>
      <c r="D2904" s="65"/>
      <c r="E2904" s="66"/>
      <c r="F2904" s="52" t="s">
        <v>37</v>
      </c>
      <c r="G2904" s="67"/>
      <c r="H2904" s="129"/>
      <c r="I2904" s="69"/>
      <c r="J2904" s="72"/>
      <c r="K2904" s="73"/>
      <c r="L2904" s="72"/>
      <c r="M2904" s="73"/>
      <c r="N2904" s="72"/>
      <c r="O2904" s="73"/>
      <c r="P2904" s="72"/>
      <c r="Q2904" s="73"/>
      <c r="R2904" s="72"/>
      <c r="S2904" s="73"/>
      <c r="T2904" s="72"/>
      <c r="U2904" s="73"/>
      <c r="V2904" s="72"/>
      <c r="W2904" s="73"/>
      <c r="X2904" s="72"/>
      <c r="Y2904" s="73"/>
      <c r="Z2904" s="74" t="b">
        <v>0</v>
      </c>
      <c r="AA2904" s="130">
        <f t="shared" si="1159"/>
        <v>0</v>
      </c>
      <c r="AB2904" s="131">
        <f t="shared" si="1160"/>
        <v>0</v>
      </c>
      <c r="AC2904" s="132">
        <f t="shared" si="1161"/>
        <v>0</v>
      </c>
      <c r="AD2904" s="133">
        <f t="shared" si="1162"/>
        <v>0</v>
      </c>
      <c r="AE2904" s="131">
        <f t="shared" si="1163"/>
        <v>0</v>
      </c>
      <c r="AF2904" s="133">
        <f t="shared" si="1164"/>
        <v>0</v>
      </c>
      <c r="AG2904" s="1"/>
    </row>
    <row r="2905" ht="21.0" customHeight="1">
      <c r="A2905" s="1"/>
      <c r="B2905" s="48" t="s">
        <v>39</v>
      </c>
      <c r="C2905" s="49"/>
      <c r="D2905" s="65"/>
      <c r="E2905" s="41"/>
      <c r="F2905" s="52" t="s">
        <v>40</v>
      </c>
      <c r="G2905" s="79"/>
      <c r="H2905" s="80"/>
      <c r="I2905" s="69"/>
      <c r="J2905" s="72"/>
      <c r="K2905" s="73"/>
      <c r="L2905" s="72"/>
      <c r="M2905" s="73"/>
      <c r="N2905" s="72"/>
      <c r="O2905" s="73"/>
      <c r="P2905" s="72"/>
      <c r="Q2905" s="73"/>
      <c r="R2905" s="72"/>
      <c r="S2905" s="73"/>
      <c r="T2905" s="72"/>
      <c r="U2905" s="73"/>
      <c r="V2905" s="72"/>
      <c r="W2905" s="73"/>
      <c r="X2905" s="72"/>
      <c r="Y2905" s="73"/>
      <c r="Z2905" s="74" t="b">
        <v>0</v>
      </c>
      <c r="AA2905" s="130">
        <f t="shared" si="1159"/>
        <v>0</v>
      </c>
      <c r="AB2905" s="131">
        <f t="shared" si="1160"/>
        <v>0</v>
      </c>
      <c r="AC2905" s="132">
        <f t="shared" si="1161"/>
        <v>0</v>
      </c>
      <c r="AD2905" s="133">
        <f t="shared" si="1162"/>
        <v>0</v>
      </c>
      <c r="AE2905" s="131">
        <f t="shared" si="1163"/>
        <v>0</v>
      </c>
      <c r="AF2905" s="133">
        <f t="shared" si="1164"/>
        <v>0</v>
      </c>
      <c r="AG2905" s="1"/>
    </row>
    <row r="2906" ht="21.0" customHeight="1">
      <c r="A2906" s="1"/>
      <c r="B2906" s="48" t="s">
        <v>41</v>
      </c>
      <c r="C2906" s="81"/>
      <c r="D2906" s="82" t="b">
        <v>0</v>
      </c>
      <c r="E2906" s="51" t="s">
        <v>42</v>
      </c>
      <c r="F2906" s="52" t="s">
        <v>34</v>
      </c>
      <c r="G2906" s="83"/>
      <c r="H2906" s="84"/>
      <c r="I2906" s="85"/>
      <c r="J2906" s="72"/>
      <c r="K2906" s="73"/>
      <c r="L2906" s="72"/>
      <c r="M2906" s="73"/>
      <c r="N2906" s="72"/>
      <c r="O2906" s="73"/>
      <c r="P2906" s="72"/>
      <c r="Q2906" s="73"/>
      <c r="R2906" s="72"/>
      <c r="S2906" s="73"/>
      <c r="T2906" s="72"/>
      <c r="U2906" s="73"/>
      <c r="V2906" s="72"/>
      <c r="W2906" s="73"/>
      <c r="X2906" s="72"/>
      <c r="Y2906" s="73"/>
      <c r="Z2906" s="74" t="b">
        <v>0</v>
      </c>
      <c r="AA2906" s="130">
        <f t="shared" si="1159"/>
        <v>0</v>
      </c>
      <c r="AB2906" s="131">
        <f t="shared" si="1160"/>
        <v>0</v>
      </c>
      <c r="AC2906" s="132">
        <f t="shared" si="1161"/>
        <v>0</v>
      </c>
      <c r="AD2906" s="133">
        <f t="shared" si="1162"/>
        <v>0</v>
      </c>
      <c r="AE2906" s="131">
        <f t="shared" si="1163"/>
        <v>0</v>
      </c>
      <c r="AF2906" s="133">
        <f t="shared" si="1164"/>
        <v>0</v>
      </c>
      <c r="AG2906" s="1"/>
    </row>
    <row r="2907" ht="21.0" customHeight="1">
      <c r="A2907" s="1"/>
      <c r="B2907" s="48" t="s">
        <v>43</v>
      </c>
      <c r="C2907" s="49"/>
      <c r="D2907" s="86" t="b">
        <v>0</v>
      </c>
      <c r="E2907" s="66"/>
      <c r="F2907" s="52" t="s">
        <v>37</v>
      </c>
      <c r="G2907" s="67"/>
      <c r="H2907" s="80"/>
      <c r="I2907" s="69"/>
      <c r="J2907" s="72"/>
      <c r="K2907" s="73"/>
      <c r="L2907" s="72"/>
      <c r="M2907" s="73"/>
      <c r="N2907" s="72"/>
      <c r="O2907" s="73"/>
      <c r="P2907" s="72"/>
      <c r="Q2907" s="73"/>
      <c r="R2907" s="72"/>
      <c r="S2907" s="73"/>
      <c r="T2907" s="72"/>
      <c r="U2907" s="73"/>
      <c r="V2907" s="72"/>
      <c r="W2907" s="73"/>
      <c r="X2907" s="72"/>
      <c r="Y2907" s="73"/>
      <c r="Z2907" s="74" t="b">
        <v>0</v>
      </c>
      <c r="AA2907" s="130">
        <f t="shared" si="1159"/>
        <v>0</v>
      </c>
      <c r="AB2907" s="131">
        <f t="shared" si="1160"/>
        <v>0</v>
      </c>
      <c r="AC2907" s="132">
        <f t="shared" si="1161"/>
        <v>0</v>
      </c>
      <c r="AD2907" s="133">
        <f t="shared" si="1162"/>
        <v>0</v>
      </c>
      <c r="AE2907" s="131">
        <f t="shared" si="1163"/>
        <v>0</v>
      </c>
      <c r="AF2907" s="133">
        <f t="shared" si="1164"/>
        <v>0</v>
      </c>
      <c r="AG2907" s="1"/>
    </row>
    <row r="2908" ht="21.0" customHeight="1">
      <c r="A2908" s="1"/>
      <c r="B2908" s="87" t="str">
        <f t="array" ref="B2908">"📌최근 인바디 결과 : "&amp;text(xlookup(B2900,'현황'!O:O,'현황'!O:O,,-1,-1),"m/d(ddd)")</f>
        <v>#REF!</v>
      </c>
      <c r="C2908" s="88"/>
      <c r="D2908" s="49"/>
      <c r="E2908" s="41"/>
      <c r="F2908" s="52" t="s">
        <v>40</v>
      </c>
      <c r="G2908" s="79"/>
      <c r="H2908" s="80"/>
      <c r="I2908" s="69"/>
      <c r="J2908" s="72"/>
      <c r="K2908" s="73"/>
      <c r="L2908" s="72"/>
      <c r="M2908" s="73"/>
      <c r="N2908" s="72"/>
      <c r="O2908" s="73"/>
      <c r="P2908" s="72"/>
      <c r="Q2908" s="73"/>
      <c r="R2908" s="72"/>
      <c r="S2908" s="73"/>
      <c r="T2908" s="72"/>
      <c r="U2908" s="73"/>
      <c r="V2908" s="72"/>
      <c r="W2908" s="73"/>
      <c r="X2908" s="72"/>
      <c r="Y2908" s="73"/>
      <c r="Z2908" s="74" t="b">
        <v>0</v>
      </c>
      <c r="AA2908" s="130">
        <f t="shared" si="1159"/>
        <v>0</v>
      </c>
      <c r="AB2908" s="131">
        <f t="shared" si="1160"/>
        <v>0</v>
      </c>
      <c r="AC2908" s="132">
        <f t="shared" si="1161"/>
        <v>0</v>
      </c>
      <c r="AD2908" s="133">
        <f t="shared" si="1162"/>
        <v>0</v>
      </c>
      <c r="AE2908" s="131">
        <f t="shared" si="1163"/>
        <v>0</v>
      </c>
      <c r="AF2908" s="133">
        <f t="shared" si="1164"/>
        <v>0</v>
      </c>
      <c r="AG2908" s="1"/>
    </row>
    <row r="2909" ht="21.0" customHeight="1">
      <c r="A2909" s="1"/>
      <c r="B2909" s="89" t="s">
        <v>44</v>
      </c>
      <c r="C2909" s="49"/>
      <c r="D2909" s="90">
        <f t="array" ref="D2909">iferror(vlookup(xlookup(B2900,'현황'!O:O,'현황'!O:O,,-1,-1),'현황'!O:S,2,false),0)</f>
        <v>0</v>
      </c>
      <c r="E2909" s="51" t="s">
        <v>45</v>
      </c>
      <c r="F2909" s="52" t="s">
        <v>34</v>
      </c>
      <c r="G2909" s="83"/>
      <c r="H2909" s="84"/>
      <c r="I2909" s="85"/>
      <c r="J2909" s="72"/>
      <c r="K2909" s="73"/>
      <c r="L2909" s="72"/>
      <c r="M2909" s="73"/>
      <c r="N2909" s="72"/>
      <c r="O2909" s="73"/>
      <c r="P2909" s="72"/>
      <c r="Q2909" s="73"/>
      <c r="R2909" s="72"/>
      <c r="S2909" s="73"/>
      <c r="T2909" s="72"/>
      <c r="U2909" s="73"/>
      <c r="V2909" s="72"/>
      <c r="W2909" s="73"/>
      <c r="X2909" s="72"/>
      <c r="Y2909" s="73"/>
      <c r="Z2909" s="74" t="b">
        <v>0</v>
      </c>
      <c r="AA2909" s="130">
        <f t="shared" si="1159"/>
        <v>0</v>
      </c>
      <c r="AB2909" s="131">
        <f t="shared" si="1160"/>
        <v>0</v>
      </c>
      <c r="AC2909" s="132">
        <f t="shared" si="1161"/>
        <v>0</v>
      </c>
      <c r="AD2909" s="133">
        <f t="shared" si="1162"/>
        <v>0</v>
      </c>
      <c r="AE2909" s="131">
        <f t="shared" si="1163"/>
        <v>0</v>
      </c>
      <c r="AF2909" s="133">
        <f t="shared" si="1164"/>
        <v>0</v>
      </c>
      <c r="AG2909" s="1"/>
    </row>
    <row r="2910" ht="21.0" customHeight="1">
      <c r="A2910" s="1"/>
      <c r="B2910" s="48" t="s">
        <v>46</v>
      </c>
      <c r="C2910" s="49"/>
      <c r="D2910" s="91">
        <f t="array" ref="D2910">iferror(vlookup(xlookup(B2900,'현황'!O:O,'현황'!O:O,,-1,-1),'현황'!O:S,3,false),0)</f>
        <v>0</v>
      </c>
      <c r="E2910" s="66"/>
      <c r="F2910" s="52" t="s">
        <v>37</v>
      </c>
      <c r="G2910" s="67"/>
      <c r="H2910" s="80"/>
      <c r="I2910" s="69"/>
      <c r="J2910" s="72"/>
      <c r="K2910" s="73"/>
      <c r="L2910" s="72"/>
      <c r="M2910" s="73"/>
      <c r="N2910" s="72"/>
      <c r="O2910" s="73"/>
      <c r="P2910" s="72"/>
      <c r="Q2910" s="73"/>
      <c r="R2910" s="72"/>
      <c r="S2910" s="73"/>
      <c r="T2910" s="72"/>
      <c r="U2910" s="73"/>
      <c r="V2910" s="72"/>
      <c r="W2910" s="73"/>
      <c r="X2910" s="72"/>
      <c r="Y2910" s="73"/>
      <c r="Z2910" s="74" t="b">
        <v>0</v>
      </c>
      <c r="AA2910" s="130">
        <f t="shared" si="1159"/>
        <v>0</v>
      </c>
      <c r="AB2910" s="131">
        <f t="shared" si="1160"/>
        <v>0</v>
      </c>
      <c r="AC2910" s="132">
        <f t="shared" si="1161"/>
        <v>0</v>
      </c>
      <c r="AD2910" s="133">
        <f t="shared" si="1162"/>
        <v>0</v>
      </c>
      <c r="AE2910" s="131">
        <f t="shared" si="1163"/>
        <v>0</v>
      </c>
      <c r="AF2910" s="133">
        <f t="shared" si="1164"/>
        <v>0</v>
      </c>
      <c r="AG2910" s="1"/>
    </row>
    <row r="2911" ht="21.0" customHeight="1">
      <c r="A2911" s="1"/>
      <c r="B2911" s="48" t="s">
        <v>47</v>
      </c>
      <c r="C2911" s="49"/>
      <c r="D2911" s="91">
        <f t="array" ref="D2911">iferror(vlookup(xlookup(B2900,'현황'!O:O,'현황'!O:O,,-1,-1),'현황'!O:S,4,false),0)</f>
        <v>0</v>
      </c>
      <c r="E2911" s="41"/>
      <c r="F2911" s="92" t="s">
        <v>40</v>
      </c>
      <c r="G2911" s="79"/>
      <c r="H2911" s="93"/>
      <c r="I2911" s="94"/>
      <c r="J2911" s="95"/>
      <c r="K2911" s="96"/>
      <c r="L2911" s="95"/>
      <c r="M2911" s="96"/>
      <c r="N2911" s="95"/>
      <c r="O2911" s="96"/>
      <c r="P2911" s="95"/>
      <c r="Q2911" s="96"/>
      <c r="R2911" s="95"/>
      <c r="S2911" s="96"/>
      <c r="T2911" s="95"/>
      <c r="U2911" s="96"/>
      <c r="V2911" s="95"/>
      <c r="W2911" s="96"/>
      <c r="X2911" s="95"/>
      <c r="Y2911" s="96"/>
      <c r="Z2911" s="97" t="b">
        <v>0</v>
      </c>
      <c r="AA2911" s="135">
        <f t="shared" si="1159"/>
        <v>0</v>
      </c>
      <c r="AB2911" s="136">
        <f t="shared" si="1160"/>
        <v>0</v>
      </c>
      <c r="AC2911" s="137">
        <f t="shared" si="1161"/>
        <v>0</v>
      </c>
      <c r="AD2911" s="138">
        <f t="shared" si="1162"/>
        <v>0</v>
      </c>
      <c r="AE2911" s="136">
        <f t="shared" si="1163"/>
        <v>0</v>
      </c>
      <c r="AF2911" s="138">
        <f t="shared" si="1164"/>
        <v>0</v>
      </c>
      <c r="AG2911" s="1"/>
    </row>
    <row r="2912" ht="21.0" customHeight="1">
      <c r="A2912" s="1"/>
      <c r="B2912" s="102" t="s">
        <v>48</v>
      </c>
      <c r="C2912" s="103"/>
      <c r="D2912" s="104">
        <f>iferror(D2911/D2909,0)</f>
        <v>0</v>
      </c>
      <c r="E2912" s="102" t="s">
        <v>49</v>
      </c>
      <c r="F2912" s="103"/>
      <c r="G2912" s="105"/>
      <c r="H2912" s="106" t="s">
        <v>50</v>
      </c>
      <c r="I2912" s="107"/>
      <c r="J2912" s="11"/>
      <c r="K2912" s="11"/>
      <c r="L2912" s="11"/>
      <c r="M2912" s="11"/>
      <c r="N2912" s="11"/>
      <c r="O2912" s="11"/>
      <c r="P2912" s="108" t="s">
        <v>51</v>
      </c>
      <c r="Q2912" s="12"/>
      <c r="R2912" s="109"/>
      <c r="S2912" s="11"/>
      <c r="T2912" s="11"/>
      <c r="U2912" s="11"/>
      <c r="V2912" s="11"/>
      <c r="W2912" s="11"/>
      <c r="X2912" s="11"/>
      <c r="Y2912" s="11"/>
      <c r="Z2912" s="12"/>
      <c r="AA2912" s="139">
        <f>SUM(AA2903:AA2911)</f>
        <v>0</v>
      </c>
      <c r="AB2912" s="140" t="s">
        <v>485</v>
      </c>
      <c r="AG2912" s="1"/>
    </row>
    <row r="2913" ht="21.0" customHeight="1">
      <c r="A2913" s="1"/>
      <c r="B2913" s="1"/>
      <c r="C2913" s="1"/>
      <c r="D2913" s="1"/>
      <c r="E2913" s="1"/>
      <c r="F2913" s="1"/>
      <c r="G2913" s="1"/>
      <c r="H2913" s="1"/>
      <c r="I2913" s="1"/>
      <c r="AA2913" s="1"/>
      <c r="AB2913" s="1"/>
      <c r="AC2913" s="3"/>
      <c r="AD2913" s="1"/>
      <c r="AE2913" s="1"/>
      <c r="AF2913" s="1"/>
      <c r="AG2913" s="1"/>
    </row>
    <row r="2914" ht="21.0" customHeight="1">
      <c r="A2914" s="1"/>
      <c r="B2914" s="4" t="s">
        <v>1</v>
      </c>
      <c r="C2914" s="5"/>
      <c r="D2914" s="6" t="s">
        <v>2</v>
      </c>
      <c r="E2914" s="7"/>
      <c r="F2914" s="7"/>
      <c r="G2914" s="5"/>
      <c r="H2914" s="8" t="s">
        <v>3</v>
      </c>
      <c r="I2914" s="8" t="s">
        <v>4</v>
      </c>
      <c r="J2914" s="9" t="s">
        <v>5</v>
      </c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5"/>
      <c r="AA2914" s="117" t="s">
        <v>6</v>
      </c>
      <c r="AB2914" s="11"/>
      <c r="AC2914" s="11"/>
      <c r="AD2914" s="11"/>
      <c r="AE2914" s="11"/>
      <c r="AF2914" s="12"/>
      <c r="AG2914" s="1"/>
    </row>
    <row r="2915" ht="21.0" customHeight="1">
      <c r="A2915" s="1"/>
      <c r="B2915" s="149" t="s">
        <v>138</v>
      </c>
      <c r="C2915" s="14" t="str">
        <f>if(B2915="0/0","",choose(weekday(B2915),"(일)","(월)","(화)","(수)","(목)","(금)","(토)"))</f>
        <v/>
      </c>
      <c r="D2915" s="15" t="s">
        <v>7</v>
      </c>
      <c r="E2915" s="16" t="s">
        <v>8</v>
      </c>
      <c r="F2915" s="17"/>
      <c r="G2915" s="18" t="s">
        <v>9</v>
      </c>
      <c r="H2915" s="150" t="s">
        <v>139</v>
      </c>
      <c r="I2915" s="151"/>
      <c r="J2915" s="21" t="s">
        <v>12</v>
      </c>
      <c r="K2915" s="22"/>
      <c r="L2915" s="21" t="s">
        <v>13</v>
      </c>
      <c r="M2915" s="22"/>
      <c r="N2915" s="21" t="s">
        <v>14</v>
      </c>
      <c r="O2915" s="22"/>
      <c r="P2915" s="21" t="s">
        <v>15</v>
      </c>
      <c r="Q2915" s="22"/>
      <c r="R2915" s="23" t="s">
        <v>16</v>
      </c>
      <c r="S2915" s="22"/>
      <c r="T2915" s="23" t="s">
        <v>17</v>
      </c>
      <c r="U2915" s="22"/>
      <c r="V2915" s="23" t="s">
        <v>18</v>
      </c>
      <c r="W2915" s="22"/>
      <c r="X2915" s="23" t="s">
        <v>19</v>
      </c>
      <c r="Y2915" s="22"/>
      <c r="Z2915" s="24" t="s">
        <v>486</v>
      </c>
      <c r="AA2915" s="118" t="s">
        <v>21</v>
      </c>
      <c r="AB2915" s="119" t="s">
        <v>22</v>
      </c>
      <c r="AC2915" s="7"/>
      <c r="AD2915" s="22"/>
      <c r="AE2915" s="120" t="s">
        <v>23</v>
      </c>
      <c r="AF2915" s="22"/>
      <c r="AG2915" s="1"/>
    </row>
    <row r="2916" ht="21.0" customHeight="1">
      <c r="A2916" s="1"/>
      <c r="B2916" s="27">
        <f>iferror(B2915-'현황'!$C$4+1,0)</f>
        <v>0</v>
      </c>
      <c r="C2916" s="28"/>
      <c r="D2916" s="29">
        <v>0.0</v>
      </c>
      <c r="E2916" s="30">
        <v>0.0</v>
      </c>
      <c r="F2916" s="31"/>
      <c r="G2916" s="32">
        <v>0.0</v>
      </c>
      <c r="H2916" s="33">
        <v>0.0</v>
      </c>
      <c r="I2916" s="34"/>
      <c r="J2916" s="35"/>
      <c r="K2916" s="36"/>
      <c r="L2916" s="35"/>
      <c r="M2916" s="36"/>
      <c r="N2916" s="35"/>
      <c r="O2916" s="36"/>
      <c r="P2916" s="35"/>
      <c r="Q2916" s="36"/>
      <c r="R2916" s="35"/>
      <c r="S2916" s="36"/>
      <c r="T2916" s="35"/>
      <c r="U2916" s="36"/>
      <c r="V2916" s="35"/>
      <c r="W2916" s="36"/>
      <c r="X2916" s="35"/>
      <c r="Y2916" s="36"/>
      <c r="Z2916" s="37"/>
      <c r="AA2916" s="37"/>
      <c r="AB2916" s="35"/>
      <c r="AC2916" s="38"/>
      <c r="AD2916" s="36"/>
      <c r="AE2916" s="35"/>
      <c r="AF2916" s="36"/>
      <c r="AG2916" s="1"/>
    </row>
    <row r="2917" ht="21.0" customHeight="1">
      <c r="A2917" s="1"/>
      <c r="B2917" s="39" t="s">
        <v>24</v>
      </c>
      <c r="C2917" s="40"/>
      <c r="D2917" s="41"/>
      <c r="E2917" s="42" t="s">
        <v>25</v>
      </c>
      <c r="F2917" s="40"/>
      <c r="G2917" s="41"/>
      <c r="H2917" s="43" t="s">
        <v>26</v>
      </c>
      <c r="J2917" s="44" t="s">
        <v>27</v>
      </c>
      <c r="K2917" s="45" t="s">
        <v>28</v>
      </c>
      <c r="L2917" s="44" t="s">
        <v>27</v>
      </c>
      <c r="M2917" s="45" t="s">
        <v>28</v>
      </c>
      <c r="N2917" s="44" t="s">
        <v>27</v>
      </c>
      <c r="O2917" s="45" t="s">
        <v>28</v>
      </c>
      <c r="P2917" s="44" t="s">
        <v>27</v>
      </c>
      <c r="Q2917" s="45" t="s">
        <v>28</v>
      </c>
      <c r="R2917" s="44" t="s">
        <v>27</v>
      </c>
      <c r="S2917" s="45" t="s">
        <v>28</v>
      </c>
      <c r="T2917" s="44" t="s">
        <v>27</v>
      </c>
      <c r="U2917" s="45" t="s">
        <v>28</v>
      </c>
      <c r="V2917" s="44" t="s">
        <v>27</v>
      </c>
      <c r="W2917" s="45" t="s">
        <v>28</v>
      </c>
      <c r="X2917" s="44" t="s">
        <v>27</v>
      </c>
      <c r="Y2917" s="45" t="s">
        <v>28</v>
      </c>
      <c r="Z2917" s="46"/>
      <c r="AA2917" s="46"/>
      <c r="AB2917" s="121" t="s">
        <v>29</v>
      </c>
      <c r="AC2917" s="122" t="s">
        <v>30</v>
      </c>
      <c r="AD2917" s="123" t="s">
        <v>31</v>
      </c>
      <c r="AE2917" s="121" t="s">
        <v>27</v>
      </c>
      <c r="AF2917" s="123" t="s">
        <v>28</v>
      </c>
      <c r="AG2917" s="1"/>
    </row>
    <row r="2918" ht="21.0" customHeight="1">
      <c r="A2918" s="1"/>
      <c r="B2918" s="48" t="s">
        <v>32</v>
      </c>
      <c r="C2918" s="49"/>
      <c r="D2918" s="50"/>
      <c r="E2918" s="51" t="s">
        <v>33</v>
      </c>
      <c r="F2918" s="52" t="s">
        <v>34</v>
      </c>
      <c r="G2918" s="53"/>
      <c r="H2918" s="148"/>
      <c r="I2918" s="55"/>
      <c r="J2918" s="58"/>
      <c r="K2918" s="59"/>
      <c r="L2918" s="58"/>
      <c r="M2918" s="59"/>
      <c r="N2918" s="58"/>
      <c r="O2918" s="59"/>
      <c r="P2918" s="58"/>
      <c r="Q2918" s="59"/>
      <c r="R2918" s="58"/>
      <c r="S2918" s="59"/>
      <c r="T2918" s="58"/>
      <c r="U2918" s="59"/>
      <c r="V2918" s="58"/>
      <c r="W2918" s="59"/>
      <c r="X2918" s="58"/>
      <c r="Y2918" s="59"/>
      <c r="Z2918" s="60" t="b">
        <v>0</v>
      </c>
      <c r="AA2918" s="125">
        <f t="shared" ref="AA2918:AA2926" si="1165">(J2918*K2918+L2918*M2918+N2918*O2918+P2918*Q2918+R2918*S2918+T2918*U2918+V2918*W2918+X2918*Y2918)*if(Z2918=true,0.453592,1)</f>
        <v>0</v>
      </c>
      <c r="AB2918" s="126">
        <f t="shared" ref="AB2918:AB2926" si="1166">SUM(AE2918*AF2918*0.025,AE2918)</f>
        <v>0</v>
      </c>
      <c r="AC2918" s="127">
        <f t="shared" ref="AC2918:AC2926" si="1167">AB2918*87%</f>
        <v>0</v>
      </c>
      <c r="AD2918" s="128">
        <f t="shared" ref="AD2918:AD2926" si="1168">AB2918*67%</f>
        <v>0</v>
      </c>
      <c r="AE2918" s="126">
        <f t="shared" ref="AE2918:AE2926" si="1169">MAX(J2918,L2918,N2918,P2918,R2918,T2918,V2918,X2918)*if(Z2918=true,0.453592,1)</f>
        <v>0</v>
      </c>
      <c r="AF2918" s="128">
        <f t="shared" ref="AF2918:AF2926" si="1170">MAX(IF(J2918*if(Z2918=true,0.453592,1)=$AE2918,K2918,0),IF(L2918*if(Z2918=true,0.453592,1)=$AE2918,M2918,0),IF(N2918*if(Z2918=true,0.453592,1)=$AE2918,O2918,0),IF(P2918*if(Z2918=true,0.453592,1)=$AE2918,Q2918,0),IF(R2918*if(Z2918=true,0.453592,1)=$AE2918,S2918,0),IF(T2918*if(Z2918=true,0.453592,1)=$AE2918,U2918,0),IF(V2918*if(Z2918=true,0.453592,1)=$AE2918,W2918,0),IF(X2918*if(Z2918=true,0.453592,1)=$AE2918,Y2918,0))</f>
        <v>0</v>
      </c>
      <c r="AG2918" s="1"/>
    </row>
    <row r="2919" ht="21.0" customHeight="1">
      <c r="A2919" s="1"/>
      <c r="B2919" s="48" t="s">
        <v>36</v>
      </c>
      <c r="C2919" s="49"/>
      <c r="D2919" s="65"/>
      <c r="E2919" s="66"/>
      <c r="F2919" s="52" t="s">
        <v>37</v>
      </c>
      <c r="G2919" s="67"/>
      <c r="H2919" s="129"/>
      <c r="I2919" s="69"/>
      <c r="J2919" s="72"/>
      <c r="K2919" s="73"/>
      <c r="L2919" s="72"/>
      <c r="M2919" s="73"/>
      <c r="N2919" s="72"/>
      <c r="O2919" s="73"/>
      <c r="P2919" s="72"/>
      <c r="Q2919" s="73"/>
      <c r="R2919" s="72"/>
      <c r="S2919" s="73"/>
      <c r="T2919" s="72"/>
      <c r="U2919" s="73"/>
      <c r="V2919" s="72"/>
      <c r="W2919" s="73"/>
      <c r="X2919" s="72"/>
      <c r="Y2919" s="73"/>
      <c r="Z2919" s="74" t="b">
        <v>0</v>
      </c>
      <c r="AA2919" s="130">
        <f t="shared" si="1165"/>
        <v>0</v>
      </c>
      <c r="AB2919" s="131">
        <f t="shared" si="1166"/>
        <v>0</v>
      </c>
      <c r="AC2919" s="132">
        <f t="shared" si="1167"/>
        <v>0</v>
      </c>
      <c r="AD2919" s="133">
        <f t="shared" si="1168"/>
        <v>0</v>
      </c>
      <c r="AE2919" s="131">
        <f t="shared" si="1169"/>
        <v>0</v>
      </c>
      <c r="AF2919" s="133">
        <f t="shared" si="1170"/>
        <v>0</v>
      </c>
      <c r="AG2919" s="1"/>
    </row>
    <row r="2920" ht="21.0" customHeight="1">
      <c r="A2920" s="1"/>
      <c r="B2920" s="48" t="s">
        <v>39</v>
      </c>
      <c r="C2920" s="49"/>
      <c r="D2920" s="65"/>
      <c r="E2920" s="41"/>
      <c r="F2920" s="52" t="s">
        <v>40</v>
      </c>
      <c r="G2920" s="79"/>
      <c r="H2920" s="80"/>
      <c r="I2920" s="69"/>
      <c r="J2920" s="72"/>
      <c r="K2920" s="73"/>
      <c r="L2920" s="72"/>
      <c r="M2920" s="73"/>
      <c r="N2920" s="72"/>
      <c r="O2920" s="73"/>
      <c r="P2920" s="72"/>
      <c r="Q2920" s="73"/>
      <c r="R2920" s="72"/>
      <c r="S2920" s="73"/>
      <c r="T2920" s="72"/>
      <c r="U2920" s="73"/>
      <c r="V2920" s="72"/>
      <c r="W2920" s="73"/>
      <c r="X2920" s="72"/>
      <c r="Y2920" s="73"/>
      <c r="Z2920" s="74" t="b">
        <v>0</v>
      </c>
      <c r="AA2920" s="130">
        <f t="shared" si="1165"/>
        <v>0</v>
      </c>
      <c r="AB2920" s="131">
        <f t="shared" si="1166"/>
        <v>0</v>
      </c>
      <c r="AC2920" s="132">
        <f t="shared" si="1167"/>
        <v>0</v>
      </c>
      <c r="AD2920" s="133">
        <f t="shared" si="1168"/>
        <v>0</v>
      </c>
      <c r="AE2920" s="131">
        <f t="shared" si="1169"/>
        <v>0</v>
      </c>
      <c r="AF2920" s="133">
        <f t="shared" si="1170"/>
        <v>0</v>
      </c>
      <c r="AG2920" s="1"/>
    </row>
    <row r="2921" ht="21.0" customHeight="1">
      <c r="A2921" s="1"/>
      <c r="B2921" s="48" t="s">
        <v>41</v>
      </c>
      <c r="C2921" s="81"/>
      <c r="D2921" s="82" t="b">
        <v>0</v>
      </c>
      <c r="E2921" s="51" t="s">
        <v>42</v>
      </c>
      <c r="F2921" s="52" t="s">
        <v>34</v>
      </c>
      <c r="G2921" s="83"/>
      <c r="H2921" s="84"/>
      <c r="I2921" s="85"/>
      <c r="J2921" s="72"/>
      <c r="K2921" s="73"/>
      <c r="L2921" s="72"/>
      <c r="M2921" s="73"/>
      <c r="N2921" s="72"/>
      <c r="O2921" s="73"/>
      <c r="P2921" s="72"/>
      <c r="Q2921" s="73"/>
      <c r="R2921" s="72"/>
      <c r="S2921" s="73"/>
      <c r="T2921" s="72"/>
      <c r="U2921" s="73"/>
      <c r="V2921" s="72"/>
      <c r="W2921" s="73"/>
      <c r="X2921" s="72"/>
      <c r="Y2921" s="73"/>
      <c r="Z2921" s="74" t="b">
        <v>0</v>
      </c>
      <c r="AA2921" s="130">
        <f t="shared" si="1165"/>
        <v>0</v>
      </c>
      <c r="AB2921" s="131">
        <f t="shared" si="1166"/>
        <v>0</v>
      </c>
      <c r="AC2921" s="132">
        <f t="shared" si="1167"/>
        <v>0</v>
      </c>
      <c r="AD2921" s="133">
        <f t="shared" si="1168"/>
        <v>0</v>
      </c>
      <c r="AE2921" s="131">
        <f t="shared" si="1169"/>
        <v>0</v>
      </c>
      <c r="AF2921" s="133">
        <f t="shared" si="1170"/>
        <v>0</v>
      </c>
      <c r="AG2921" s="1"/>
    </row>
    <row r="2922" ht="21.0" customHeight="1">
      <c r="A2922" s="1"/>
      <c r="B2922" s="48" t="s">
        <v>43</v>
      </c>
      <c r="C2922" s="49"/>
      <c r="D2922" s="86" t="b">
        <v>0</v>
      </c>
      <c r="E2922" s="66"/>
      <c r="F2922" s="52" t="s">
        <v>37</v>
      </c>
      <c r="G2922" s="67"/>
      <c r="H2922" s="80"/>
      <c r="I2922" s="69"/>
      <c r="J2922" s="72"/>
      <c r="K2922" s="73"/>
      <c r="L2922" s="72"/>
      <c r="M2922" s="73"/>
      <c r="N2922" s="72"/>
      <c r="O2922" s="73"/>
      <c r="P2922" s="72"/>
      <c r="Q2922" s="73"/>
      <c r="R2922" s="72"/>
      <c r="S2922" s="73"/>
      <c r="T2922" s="72"/>
      <c r="U2922" s="73"/>
      <c r="V2922" s="72"/>
      <c r="W2922" s="73"/>
      <c r="X2922" s="72"/>
      <c r="Y2922" s="73"/>
      <c r="Z2922" s="74" t="b">
        <v>0</v>
      </c>
      <c r="AA2922" s="130">
        <f t="shared" si="1165"/>
        <v>0</v>
      </c>
      <c r="AB2922" s="131">
        <f t="shared" si="1166"/>
        <v>0</v>
      </c>
      <c r="AC2922" s="132">
        <f t="shared" si="1167"/>
        <v>0</v>
      </c>
      <c r="AD2922" s="133">
        <f t="shared" si="1168"/>
        <v>0</v>
      </c>
      <c r="AE2922" s="131">
        <f t="shared" si="1169"/>
        <v>0</v>
      </c>
      <c r="AF2922" s="133">
        <f t="shared" si="1170"/>
        <v>0</v>
      </c>
      <c r="AG2922" s="1"/>
    </row>
    <row r="2923" ht="21.0" customHeight="1">
      <c r="A2923" s="1"/>
      <c r="B2923" s="87" t="str">
        <f t="array" ref="B2923">"📌최근 인바디 결과 : "&amp;text(xlookup(B2915,'현황'!O:O,'현황'!O:O,,-1,-1),"m/d(ddd)")</f>
        <v>#REF!</v>
      </c>
      <c r="C2923" s="88"/>
      <c r="D2923" s="49"/>
      <c r="E2923" s="41"/>
      <c r="F2923" s="52" t="s">
        <v>40</v>
      </c>
      <c r="G2923" s="79"/>
      <c r="H2923" s="80"/>
      <c r="I2923" s="69"/>
      <c r="J2923" s="72"/>
      <c r="K2923" s="73"/>
      <c r="L2923" s="72"/>
      <c r="M2923" s="73"/>
      <c r="N2923" s="72"/>
      <c r="O2923" s="73"/>
      <c r="P2923" s="72"/>
      <c r="Q2923" s="73"/>
      <c r="R2923" s="72"/>
      <c r="S2923" s="73"/>
      <c r="T2923" s="72"/>
      <c r="U2923" s="73"/>
      <c r="V2923" s="72"/>
      <c r="W2923" s="73"/>
      <c r="X2923" s="72"/>
      <c r="Y2923" s="73"/>
      <c r="Z2923" s="74" t="b">
        <v>0</v>
      </c>
      <c r="AA2923" s="130">
        <f t="shared" si="1165"/>
        <v>0</v>
      </c>
      <c r="AB2923" s="131">
        <f t="shared" si="1166"/>
        <v>0</v>
      </c>
      <c r="AC2923" s="132">
        <f t="shared" si="1167"/>
        <v>0</v>
      </c>
      <c r="AD2923" s="133">
        <f t="shared" si="1168"/>
        <v>0</v>
      </c>
      <c r="AE2923" s="131">
        <f t="shared" si="1169"/>
        <v>0</v>
      </c>
      <c r="AF2923" s="133">
        <f t="shared" si="1170"/>
        <v>0</v>
      </c>
      <c r="AG2923" s="1"/>
    </row>
    <row r="2924" ht="21.0" customHeight="1">
      <c r="A2924" s="1"/>
      <c r="B2924" s="89" t="s">
        <v>44</v>
      </c>
      <c r="C2924" s="49"/>
      <c r="D2924" s="90">
        <f t="array" ref="D2924">iferror(vlookup(xlookup(B2915,'현황'!O:O,'현황'!O:O,,-1,-1),'현황'!O:S,2,false),0)</f>
        <v>0</v>
      </c>
      <c r="E2924" s="51" t="s">
        <v>45</v>
      </c>
      <c r="F2924" s="52" t="s">
        <v>34</v>
      </c>
      <c r="G2924" s="83"/>
      <c r="H2924" s="84"/>
      <c r="I2924" s="85"/>
      <c r="J2924" s="72"/>
      <c r="K2924" s="73"/>
      <c r="L2924" s="72"/>
      <c r="M2924" s="73"/>
      <c r="N2924" s="72"/>
      <c r="O2924" s="73"/>
      <c r="P2924" s="72"/>
      <c r="Q2924" s="73"/>
      <c r="R2924" s="72"/>
      <c r="S2924" s="73"/>
      <c r="T2924" s="72"/>
      <c r="U2924" s="73"/>
      <c r="V2924" s="72"/>
      <c r="W2924" s="73"/>
      <c r="X2924" s="72"/>
      <c r="Y2924" s="73"/>
      <c r="Z2924" s="74" t="b">
        <v>0</v>
      </c>
      <c r="AA2924" s="130">
        <f t="shared" si="1165"/>
        <v>0</v>
      </c>
      <c r="AB2924" s="131">
        <f t="shared" si="1166"/>
        <v>0</v>
      </c>
      <c r="AC2924" s="132">
        <f t="shared" si="1167"/>
        <v>0</v>
      </c>
      <c r="AD2924" s="133">
        <f t="shared" si="1168"/>
        <v>0</v>
      </c>
      <c r="AE2924" s="131">
        <f t="shared" si="1169"/>
        <v>0</v>
      </c>
      <c r="AF2924" s="133">
        <f t="shared" si="1170"/>
        <v>0</v>
      </c>
      <c r="AG2924" s="1"/>
    </row>
    <row r="2925" ht="21.0" customHeight="1">
      <c r="A2925" s="1"/>
      <c r="B2925" s="48" t="s">
        <v>46</v>
      </c>
      <c r="C2925" s="49"/>
      <c r="D2925" s="91">
        <f t="array" ref="D2925">iferror(vlookup(xlookup(B2915,'현황'!O:O,'현황'!O:O,,-1,-1),'현황'!O:S,3,false),0)</f>
        <v>0</v>
      </c>
      <c r="E2925" s="66"/>
      <c r="F2925" s="52" t="s">
        <v>37</v>
      </c>
      <c r="G2925" s="67"/>
      <c r="H2925" s="80"/>
      <c r="I2925" s="69"/>
      <c r="J2925" s="72"/>
      <c r="K2925" s="73"/>
      <c r="L2925" s="72"/>
      <c r="M2925" s="73"/>
      <c r="N2925" s="72"/>
      <c r="O2925" s="73"/>
      <c r="P2925" s="72"/>
      <c r="Q2925" s="73"/>
      <c r="R2925" s="72"/>
      <c r="S2925" s="73"/>
      <c r="T2925" s="72"/>
      <c r="U2925" s="73"/>
      <c r="V2925" s="72"/>
      <c r="W2925" s="73"/>
      <c r="X2925" s="72"/>
      <c r="Y2925" s="73"/>
      <c r="Z2925" s="74" t="b">
        <v>0</v>
      </c>
      <c r="AA2925" s="130">
        <f t="shared" si="1165"/>
        <v>0</v>
      </c>
      <c r="AB2925" s="131">
        <f t="shared" si="1166"/>
        <v>0</v>
      </c>
      <c r="AC2925" s="132">
        <f t="shared" si="1167"/>
        <v>0</v>
      </c>
      <c r="AD2925" s="133">
        <f t="shared" si="1168"/>
        <v>0</v>
      </c>
      <c r="AE2925" s="131">
        <f t="shared" si="1169"/>
        <v>0</v>
      </c>
      <c r="AF2925" s="133">
        <f t="shared" si="1170"/>
        <v>0</v>
      </c>
      <c r="AG2925" s="1"/>
    </row>
    <row r="2926" ht="21.0" customHeight="1">
      <c r="A2926" s="1"/>
      <c r="B2926" s="48" t="s">
        <v>47</v>
      </c>
      <c r="C2926" s="49"/>
      <c r="D2926" s="91">
        <f t="array" ref="D2926">iferror(vlookup(xlookup(B2915,'현황'!O:O,'현황'!O:O,,-1,-1),'현황'!O:S,4,false),0)</f>
        <v>0</v>
      </c>
      <c r="E2926" s="41"/>
      <c r="F2926" s="92" t="s">
        <v>40</v>
      </c>
      <c r="G2926" s="79"/>
      <c r="H2926" s="93"/>
      <c r="I2926" s="94"/>
      <c r="J2926" s="95"/>
      <c r="K2926" s="96"/>
      <c r="L2926" s="95"/>
      <c r="M2926" s="96"/>
      <c r="N2926" s="95"/>
      <c r="O2926" s="96"/>
      <c r="P2926" s="95"/>
      <c r="Q2926" s="96"/>
      <c r="R2926" s="95"/>
      <c r="S2926" s="96"/>
      <c r="T2926" s="95"/>
      <c r="U2926" s="96"/>
      <c r="V2926" s="95"/>
      <c r="W2926" s="96"/>
      <c r="X2926" s="95"/>
      <c r="Y2926" s="96"/>
      <c r="Z2926" s="97" t="b">
        <v>0</v>
      </c>
      <c r="AA2926" s="135">
        <f t="shared" si="1165"/>
        <v>0</v>
      </c>
      <c r="AB2926" s="136">
        <f t="shared" si="1166"/>
        <v>0</v>
      </c>
      <c r="AC2926" s="137">
        <f t="shared" si="1167"/>
        <v>0</v>
      </c>
      <c r="AD2926" s="138">
        <f t="shared" si="1168"/>
        <v>0</v>
      </c>
      <c r="AE2926" s="136">
        <f t="shared" si="1169"/>
        <v>0</v>
      </c>
      <c r="AF2926" s="138">
        <f t="shared" si="1170"/>
        <v>0</v>
      </c>
      <c r="AG2926" s="1"/>
    </row>
    <row r="2927" ht="21.0" customHeight="1">
      <c r="A2927" s="1"/>
      <c r="B2927" s="102" t="s">
        <v>48</v>
      </c>
      <c r="C2927" s="103"/>
      <c r="D2927" s="104">
        <f>iferror(D2926/D2924,0)</f>
        <v>0</v>
      </c>
      <c r="E2927" s="102" t="s">
        <v>49</v>
      </c>
      <c r="F2927" s="103"/>
      <c r="G2927" s="105"/>
      <c r="H2927" s="106" t="s">
        <v>50</v>
      </c>
      <c r="I2927" s="107"/>
      <c r="J2927" s="11"/>
      <c r="K2927" s="11"/>
      <c r="L2927" s="11"/>
      <c r="M2927" s="11"/>
      <c r="N2927" s="11"/>
      <c r="O2927" s="11"/>
      <c r="P2927" s="108" t="s">
        <v>51</v>
      </c>
      <c r="Q2927" s="12"/>
      <c r="R2927" s="109"/>
      <c r="S2927" s="11"/>
      <c r="T2927" s="11"/>
      <c r="U2927" s="11"/>
      <c r="V2927" s="11"/>
      <c r="W2927" s="11"/>
      <c r="X2927" s="11"/>
      <c r="Y2927" s="11"/>
      <c r="Z2927" s="12"/>
      <c r="AA2927" s="139">
        <f>SUM(AA2918:AA2926)</f>
        <v>0</v>
      </c>
      <c r="AB2927" s="140" t="s">
        <v>487</v>
      </c>
      <c r="AG2927" s="1"/>
    </row>
    <row r="2928" ht="21.0" customHeight="1">
      <c r="A2928" s="1"/>
      <c r="B2928" s="1"/>
      <c r="C2928" s="1"/>
      <c r="D2928" s="1"/>
      <c r="E2928" s="1"/>
      <c r="F2928" s="1"/>
      <c r="G2928" s="1"/>
      <c r="H2928" s="1"/>
      <c r="I2928" s="1"/>
      <c r="AA2928" s="1"/>
      <c r="AB2928" s="1"/>
      <c r="AC2928" s="3"/>
      <c r="AD2928" s="1"/>
      <c r="AE2928" s="1"/>
      <c r="AF2928" s="1"/>
      <c r="AG2928" s="1"/>
    </row>
    <row r="2929" ht="21.0" customHeight="1">
      <c r="A2929" s="1"/>
      <c r="B2929" s="4" t="s">
        <v>1</v>
      </c>
      <c r="C2929" s="5"/>
      <c r="D2929" s="6" t="s">
        <v>2</v>
      </c>
      <c r="E2929" s="7"/>
      <c r="F2929" s="7"/>
      <c r="G2929" s="5"/>
      <c r="H2929" s="8" t="s">
        <v>3</v>
      </c>
      <c r="I2929" s="8" t="s">
        <v>4</v>
      </c>
      <c r="J2929" s="9" t="s">
        <v>5</v>
      </c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5"/>
      <c r="AA2929" s="117" t="s">
        <v>6</v>
      </c>
      <c r="AB2929" s="11"/>
      <c r="AC2929" s="11"/>
      <c r="AD2929" s="11"/>
      <c r="AE2929" s="11"/>
      <c r="AF2929" s="12"/>
      <c r="AG2929" s="1"/>
    </row>
    <row r="2930" ht="21.0" customHeight="1">
      <c r="A2930" s="1"/>
      <c r="B2930" s="149" t="s">
        <v>138</v>
      </c>
      <c r="C2930" s="14" t="str">
        <f>if(B2930="0/0","",choose(weekday(B2930),"(일)","(월)","(화)","(수)","(목)","(금)","(토)"))</f>
        <v/>
      </c>
      <c r="D2930" s="15" t="s">
        <v>7</v>
      </c>
      <c r="E2930" s="16" t="s">
        <v>8</v>
      </c>
      <c r="F2930" s="17"/>
      <c r="G2930" s="18" t="s">
        <v>9</v>
      </c>
      <c r="H2930" s="150" t="s">
        <v>139</v>
      </c>
      <c r="I2930" s="151"/>
      <c r="J2930" s="21" t="s">
        <v>12</v>
      </c>
      <c r="K2930" s="22"/>
      <c r="L2930" s="21" t="s">
        <v>13</v>
      </c>
      <c r="M2930" s="22"/>
      <c r="N2930" s="21" t="s">
        <v>14</v>
      </c>
      <c r="O2930" s="22"/>
      <c r="P2930" s="21" t="s">
        <v>15</v>
      </c>
      <c r="Q2930" s="22"/>
      <c r="R2930" s="23" t="s">
        <v>16</v>
      </c>
      <c r="S2930" s="22"/>
      <c r="T2930" s="23" t="s">
        <v>17</v>
      </c>
      <c r="U2930" s="22"/>
      <c r="V2930" s="23" t="s">
        <v>18</v>
      </c>
      <c r="W2930" s="22"/>
      <c r="X2930" s="23" t="s">
        <v>19</v>
      </c>
      <c r="Y2930" s="22"/>
      <c r="Z2930" s="24" t="s">
        <v>488</v>
      </c>
      <c r="AA2930" s="118" t="s">
        <v>21</v>
      </c>
      <c r="AB2930" s="119" t="s">
        <v>22</v>
      </c>
      <c r="AC2930" s="7"/>
      <c r="AD2930" s="22"/>
      <c r="AE2930" s="120" t="s">
        <v>23</v>
      </c>
      <c r="AF2930" s="22"/>
      <c r="AG2930" s="1"/>
    </row>
    <row r="2931" ht="21.0" customHeight="1">
      <c r="A2931" s="1"/>
      <c r="B2931" s="27">
        <f>iferror(B2930-'현황'!$C$4+1,0)</f>
        <v>0</v>
      </c>
      <c r="C2931" s="28"/>
      <c r="D2931" s="29">
        <v>0.0</v>
      </c>
      <c r="E2931" s="30">
        <v>0.0</v>
      </c>
      <c r="F2931" s="31"/>
      <c r="G2931" s="32">
        <v>0.0</v>
      </c>
      <c r="H2931" s="33">
        <v>0.0</v>
      </c>
      <c r="I2931" s="34"/>
      <c r="J2931" s="35"/>
      <c r="K2931" s="36"/>
      <c r="L2931" s="35"/>
      <c r="M2931" s="36"/>
      <c r="N2931" s="35"/>
      <c r="O2931" s="36"/>
      <c r="P2931" s="35"/>
      <c r="Q2931" s="36"/>
      <c r="R2931" s="35"/>
      <c r="S2931" s="36"/>
      <c r="T2931" s="35"/>
      <c r="U2931" s="36"/>
      <c r="V2931" s="35"/>
      <c r="W2931" s="36"/>
      <c r="X2931" s="35"/>
      <c r="Y2931" s="36"/>
      <c r="Z2931" s="37"/>
      <c r="AA2931" s="37"/>
      <c r="AB2931" s="35"/>
      <c r="AC2931" s="38"/>
      <c r="AD2931" s="36"/>
      <c r="AE2931" s="35"/>
      <c r="AF2931" s="36"/>
      <c r="AG2931" s="1"/>
    </row>
    <row r="2932" ht="21.0" customHeight="1">
      <c r="A2932" s="1"/>
      <c r="B2932" s="39" t="s">
        <v>24</v>
      </c>
      <c r="C2932" s="40"/>
      <c r="D2932" s="41"/>
      <c r="E2932" s="42" t="s">
        <v>25</v>
      </c>
      <c r="F2932" s="40"/>
      <c r="G2932" s="41"/>
      <c r="H2932" s="43" t="s">
        <v>26</v>
      </c>
      <c r="J2932" s="44" t="s">
        <v>27</v>
      </c>
      <c r="K2932" s="45" t="s">
        <v>28</v>
      </c>
      <c r="L2932" s="44" t="s">
        <v>27</v>
      </c>
      <c r="M2932" s="45" t="s">
        <v>28</v>
      </c>
      <c r="N2932" s="44" t="s">
        <v>27</v>
      </c>
      <c r="O2932" s="45" t="s">
        <v>28</v>
      </c>
      <c r="P2932" s="44" t="s">
        <v>27</v>
      </c>
      <c r="Q2932" s="45" t="s">
        <v>28</v>
      </c>
      <c r="R2932" s="44" t="s">
        <v>27</v>
      </c>
      <c r="S2932" s="45" t="s">
        <v>28</v>
      </c>
      <c r="T2932" s="44" t="s">
        <v>27</v>
      </c>
      <c r="U2932" s="45" t="s">
        <v>28</v>
      </c>
      <c r="V2932" s="44" t="s">
        <v>27</v>
      </c>
      <c r="W2932" s="45" t="s">
        <v>28</v>
      </c>
      <c r="X2932" s="44" t="s">
        <v>27</v>
      </c>
      <c r="Y2932" s="45" t="s">
        <v>28</v>
      </c>
      <c r="Z2932" s="46"/>
      <c r="AA2932" s="46"/>
      <c r="AB2932" s="121" t="s">
        <v>29</v>
      </c>
      <c r="AC2932" s="122" t="s">
        <v>30</v>
      </c>
      <c r="AD2932" s="123" t="s">
        <v>31</v>
      </c>
      <c r="AE2932" s="121" t="s">
        <v>27</v>
      </c>
      <c r="AF2932" s="123" t="s">
        <v>28</v>
      </c>
      <c r="AG2932" s="1"/>
    </row>
    <row r="2933" ht="21.0" customHeight="1">
      <c r="A2933" s="1"/>
      <c r="B2933" s="48" t="s">
        <v>32</v>
      </c>
      <c r="C2933" s="49"/>
      <c r="D2933" s="50"/>
      <c r="E2933" s="51" t="s">
        <v>33</v>
      </c>
      <c r="F2933" s="52" t="s">
        <v>34</v>
      </c>
      <c r="G2933" s="53"/>
      <c r="H2933" s="148"/>
      <c r="I2933" s="55"/>
      <c r="J2933" s="58"/>
      <c r="K2933" s="59"/>
      <c r="L2933" s="58"/>
      <c r="M2933" s="59"/>
      <c r="N2933" s="58"/>
      <c r="O2933" s="59"/>
      <c r="P2933" s="58"/>
      <c r="Q2933" s="59"/>
      <c r="R2933" s="58"/>
      <c r="S2933" s="59"/>
      <c r="T2933" s="58"/>
      <c r="U2933" s="59"/>
      <c r="V2933" s="58"/>
      <c r="W2933" s="59"/>
      <c r="X2933" s="58"/>
      <c r="Y2933" s="59"/>
      <c r="Z2933" s="60" t="b">
        <v>0</v>
      </c>
      <c r="AA2933" s="125">
        <f t="shared" ref="AA2933:AA2941" si="1171">(J2933*K2933+L2933*M2933+N2933*O2933+P2933*Q2933+R2933*S2933+T2933*U2933+V2933*W2933+X2933*Y2933)*if(Z2933=true,0.453592,1)</f>
        <v>0</v>
      </c>
      <c r="AB2933" s="126">
        <f t="shared" ref="AB2933:AB2941" si="1172">SUM(AE2933*AF2933*0.025,AE2933)</f>
        <v>0</v>
      </c>
      <c r="AC2933" s="127">
        <f t="shared" ref="AC2933:AC2941" si="1173">AB2933*87%</f>
        <v>0</v>
      </c>
      <c r="AD2933" s="128">
        <f t="shared" ref="AD2933:AD2941" si="1174">AB2933*67%</f>
        <v>0</v>
      </c>
      <c r="AE2933" s="126">
        <f t="shared" ref="AE2933:AE2941" si="1175">MAX(J2933,L2933,N2933,P2933,R2933,T2933,V2933,X2933)*if(Z2933=true,0.453592,1)</f>
        <v>0</v>
      </c>
      <c r="AF2933" s="128">
        <f t="shared" ref="AF2933:AF2941" si="1176">MAX(IF(J2933*if(Z2933=true,0.453592,1)=$AE2933,K2933,0),IF(L2933*if(Z2933=true,0.453592,1)=$AE2933,M2933,0),IF(N2933*if(Z2933=true,0.453592,1)=$AE2933,O2933,0),IF(P2933*if(Z2933=true,0.453592,1)=$AE2933,Q2933,0),IF(R2933*if(Z2933=true,0.453592,1)=$AE2933,S2933,0),IF(T2933*if(Z2933=true,0.453592,1)=$AE2933,U2933,0),IF(V2933*if(Z2933=true,0.453592,1)=$AE2933,W2933,0),IF(X2933*if(Z2933=true,0.453592,1)=$AE2933,Y2933,0))</f>
        <v>0</v>
      </c>
      <c r="AG2933" s="1"/>
    </row>
    <row r="2934" ht="21.0" customHeight="1">
      <c r="A2934" s="1"/>
      <c r="B2934" s="48" t="s">
        <v>36</v>
      </c>
      <c r="C2934" s="49"/>
      <c r="D2934" s="65"/>
      <c r="E2934" s="66"/>
      <c r="F2934" s="52" t="s">
        <v>37</v>
      </c>
      <c r="G2934" s="67"/>
      <c r="H2934" s="129"/>
      <c r="I2934" s="69"/>
      <c r="J2934" s="72"/>
      <c r="K2934" s="73"/>
      <c r="L2934" s="72"/>
      <c r="M2934" s="73"/>
      <c r="N2934" s="72"/>
      <c r="O2934" s="73"/>
      <c r="P2934" s="72"/>
      <c r="Q2934" s="73"/>
      <c r="R2934" s="72"/>
      <c r="S2934" s="73"/>
      <c r="T2934" s="72"/>
      <c r="U2934" s="73"/>
      <c r="V2934" s="72"/>
      <c r="W2934" s="73"/>
      <c r="X2934" s="72"/>
      <c r="Y2934" s="73"/>
      <c r="Z2934" s="74" t="b">
        <v>0</v>
      </c>
      <c r="AA2934" s="130">
        <f t="shared" si="1171"/>
        <v>0</v>
      </c>
      <c r="AB2934" s="131">
        <f t="shared" si="1172"/>
        <v>0</v>
      </c>
      <c r="AC2934" s="132">
        <f t="shared" si="1173"/>
        <v>0</v>
      </c>
      <c r="AD2934" s="133">
        <f t="shared" si="1174"/>
        <v>0</v>
      </c>
      <c r="AE2934" s="131">
        <f t="shared" si="1175"/>
        <v>0</v>
      </c>
      <c r="AF2934" s="133">
        <f t="shared" si="1176"/>
        <v>0</v>
      </c>
      <c r="AG2934" s="1"/>
    </row>
    <row r="2935" ht="21.0" customHeight="1">
      <c r="A2935" s="1"/>
      <c r="B2935" s="48" t="s">
        <v>39</v>
      </c>
      <c r="C2935" s="49"/>
      <c r="D2935" s="65"/>
      <c r="E2935" s="41"/>
      <c r="F2935" s="52" t="s">
        <v>40</v>
      </c>
      <c r="G2935" s="79"/>
      <c r="H2935" s="80"/>
      <c r="I2935" s="69"/>
      <c r="J2935" s="72"/>
      <c r="K2935" s="73"/>
      <c r="L2935" s="72"/>
      <c r="M2935" s="73"/>
      <c r="N2935" s="72"/>
      <c r="O2935" s="73"/>
      <c r="P2935" s="72"/>
      <c r="Q2935" s="73"/>
      <c r="R2935" s="72"/>
      <c r="S2935" s="73"/>
      <c r="T2935" s="72"/>
      <c r="U2935" s="73"/>
      <c r="V2935" s="72"/>
      <c r="W2935" s="73"/>
      <c r="X2935" s="72"/>
      <c r="Y2935" s="73"/>
      <c r="Z2935" s="74" t="b">
        <v>0</v>
      </c>
      <c r="AA2935" s="130">
        <f t="shared" si="1171"/>
        <v>0</v>
      </c>
      <c r="AB2935" s="131">
        <f t="shared" si="1172"/>
        <v>0</v>
      </c>
      <c r="AC2935" s="132">
        <f t="shared" si="1173"/>
        <v>0</v>
      </c>
      <c r="AD2935" s="133">
        <f t="shared" si="1174"/>
        <v>0</v>
      </c>
      <c r="AE2935" s="131">
        <f t="shared" si="1175"/>
        <v>0</v>
      </c>
      <c r="AF2935" s="133">
        <f t="shared" si="1176"/>
        <v>0</v>
      </c>
      <c r="AG2935" s="1"/>
    </row>
    <row r="2936" ht="21.0" customHeight="1">
      <c r="A2936" s="1"/>
      <c r="B2936" s="48" t="s">
        <v>41</v>
      </c>
      <c r="C2936" s="81"/>
      <c r="D2936" s="82" t="b">
        <v>0</v>
      </c>
      <c r="E2936" s="51" t="s">
        <v>42</v>
      </c>
      <c r="F2936" s="52" t="s">
        <v>34</v>
      </c>
      <c r="G2936" s="83"/>
      <c r="H2936" s="84"/>
      <c r="I2936" s="85"/>
      <c r="J2936" s="72"/>
      <c r="K2936" s="73"/>
      <c r="L2936" s="72"/>
      <c r="M2936" s="73"/>
      <c r="N2936" s="72"/>
      <c r="O2936" s="73"/>
      <c r="P2936" s="72"/>
      <c r="Q2936" s="73"/>
      <c r="R2936" s="72"/>
      <c r="S2936" s="73"/>
      <c r="T2936" s="72"/>
      <c r="U2936" s="73"/>
      <c r="V2936" s="72"/>
      <c r="W2936" s="73"/>
      <c r="X2936" s="72"/>
      <c r="Y2936" s="73"/>
      <c r="Z2936" s="74" t="b">
        <v>0</v>
      </c>
      <c r="AA2936" s="130">
        <f t="shared" si="1171"/>
        <v>0</v>
      </c>
      <c r="AB2936" s="131">
        <f t="shared" si="1172"/>
        <v>0</v>
      </c>
      <c r="AC2936" s="132">
        <f t="shared" si="1173"/>
        <v>0</v>
      </c>
      <c r="AD2936" s="133">
        <f t="shared" si="1174"/>
        <v>0</v>
      </c>
      <c r="AE2936" s="131">
        <f t="shared" si="1175"/>
        <v>0</v>
      </c>
      <c r="AF2936" s="133">
        <f t="shared" si="1176"/>
        <v>0</v>
      </c>
      <c r="AG2936" s="1"/>
    </row>
    <row r="2937" ht="21.0" customHeight="1">
      <c r="A2937" s="1"/>
      <c r="B2937" s="48" t="s">
        <v>43</v>
      </c>
      <c r="C2937" s="49"/>
      <c r="D2937" s="86" t="b">
        <v>0</v>
      </c>
      <c r="E2937" s="66"/>
      <c r="F2937" s="52" t="s">
        <v>37</v>
      </c>
      <c r="G2937" s="67"/>
      <c r="H2937" s="80"/>
      <c r="I2937" s="69"/>
      <c r="J2937" s="72"/>
      <c r="K2937" s="73"/>
      <c r="L2937" s="72"/>
      <c r="M2937" s="73"/>
      <c r="N2937" s="72"/>
      <c r="O2937" s="73"/>
      <c r="P2937" s="72"/>
      <c r="Q2937" s="73"/>
      <c r="R2937" s="72"/>
      <c r="S2937" s="73"/>
      <c r="T2937" s="72"/>
      <c r="U2937" s="73"/>
      <c r="V2937" s="72"/>
      <c r="W2937" s="73"/>
      <c r="X2937" s="72"/>
      <c r="Y2937" s="73"/>
      <c r="Z2937" s="74" t="b">
        <v>0</v>
      </c>
      <c r="AA2937" s="130">
        <f t="shared" si="1171"/>
        <v>0</v>
      </c>
      <c r="AB2937" s="131">
        <f t="shared" si="1172"/>
        <v>0</v>
      </c>
      <c r="AC2937" s="132">
        <f t="shared" si="1173"/>
        <v>0</v>
      </c>
      <c r="AD2937" s="133">
        <f t="shared" si="1174"/>
        <v>0</v>
      </c>
      <c r="AE2937" s="131">
        <f t="shared" si="1175"/>
        <v>0</v>
      </c>
      <c r="AF2937" s="133">
        <f t="shared" si="1176"/>
        <v>0</v>
      </c>
      <c r="AG2937" s="1"/>
    </row>
    <row r="2938" ht="21.0" customHeight="1">
      <c r="A2938" s="1"/>
      <c r="B2938" s="87" t="str">
        <f t="array" ref="B2938">"📌최근 인바디 결과 : "&amp;text(xlookup(B2930,'현황'!O:O,'현황'!O:O,,-1,-1),"m/d(ddd)")</f>
        <v>#REF!</v>
      </c>
      <c r="C2938" s="88"/>
      <c r="D2938" s="49"/>
      <c r="E2938" s="41"/>
      <c r="F2938" s="52" t="s">
        <v>40</v>
      </c>
      <c r="G2938" s="79"/>
      <c r="H2938" s="80"/>
      <c r="I2938" s="69"/>
      <c r="J2938" s="72"/>
      <c r="K2938" s="73"/>
      <c r="L2938" s="72"/>
      <c r="M2938" s="73"/>
      <c r="N2938" s="72"/>
      <c r="O2938" s="73"/>
      <c r="P2938" s="72"/>
      <c r="Q2938" s="73"/>
      <c r="R2938" s="72"/>
      <c r="S2938" s="73"/>
      <c r="T2938" s="72"/>
      <c r="U2938" s="73"/>
      <c r="V2938" s="72"/>
      <c r="W2938" s="73"/>
      <c r="X2938" s="72"/>
      <c r="Y2938" s="73"/>
      <c r="Z2938" s="74" t="b">
        <v>0</v>
      </c>
      <c r="AA2938" s="130">
        <f t="shared" si="1171"/>
        <v>0</v>
      </c>
      <c r="AB2938" s="131">
        <f t="shared" si="1172"/>
        <v>0</v>
      </c>
      <c r="AC2938" s="132">
        <f t="shared" si="1173"/>
        <v>0</v>
      </c>
      <c r="AD2938" s="133">
        <f t="shared" si="1174"/>
        <v>0</v>
      </c>
      <c r="AE2938" s="131">
        <f t="shared" si="1175"/>
        <v>0</v>
      </c>
      <c r="AF2938" s="133">
        <f t="shared" si="1176"/>
        <v>0</v>
      </c>
      <c r="AG2938" s="1"/>
    </row>
    <row r="2939" ht="21.0" customHeight="1">
      <c r="A2939" s="1"/>
      <c r="B2939" s="89" t="s">
        <v>44</v>
      </c>
      <c r="C2939" s="49"/>
      <c r="D2939" s="90">
        <f t="array" ref="D2939">iferror(vlookup(xlookup(B2930,'현황'!O:O,'현황'!O:O,,-1,-1),'현황'!O:S,2,false),0)</f>
        <v>0</v>
      </c>
      <c r="E2939" s="51" t="s">
        <v>45</v>
      </c>
      <c r="F2939" s="52" t="s">
        <v>34</v>
      </c>
      <c r="G2939" s="83"/>
      <c r="H2939" s="84"/>
      <c r="I2939" s="85"/>
      <c r="J2939" s="72"/>
      <c r="K2939" s="73"/>
      <c r="L2939" s="72"/>
      <c r="M2939" s="73"/>
      <c r="N2939" s="72"/>
      <c r="O2939" s="73"/>
      <c r="P2939" s="72"/>
      <c r="Q2939" s="73"/>
      <c r="R2939" s="72"/>
      <c r="S2939" s="73"/>
      <c r="T2939" s="72"/>
      <c r="U2939" s="73"/>
      <c r="V2939" s="72"/>
      <c r="W2939" s="73"/>
      <c r="X2939" s="72"/>
      <c r="Y2939" s="73"/>
      <c r="Z2939" s="74" t="b">
        <v>0</v>
      </c>
      <c r="AA2939" s="130">
        <f t="shared" si="1171"/>
        <v>0</v>
      </c>
      <c r="AB2939" s="131">
        <f t="shared" si="1172"/>
        <v>0</v>
      </c>
      <c r="AC2939" s="132">
        <f t="shared" si="1173"/>
        <v>0</v>
      </c>
      <c r="AD2939" s="133">
        <f t="shared" si="1174"/>
        <v>0</v>
      </c>
      <c r="AE2939" s="131">
        <f t="shared" si="1175"/>
        <v>0</v>
      </c>
      <c r="AF2939" s="133">
        <f t="shared" si="1176"/>
        <v>0</v>
      </c>
      <c r="AG2939" s="1"/>
    </row>
    <row r="2940" ht="21.0" customHeight="1">
      <c r="A2940" s="1"/>
      <c r="B2940" s="48" t="s">
        <v>46</v>
      </c>
      <c r="C2940" s="49"/>
      <c r="D2940" s="91">
        <f t="array" ref="D2940">iferror(vlookup(xlookup(B2930,'현황'!O:O,'현황'!O:O,,-1,-1),'현황'!O:S,3,false),0)</f>
        <v>0</v>
      </c>
      <c r="E2940" s="66"/>
      <c r="F2940" s="52" t="s">
        <v>37</v>
      </c>
      <c r="G2940" s="67"/>
      <c r="H2940" s="80"/>
      <c r="I2940" s="69"/>
      <c r="J2940" s="72"/>
      <c r="K2940" s="73"/>
      <c r="L2940" s="72"/>
      <c r="M2940" s="73"/>
      <c r="N2940" s="72"/>
      <c r="O2940" s="73"/>
      <c r="P2940" s="72"/>
      <c r="Q2940" s="73"/>
      <c r="R2940" s="72"/>
      <c r="S2940" s="73"/>
      <c r="T2940" s="72"/>
      <c r="U2940" s="73"/>
      <c r="V2940" s="72"/>
      <c r="W2940" s="73"/>
      <c r="X2940" s="72"/>
      <c r="Y2940" s="73"/>
      <c r="Z2940" s="74" t="b">
        <v>0</v>
      </c>
      <c r="AA2940" s="130">
        <f t="shared" si="1171"/>
        <v>0</v>
      </c>
      <c r="AB2940" s="131">
        <f t="shared" si="1172"/>
        <v>0</v>
      </c>
      <c r="AC2940" s="132">
        <f t="shared" si="1173"/>
        <v>0</v>
      </c>
      <c r="AD2940" s="133">
        <f t="shared" si="1174"/>
        <v>0</v>
      </c>
      <c r="AE2940" s="131">
        <f t="shared" si="1175"/>
        <v>0</v>
      </c>
      <c r="AF2940" s="133">
        <f t="shared" si="1176"/>
        <v>0</v>
      </c>
      <c r="AG2940" s="1"/>
    </row>
    <row r="2941" ht="21.0" customHeight="1">
      <c r="A2941" s="1"/>
      <c r="B2941" s="48" t="s">
        <v>47</v>
      </c>
      <c r="C2941" s="49"/>
      <c r="D2941" s="91">
        <f t="array" ref="D2941">iferror(vlookup(xlookup(B2930,'현황'!O:O,'현황'!O:O,,-1,-1),'현황'!O:S,4,false),0)</f>
        <v>0</v>
      </c>
      <c r="E2941" s="41"/>
      <c r="F2941" s="92" t="s">
        <v>40</v>
      </c>
      <c r="G2941" s="79"/>
      <c r="H2941" s="93"/>
      <c r="I2941" s="94"/>
      <c r="J2941" s="95"/>
      <c r="K2941" s="96"/>
      <c r="L2941" s="95"/>
      <c r="M2941" s="96"/>
      <c r="N2941" s="95"/>
      <c r="O2941" s="96"/>
      <c r="P2941" s="95"/>
      <c r="Q2941" s="96"/>
      <c r="R2941" s="95"/>
      <c r="S2941" s="96"/>
      <c r="T2941" s="95"/>
      <c r="U2941" s="96"/>
      <c r="V2941" s="95"/>
      <c r="W2941" s="96"/>
      <c r="X2941" s="95"/>
      <c r="Y2941" s="96"/>
      <c r="Z2941" s="97" t="b">
        <v>0</v>
      </c>
      <c r="AA2941" s="135">
        <f t="shared" si="1171"/>
        <v>0</v>
      </c>
      <c r="AB2941" s="136">
        <f t="shared" si="1172"/>
        <v>0</v>
      </c>
      <c r="AC2941" s="137">
        <f t="shared" si="1173"/>
        <v>0</v>
      </c>
      <c r="AD2941" s="138">
        <f t="shared" si="1174"/>
        <v>0</v>
      </c>
      <c r="AE2941" s="136">
        <f t="shared" si="1175"/>
        <v>0</v>
      </c>
      <c r="AF2941" s="138">
        <f t="shared" si="1176"/>
        <v>0</v>
      </c>
      <c r="AG2941" s="1"/>
    </row>
    <row r="2942" ht="21.0" customHeight="1">
      <c r="A2942" s="1"/>
      <c r="B2942" s="102" t="s">
        <v>48</v>
      </c>
      <c r="C2942" s="103"/>
      <c r="D2942" s="104">
        <f>iferror(D2941/D2939,0)</f>
        <v>0</v>
      </c>
      <c r="E2942" s="102" t="s">
        <v>49</v>
      </c>
      <c r="F2942" s="103"/>
      <c r="G2942" s="105"/>
      <c r="H2942" s="143" t="s">
        <v>50</v>
      </c>
      <c r="I2942" s="144"/>
      <c r="J2942" s="11"/>
      <c r="K2942" s="11"/>
      <c r="L2942" s="11"/>
      <c r="M2942" s="11"/>
      <c r="N2942" s="11"/>
      <c r="O2942" s="11"/>
      <c r="P2942" s="145" t="s">
        <v>51</v>
      </c>
      <c r="Q2942" s="12"/>
      <c r="R2942" s="146"/>
      <c r="S2942" s="11"/>
      <c r="T2942" s="11"/>
      <c r="U2942" s="11"/>
      <c r="V2942" s="11"/>
      <c r="W2942" s="11"/>
      <c r="X2942" s="11"/>
      <c r="Y2942" s="11"/>
      <c r="Z2942" s="12"/>
      <c r="AA2942" s="139">
        <f>SUM(AA2933:AA2941)</f>
        <v>0</v>
      </c>
      <c r="AB2942" s="140" t="s">
        <v>489</v>
      </c>
      <c r="AG2942" s="1"/>
    </row>
    <row r="2943" ht="21.0" customHeight="1">
      <c r="A2943" s="1"/>
      <c r="B2943" s="1"/>
      <c r="C2943" s="1"/>
      <c r="D2943" s="1"/>
      <c r="E2943" s="1"/>
      <c r="F2943" s="1"/>
      <c r="G2943" s="1"/>
      <c r="H2943" s="1"/>
      <c r="I2943" s="1"/>
      <c r="AA2943" s="1"/>
      <c r="AB2943" s="1"/>
      <c r="AC2943" s="3"/>
      <c r="AD2943" s="1"/>
      <c r="AE2943" s="1"/>
      <c r="AF2943" s="1"/>
      <c r="AG2943" s="1"/>
    </row>
    <row r="2944" ht="21.0" customHeight="1">
      <c r="A2944" s="1"/>
      <c r="B2944" s="4" t="s">
        <v>1</v>
      </c>
      <c r="C2944" s="5"/>
      <c r="D2944" s="6" t="s">
        <v>2</v>
      </c>
      <c r="E2944" s="7"/>
      <c r="F2944" s="7"/>
      <c r="G2944" s="5"/>
      <c r="H2944" s="8" t="s">
        <v>3</v>
      </c>
      <c r="I2944" s="8" t="s">
        <v>4</v>
      </c>
      <c r="J2944" s="9" t="s">
        <v>5</v>
      </c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5"/>
      <c r="AA2944" s="117" t="s">
        <v>6</v>
      </c>
      <c r="AB2944" s="11"/>
      <c r="AC2944" s="11"/>
      <c r="AD2944" s="11"/>
      <c r="AE2944" s="11"/>
      <c r="AF2944" s="12"/>
      <c r="AG2944" s="1"/>
    </row>
    <row r="2945" ht="21.0" customHeight="1">
      <c r="A2945" s="1"/>
      <c r="B2945" s="149" t="s">
        <v>138</v>
      </c>
      <c r="C2945" s="14" t="str">
        <f>if(B2945="0/0","",choose(weekday(B2945),"(일)","(월)","(화)","(수)","(목)","(금)","(토)"))</f>
        <v/>
      </c>
      <c r="D2945" s="15" t="s">
        <v>7</v>
      </c>
      <c r="E2945" s="16" t="s">
        <v>8</v>
      </c>
      <c r="F2945" s="17"/>
      <c r="G2945" s="18" t="s">
        <v>9</v>
      </c>
      <c r="H2945" s="150" t="s">
        <v>139</v>
      </c>
      <c r="I2945" s="151"/>
      <c r="J2945" s="21" t="s">
        <v>12</v>
      </c>
      <c r="K2945" s="22"/>
      <c r="L2945" s="21" t="s">
        <v>13</v>
      </c>
      <c r="M2945" s="22"/>
      <c r="N2945" s="21" t="s">
        <v>14</v>
      </c>
      <c r="O2945" s="22"/>
      <c r="P2945" s="21" t="s">
        <v>15</v>
      </c>
      <c r="Q2945" s="22"/>
      <c r="R2945" s="23" t="s">
        <v>16</v>
      </c>
      <c r="S2945" s="22"/>
      <c r="T2945" s="23" t="s">
        <v>17</v>
      </c>
      <c r="U2945" s="22"/>
      <c r="V2945" s="23" t="s">
        <v>18</v>
      </c>
      <c r="W2945" s="22"/>
      <c r="X2945" s="23" t="s">
        <v>19</v>
      </c>
      <c r="Y2945" s="22"/>
      <c r="Z2945" s="24" t="s">
        <v>490</v>
      </c>
      <c r="AA2945" s="118" t="s">
        <v>21</v>
      </c>
      <c r="AB2945" s="119" t="s">
        <v>22</v>
      </c>
      <c r="AC2945" s="7"/>
      <c r="AD2945" s="22"/>
      <c r="AE2945" s="120" t="s">
        <v>23</v>
      </c>
      <c r="AF2945" s="22"/>
      <c r="AG2945" s="1"/>
    </row>
    <row r="2946" ht="21.0" customHeight="1">
      <c r="A2946" s="1"/>
      <c r="B2946" s="27">
        <f>iferror(B2945-'현황'!$C$4+1,0)</f>
        <v>0</v>
      </c>
      <c r="C2946" s="28"/>
      <c r="D2946" s="29">
        <v>0.0</v>
      </c>
      <c r="E2946" s="30">
        <v>0.0</v>
      </c>
      <c r="F2946" s="31"/>
      <c r="G2946" s="32">
        <v>0.0</v>
      </c>
      <c r="H2946" s="33">
        <v>0.0</v>
      </c>
      <c r="I2946" s="34"/>
      <c r="J2946" s="35"/>
      <c r="K2946" s="36"/>
      <c r="L2946" s="35"/>
      <c r="M2946" s="36"/>
      <c r="N2946" s="35"/>
      <c r="O2946" s="36"/>
      <c r="P2946" s="35"/>
      <c r="Q2946" s="36"/>
      <c r="R2946" s="35"/>
      <c r="S2946" s="36"/>
      <c r="T2946" s="35"/>
      <c r="U2946" s="36"/>
      <c r="V2946" s="35"/>
      <c r="W2946" s="36"/>
      <c r="X2946" s="35"/>
      <c r="Y2946" s="36"/>
      <c r="Z2946" s="37"/>
      <c r="AA2946" s="37"/>
      <c r="AB2946" s="35"/>
      <c r="AC2946" s="38"/>
      <c r="AD2946" s="36"/>
      <c r="AE2946" s="35"/>
      <c r="AF2946" s="36"/>
      <c r="AG2946" s="1"/>
    </row>
    <row r="2947" ht="21.0" customHeight="1">
      <c r="A2947" s="1"/>
      <c r="B2947" s="39" t="s">
        <v>24</v>
      </c>
      <c r="C2947" s="40"/>
      <c r="D2947" s="41"/>
      <c r="E2947" s="42" t="s">
        <v>25</v>
      </c>
      <c r="F2947" s="40"/>
      <c r="G2947" s="41"/>
      <c r="H2947" s="43" t="s">
        <v>26</v>
      </c>
      <c r="J2947" s="44" t="s">
        <v>27</v>
      </c>
      <c r="K2947" s="45" t="s">
        <v>28</v>
      </c>
      <c r="L2947" s="44" t="s">
        <v>27</v>
      </c>
      <c r="M2947" s="45" t="s">
        <v>28</v>
      </c>
      <c r="N2947" s="44" t="s">
        <v>27</v>
      </c>
      <c r="O2947" s="45" t="s">
        <v>28</v>
      </c>
      <c r="P2947" s="44" t="s">
        <v>27</v>
      </c>
      <c r="Q2947" s="45" t="s">
        <v>28</v>
      </c>
      <c r="R2947" s="44" t="s">
        <v>27</v>
      </c>
      <c r="S2947" s="45" t="s">
        <v>28</v>
      </c>
      <c r="T2947" s="44" t="s">
        <v>27</v>
      </c>
      <c r="U2947" s="45" t="s">
        <v>28</v>
      </c>
      <c r="V2947" s="44" t="s">
        <v>27</v>
      </c>
      <c r="W2947" s="45" t="s">
        <v>28</v>
      </c>
      <c r="X2947" s="44" t="s">
        <v>27</v>
      </c>
      <c r="Y2947" s="45" t="s">
        <v>28</v>
      </c>
      <c r="Z2947" s="46"/>
      <c r="AA2947" s="46"/>
      <c r="AB2947" s="121" t="s">
        <v>29</v>
      </c>
      <c r="AC2947" s="122" t="s">
        <v>30</v>
      </c>
      <c r="AD2947" s="123" t="s">
        <v>31</v>
      </c>
      <c r="AE2947" s="121" t="s">
        <v>27</v>
      </c>
      <c r="AF2947" s="123" t="s">
        <v>28</v>
      </c>
      <c r="AG2947" s="1"/>
    </row>
    <row r="2948" ht="21.0" customHeight="1">
      <c r="A2948" s="1"/>
      <c r="B2948" s="48" t="s">
        <v>32</v>
      </c>
      <c r="C2948" s="49"/>
      <c r="D2948" s="50"/>
      <c r="E2948" s="51" t="s">
        <v>33</v>
      </c>
      <c r="F2948" s="52" t="s">
        <v>34</v>
      </c>
      <c r="G2948" s="53"/>
      <c r="H2948" s="148"/>
      <c r="I2948" s="55"/>
      <c r="J2948" s="58"/>
      <c r="K2948" s="59"/>
      <c r="L2948" s="58"/>
      <c r="M2948" s="59"/>
      <c r="N2948" s="58"/>
      <c r="O2948" s="59"/>
      <c r="P2948" s="58"/>
      <c r="Q2948" s="59"/>
      <c r="R2948" s="58"/>
      <c r="S2948" s="59"/>
      <c r="T2948" s="58"/>
      <c r="U2948" s="59"/>
      <c r="V2948" s="58"/>
      <c r="W2948" s="59"/>
      <c r="X2948" s="58"/>
      <c r="Y2948" s="59"/>
      <c r="Z2948" s="60" t="b">
        <v>0</v>
      </c>
      <c r="AA2948" s="125">
        <f t="shared" ref="AA2948:AA2956" si="1177">(J2948*K2948+L2948*M2948+N2948*O2948+P2948*Q2948+R2948*S2948+T2948*U2948+V2948*W2948+X2948*Y2948)*if(Z2948=true,0.453592,1)</f>
        <v>0</v>
      </c>
      <c r="AB2948" s="126">
        <f t="shared" ref="AB2948:AB2956" si="1178">SUM(AE2948*AF2948*0.025,AE2948)</f>
        <v>0</v>
      </c>
      <c r="AC2948" s="127">
        <f t="shared" ref="AC2948:AC2956" si="1179">AB2948*87%</f>
        <v>0</v>
      </c>
      <c r="AD2948" s="128">
        <f t="shared" ref="AD2948:AD2956" si="1180">AB2948*67%</f>
        <v>0</v>
      </c>
      <c r="AE2948" s="126">
        <f t="shared" ref="AE2948:AE2956" si="1181">MAX(J2948,L2948,N2948,P2948,R2948,T2948,V2948,X2948)*if(Z2948=true,0.453592,1)</f>
        <v>0</v>
      </c>
      <c r="AF2948" s="128">
        <f t="shared" ref="AF2948:AF2956" si="1182">MAX(IF(J2948*if(Z2948=true,0.453592,1)=$AE2948,K2948,0),IF(L2948*if(Z2948=true,0.453592,1)=$AE2948,M2948,0),IF(N2948*if(Z2948=true,0.453592,1)=$AE2948,O2948,0),IF(P2948*if(Z2948=true,0.453592,1)=$AE2948,Q2948,0),IF(R2948*if(Z2948=true,0.453592,1)=$AE2948,S2948,0),IF(T2948*if(Z2948=true,0.453592,1)=$AE2948,U2948,0),IF(V2948*if(Z2948=true,0.453592,1)=$AE2948,W2948,0),IF(X2948*if(Z2948=true,0.453592,1)=$AE2948,Y2948,0))</f>
        <v>0</v>
      </c>
      <c r="AG2948" s="1"/>
    </row>
    <row r="2949" ht="21.0" customHeight="1">
      <c r="A2949" s="1"/>
      <c r="B2949" s="48" t="s">
        <v>36</v>
      </c>
      <c r="C2949" s="49"/>
      <c r="D2949" s="65"/>
      <c r="E2949" s="66"/>
      <c r="F2949" s="52" t="s">
        <v>37</v>
      </c>
      <c r="G2949" s="67"/>
      <c r="H2949" s="129"/>
      <c r="I2949" s="69"/>
      <c r="J2949" s="72"/>
      <c r="K2949" s="73"/>
      <c r="L2949" s="72"/>
      <c r="M2949" s="73"/>
      <c r="N2949" s="72"/>
      <c r="O2949" s="73"/>
      <c r="P2949" s="72"/>
      <c r="Q2949" s="73"/>
      <c r="R2949" s="72"/>
      <c r="S2949" s="73"/>
      <c r="T2949" s="72"/>
      <c r="U2949" s="73"/>
      <c r="V2949" s="72"/>
      <c r="W2949" s="73"/>
      <c r="X2949" s="72"/>
      <c r="Y2949" s="73"/>
      <c r="Z2949" s="74" t="b">
        <v>0</v>
      </c>
      <c r="AA2949" s="130">
        <f t="shared" si="1177"/>
        <v>0</v>
      </c>
      <c r="AB2949" s="131">
        <f t="shared" si="1178"/>
        <v>0</v>
      </c>
      <c r="AC2949" s="132">
        <f t="shared" si="1179"/>
        <v>0</v>
      </c>
      <c r="AD2949" s="133">
        <f t="shared" si="1180"/>
        <v>0</v>
      </c>
      <c r="AE2949" s="131">
        <f t="shared" si="1181"/>
        <v>0</v>
      </c>
      <c r="AF2949" s="133">
        <f t="shared" si="1182"/>
        <v>0</v>
      </c>
      <c r="AG2949" s="1"/>
    </row>
    <row r="2950" ht="21.0" customHeight="1">
      <c r="A2950" s="1"/>
      <c r="B2950" s="48" t="s">
        <v>39</v>
      </c>
      <c r="C2950" s="49"/>
      <c r="D2950" s="65"/>
      <c r="E2950" s="41"/>
      <c r="F2950" s="52" t="s">
        <v>40</v>
      </c>
      <c r="G2950" s="79"/>
      <c r="H2950" s="80"/>
      <c r="I2950" s="69"/>
      <c r="J2950" s="72"/>
      <c r="K2950" s="73"/>
      <c r="L2950" s="72"/>
      <c r="M2950" s="73"/>
      <c r="N2950" s="72"/>
      <c r="O2950" s="73"/>
      <c r="P2950" s="72"/>
      <c r="Q2950" s="73"/>
      <c r="R2950" s="72"/>
      <c r="S2950" s="73"/>
      <c r="T2950" s="72"/>
      <c r="U2950" s="73"/>
      <c r="V2950" s="72"/>
      <c r="W2950" s="73"/>
      <c r="X2950" s="72"/>
      <c r="Y2950" s="73"/>
      <c r="Z2950" s="74" t="b">
        <v>0</v>
      </c>
      <c r="AA2950" s="130">
        <f t="shared" si="1177"/>
        <v>0</v>
      </c>
      <c r="AB2950" s="131">
        <f t="shared" si="1178"/>
        <v>0</v>
      </c>
      <c r="AC2950" s="132">
        <f t="shared" si="1179"/>
        <v>0</v>
      </c>
      <c r="AD2950" s="133">
        <f t="shared" si="1180"/>
        <v>0</v>
      </c>
      <c r="AE2950" s="131">
        <f t="shared" si="1181"/>
        <v>0</v>
      </c>
      <c r="AF2950" s="133">
        <f t="shared" si="1182"/>
        <v>0</v>
      </c>
      <c r="AG2950" s="1"/>
    </row>
    <row r="2951" ht="21.0" customHeight="1">
      <c r="A2951" s="1"/>
      <c r="B2951" s="48" t="s">
        <v>41</v>
      </c>
      <c r="C2951" s="81"/>
      <c r="D2951" s="82" t="b">
        <v>0</v>
      </c>
      <c r="E2951" s="51" t="s">
        <v>42</v>
      </c>
      <c r="F2951" s="52" t="s">
        <v>34</v>
      </c>
      <c r="G2951" s="83"/>
      <c r="H2951" s="84"/>
      <c r="I2951" s="85"/>
      <c r="J2951" s="72"/>
      <c r="K2951" s="73"/>
      <c r="L2951" s="72"/>
      <c r="M2951" s="73"/>
      <c r="N2951" s="72"/>
      <c r="O2951" s="73"/>
      <c r="P2951" s="72"/>
      <c r="Q2951" s="73"/>
      <c r="R2951" s="72"/>
      <c r="S2951" s="73"/>
      <c r="T2951" s="72"/>
      <c r="U2951" s="73"/>
      <c r="V2951" s="72"/>
      <c r="W2951" s="73"/>
      <c r="X2951" s="72"/>
      <c r="Y2951" s="73"/>
      <c r="Z2951" s="74" t="b">
        <v>0</v>
      </c>
      <c r="AA2951" s="130">
        <f t="shared" si="1177"/>
        <v>0</v>
      </c>
      <c r="AB2951" s="131">
        <f t="shared" si="1178"/>
        <v>0</v>
      </c>
      <c r="AC2951" s="132">
        <f t="shared" si="1179"/>
        <v>0</v>
      </c>
      <c r="AD2951" s="133">
        <f t="shared" si="1180"/>
        <v>0</v>
      </c>
      <c r="AE2951" s="131">
        <f t="shared" si="1181"/>
        <v>0</v>
      </c>
      <c r="AF2951" s="133">
        <f t="shared" si="1182"/>
        <v>0</v>
      </c>
      <c r="AG2951" s="1"/>
    </row>
    <row r="2952" ht="21.0" customHeight="1">
      <c r="A2952" s="1"/>
      <c r="B2952" s="48" t="s">
        <v>43</v>
      </c>
      <c r="C2952" s="49"/>
      <c r="D2952" s="86" t="b">
        <v>0</v>
      </c>
      <c r="E2952" s="66"/>
      <c r="F2952" s="52" t="s">
        <v>37</v>
      </c>
      <c r="G2952" s="67"/>
      <c r="H2952" s="80"/>
      <c r="I2952" s="69"/>
      <c r="J2952" s="72"/>
      <c r="K2952" s="73"/>
      <c r="L2952" s="72"/>
      <c r="M2952" s="73"/>
      <c r="N2952" s="72"/>
      <c r="O2952" s="73"/>
      <c r="P2952" s="72"/>
      <c r="Q2952" s="73"/>
      <c r="R2952" s="72"/>
      <c r="S2952" s="73"/>
      <c r="T2952" s="72"/>
      <c r="U2952" s="73"/>
      <c r="V2952" s="72"/>
      <c r="W2952" s="73"/>
      <c r="X2952" s="72"/>
      <c r="Y2952" s="73"/>
      <c r="Z2952" s="74" t="b">
        <v>0</v>
      </c>
      <c r="AA2952" s="130">
        <f t="shared" si="1177"/>
        <v>0</v>
      </c>
      <c r="AB2952" s="131">
        <f t="shared" si="1178"/>
        <v>0</v>
      </c>
      <c r="AC2952" s="132">
        <f t="shared" si="1179"/>
        <v>0</v>
      </c>
      <c r="AD2952" s="133">
        <f t="shared" si="1180"/>
        <v>0</v>
      </c>
      <c r="AE2952" s="131">
        <f t="shared" si="1181"/>
        <v>0</v>
      </c>
      <c r="AF2952" s="133">
        <f t="shared" si="1182"/>
        <v>0</v>
      </c>
      <c r="AG2952" s="1"/>
    </row>
    <row r="2953" ht="21.0" customHeight="1">
      <c r="A2953" s="1"/>
      <c r="B2953" s="87" t="str">
        <f t="array" ref="B2953">"📌최근 인바디 결과 : "&amp;text(xlookup(B2945,'현황'!O:O,'현황'!O:O,,-1,-1),"m/d(ddd)")</f>
        <v>#REF!</v>
      </c>
      <c r="C2953" s="88"/>
      <c r="D2953" s="49"/>
      <c r="E2953" s="41"/>
      <c r="F2953" s="52" t="s">
        <v>40</v>
      </c>
      <c r="G2953" s="79"/>
      <c r="H2953" s="80"/>
      <c r="I2953" s="69"/>
      <c r="J2953" s="72"/>
      <c r="K2953" s="73"/>
      <c r="L2953" s="72"/>
      <c r="M2953" s="73"/>
      <c r="N2953" s="72"/>
      <c r="O2953" s="73"/>
      <c r="P2953" s="72"/>
      <c r="Q2953" s="73"/>
      <c r="R2953" s="72"/>
      <c r="S2953" s="73"/>
      <c r="T2953" s="72"/>
      <c r="U2953" s="73"/>
      <c r="V2953" s="72"/>
      <c r="W2953" s="73"/>
      <c r="X2953" s="72"/>
      <c r="Y2953" s="73"/>
      <c r="Z2953" s="74" t="b">
        <v>0</v>
      </c>
      <c r="AA2953" s="130">
        <f t="shared" si="1177"/>
        <v>0</v>
      </c>
      <c r="AB2953" s="131">
        <f t="shared" si="1178"/>
        <v>0</v>
      </c>
      <c r="AC2953" s="132">
        <f t="shared" si="1179"/>
        <v>0</v>
      </c>
      <c r="AD2953" s="133">
        <f t="shared" si="1180"/>
        <v>0</v>
      </c>
      <c r="AE2953" s="131">
        <f t="shared" si="1181"/>
        <v>0</v>
      </c>
      <c r="AF2953" s="133">
        <f t="shared" si="1182"/>
        <v>0</v>
      </c>
      <c r="AG2953" s="1"/>
    </row>
    <row r="2954" ht="21.0" customHeight="1">
      <c r="A2954" s="1"/>
      <c r="B2954" s="89" t="s">
        <v>44</v>
      </c>
      <c r="C2954" s="49"/>
      <c r="D2954" s="90">
        <f t="array" ref="D2954">iferror(vlookup(xlookup(B2945,'현황'!O:O,'현황'!O:O,,-1,-1),'현황'!O:S,2,false),0)</f>
        <v>0</v>
      </c>
      <c r="E2954" s="51" t="s">
        <v>45</v>
      </c>
      <c r="F2954" s="52" t="s">
        <v>34</v>
      </c>
      <c r="G2954" s="83"/>
      <c r="H2954" s="84"/>
      <c r="I2954" s="85"/>
      <c r="J2954" s="72"/>
      <c r="K2954" s="73"/>
      <c r="L2954" s="72"/>
      <c r="M2954" s="73"/>
      <c r="N2954" s="72"/>
      <c r="O2954" s="73"/>
      <c r="P2954" s="72"/>
      <c r="Q2954" s="73"/>
      <c r="R2954" s="72"/>
      <c r="S2954" s="73"/>
      <c r="T2954" s="72"/>
      <c r="U2954" s="73"/>
      <c r="V2954" s="72"/>
      <c r="W2954" s="73"/>
      <c r="X2954" s="72"/>
      <c r="Y2954" s="73"/>
      <c r="Z2954" s="74" t="b">
        <v>0</v>
      </c>
      <c r="AA2954" s="130">
        <f t="shared" si="1177"/>
        <v>0</v>
      </c>
      <c r="AB2954" s="131">
        <f t="shared" si="1178"/>
        <v>0</v>
      </c>
      <c r="AC2954" s="132">
        <f t="shared" si="1179"/>
        <v>0</v>
      </c>
      <c r="AD2954" s="133">
        <f t="shared" si="1180"/>
        <v>0</v>
      </c>
      <c r="AE2954" s="131">
        <f t="shared" si="1181"/>
        <v>0</v>
      </c>
      <c r="AF2954" s="133">
        <f t="shared" si="1182"/>
        <v>0</v>
      </c>
      <c r="AG2954" s="1"/>
    </row>
    <row r="2955" ht="21.0" customHeight="1">
      <c r="A2955" s="1"/>
      <c r="B2955" s="48" t="s">
        <v>46</v>
      </c>
      <c r="C2955" s="49"/>
      <c r="D2955" s="91">
        <f t="array" ref="D2955">iferror(vlookup(xlookup(B2945,'현황'!O:O,'현황'!O:O,,-1,-1),'현황'!O:S,3,false),0)</f>
        <v>0</v>
      </c>
      <c r="E2955" s="66"/>
      <c r="F2955" s="52" t="s">
        <v>37</v>
      </c>
      <c r="G2955" s="67"/>
      <c r="H2955" s="80"/>
      <c r="I2955" s="69"/>
      <c r="J2955" s="72"/>
      <c r="K2955" s="73"/>
      <c r="L2955" s="72"/>
      <c r="M2955" s="73"/>
      <c r="N2955" s="72"/>
      <c r="O2955" s="73"/>
      <c r="P2955" s="72"/>
      <c r="Q2955" s="73"/>
      <c r="R2955" s="72"/>
      <c r="S2955" s="73"/>
      <c r="T2955" s="72"/>
      <c r="U2955" s="73"/>
      <c r="V2955" s="72"/>
      <c r="W2955" s="73"/>
      <c r="X2955" s="72"/>
      <c r="Y2955" s="73"/>
      <c r="Z2955" s="74" t="b">
        <v>0</v>
      </c>
      <c r="AA2955" s="130">
        <f t="shared" si="1177"/>
        <v>0</v>
      </c>
      <c r="AB2955" s="131">
        <f t="shared" si="1178"/>
        <v>0</v>
      </c>
      <c r="AC2955" s="132">
        <f t="shared" si="1179"/>
        <v>0</v>
      </c>
      <c r="AD2955" s="133">
        <f t="shared" si="1180"/>
        <v>0</v>
      </c>
      <c r="AE2955" s="131">
        <f t="shared" si="1181"/>
        <v>0</v>
      </c>
      <c r="AF2955" s="133">
        <f t="shared" si="1182"/>
        <v>0</v>
      </c>
      <c r="AG2955" s="1"/>
    </row>
    <row r="2956" ht="21.0" customHeight="1">
      <c r="A2956" s="1"/>
      <c r="B2956" s="48" t="s">
        <v>47</v>
      </c>
      <c r="C2956" s="49"/>
      <c r="D2956" s="91">
        <f t="array" ref="D2956">iferror(vlookup(xlookup(B2945,'현황'!O:O,'현황'!O:O,,-1,-1),'현황'!O:S,4,false),0)</f>
        <v>0</v>
      </c>
      <c r="E2956" s="41"/>
      <c r="F2956" s="92" t="s">
        <v>40</v>
      </c>
      <c r="G2956" s="79"/>
      <c r="H2956" s="93"/>
      <c r="I2956" s="94"/>
      <c r="J2956" s="95"/>
      <c r="K2956" s="96"/>
      <c r="L2956" s="95"/>
      <c r="M2956" s="96"/>
      <c r="N2956" s="95"/>
      <c r="O2956" s="96"/>
      <c r="P2956" s="95"/>
      <c r="Q2956" s="96"/>
      <c r="R2956" s="95"/>
      <c r="S2956" s="96"/>
      <c r="T2956" s="95"/>
      <c r="U2956" s="96"/>
      <c r="V2956" s="95"/>
      <c r="W2956" s="96"/>
      <c r="X2956" s="95"/>
      <c r="Y2956" s="96"/>
      <c r="Z2956" s="97" t="b">
        <v>0</v>
      </c>
      <c r="AA2956" s="135">
        <f t="shared" si="1177"/>
        <v>0</v>
      </c>
      <c r="AB2956" s="136">
        <f t="shared" si="1178"/>
        <v>0</v>
      </c>
      <c r="AC2956" s="137">
        <f t="shared" si="1179"/>
        <v>0</v>
      </c>
      <c r="AD2956" s="138">
        <f t="shared" si="1180"/>
        <v>0</v>
      </c>
      <c r="AE2956" s="136">
        <f t="shared" si="1181"/>
        <v>0</v>
      </c>
      <c r="AF2956" s="138">
        <f t="shared" si="1182"/>
        <v>0</v>
      </c>
      <c r="AG2956" s="1"/>
    </row>
    <row r="2957" ht="21.0" customHeight="1">
      <c r="A2957" s="1"/>
      <c r="B2957" s="102" t="s">
        <v>48</v>
      </c>
      <c r="C2957" s="103"/>
      <c r="D2957" s="104">
        <f>iferror(D2956/D2954,0)</f>
        <v>0</v>
      </c>
      <c r="E2957" s="102" t="s">
        <v>49</v>
      </c>
      <c r="F2957" s="103"/>
      <c r="G2957" s="105"/>
      <c r="H2957" s="106" t="s">
        <v>50</v>
      </c>
      <c r="I2957" s="107"/>
      <c r="J2957" s="11"/>
      <c r="K2957" s="11"/>
      <c r="L2957" s="11"/>
      <c r="M2957" s="11"/>
      <c r="N2957" s="11"/>
      <c r="O2957" s="11"/>
      <c r="P2957" s="108" t="s">
        <v>51</v>
      </c>
      <c r="Q2957" s="12"/>
      <c r="R2957" s="109"/>
      <c r="S2957" s="11"/>
      <c r="T2957" s="11"/>
      <c r="U2957" s="11"/>
      <c r="V2957" s="11"/>
      <c r="W2957" s="11"/>
      <c r="X2957" s="11"/>
      <c r="Y2957" s="11"/>
      <c r="Z2957" s="12"/>
      <c r="AA2957" s="139">
        <f>SUM(AA2948:AA2956)</f>
        <v>0</v>
      </c>
      <c r="AB2957" s="140" t="s">
        <v>491</v>
      </c>
      <c r="AG2957" s="1"/>
    </row>
    <row r="2958" ht="21.0" customHeight="1">
      <c r="A2958" s="1"/>
      <c r="B2958" s="1"/>
      <c r="C2958" s="1"/>
      <c r="D2958" s="1"/>
      <c r="E2958" s="1"/>
      <c r="F2958" s="1"/>
      <c r="G2958" s="1"/>
      <c r="H2958" s="1"/>
      <c r="I2958" s="1"/>
      <c r="AA2958" s="1"/>
      <c r="AB2958" s="1"/>
      <c r="AC2958" s="3"/>
      <c r="AD2958" s="1"/>
      <c r="AE2958" s="1"/>
      <c r="AF2958" s="1"/>
      <c r="AG2958" s="1"/>
    </row>
    <row r="2959" ht="21.0" customHeight="1">
      <c r="A2959" s="1"/>
      <c r="B2959" s="4" t="s">
        <v>1</v>
      </c>
      <c r="C2959" s="5"/>
      <c r="D2959" s="6" t="s">
        <v>2</v>
      </c>
      <c r="E2959" s="7"/>
      <c r="F2959" s="7"/>
      <c r="G2959" s="5"/>
      <c r="H2959" s="8" t="s">
        <v>3</v>
      </c>
      <c r="I2959" s="8" t="s">
        <v>4</v>
      </c>
      <c r="J2959" s="9" t="s">
        <v>5</v>
      </c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5"/>
      <c r="AA2959" s="117" t="s">
        <v>6</v>
      </c>
      <c r="AB2959" s="11"/>
      <c r="AC2959" s="11"/>
      <c r="AD2959" s="11"/>
      <c r="AE2959" s="11"/>
      <c r="AF2959" s="12"/>
      <c r="AG2959" s="1"/>
    </row>
    <row r="2960" ht="21.0" customHeight="1">
      <c r="A2960" s="1"/>
      <c r="B2960" s="149" t="s">
        <v>138</v>
      </c>
      <c r="C2960" s="14" t="str">
        <f>if(B2960="0/0","",choose(weekday(B2960),"(일)","(월)","(화)","(수)","(목)","(금)","(토)"))</f>
        <v/>
      </c>
      <c r="D2960" s="15" t="s">
        <v>7</v>
      </c>
      <c r="E2960" s="16" t="s">
        <v>8</v>
      </c>
      <c r="F2960" s="17"/>
      <c r="G2960" s="18" t="s">
        <v>9</v>
      </c>
      <c r="H2960" s="150" t="s">
        <v>139</v>
      </c>
      <c r="I2960" s="151"/>
      <c r="J2960" s="21" t="s">
        <v>12</v>
      </c>
      <c r="K2960" s="22"/>
      <c r="L2960" s="21" t="s">
        <v>13</v>
      </c>
      <c r="M2960" s="22"/>
      <c r="N2960" s="21" t="s">
        <v>14</v>
      </c>
      <c r="O2960" s="22"/>
      <c r="P2960" s="21" t="s">
        <v>15</v>
      </c>
      <c r="Q2960" s="22"/>
      <c r="R2960" s="23" t="s">
        <v>16</v>
      </c>
      <c r="S2960" s="22"/>
      <c r="T2960" s="23" t="s">
        <v>17</v>
      </c>
      <c r="U2960" s="22"/>
      <c r="V2960" s="23" t="s">
        <v>18</v>
      </c>
      <c r="W2960" s="22"/>
      <c r="X2960" s="23" t="s">
        <v>19</v>
      </c>
      <c r="Y2960" s="22"/>
      <c r="Z2960" s="24" t="s">
        <v>492</v>
      </c>
      <c r="AA2960" s="118" t="s">
        <v>21</v>
      </c>
      <c r="AB2960" s="119" t="s">
        <v>22</v>
      </c>
      <c r="AC2960" s="7"/>
      <c r="AD2960" s="22"/>
      <c r="AE2960" s="120" t="s">
        <v>23</v>
      </c>
      <c r="AF2960" s="22"/>
      <c r="AG2960" s="1"/>
    </row>
    <row r="2961" ht="21.0" customHeight="1">
      <c r="A2961" s="1"/>
      <c r="B2961" s="27">
        <f>iferror(B2960-'현황'!$C$4+1,0)</f>
        <v>0</v>
      </c>
      <c r="C2961" s="28"/>
      <c r="D2961" s="29">
        <v>0.0</v>
      </c>
      <c r="E2961" s="30">
        <v>0.0</v>
      </c>
      <c r="F2961" s="31"/>
      <c r="G2961" s="32">
        <v>0.0</v>
      </c>
      <c r="H2961" s="33">
        <v>0.0</v>
      </c>
      <c r="I2961" s="34"/>
      <c r="J2961" s="35"/>
      <c r="K2961" s="36"/>
      <c r="L2961" s="35"/>
      <c r="M2961" s="36"/>
      <c r="N2961" s="35"/>
      <c r="O2961" s="36"/>
      <c r="P2961" s="35"/>
      <c r="Q2961" s="36"/>
      <c r="R2961" s="35"/>
      <c r="S2961" s="36"/>
      <c r="T2961" s="35"/>
      <c r="U2961" s="36"/>
      <c r="V2961" s="35"/>
      <c r="W2961" s="36"/>
      <c r="X2961" s="35"/>
      <c r="Y2961" s="36"/>
      <c r="Z2961" s="37"/>
      <c r="AA2961" s="37"/>
      <c r="AB2961" s="35"/>
      <c r="AC2961" s="38"/>
      <c r="AD2961" s="36"/>
      <c r="AE2961" s="35"/>
      <c r="AF2961" s="36"/>
      <c r="AG2961" s="1"/>
    </row>
    <row r="2962" ht="21.0" customHeight="1">
      <c r="A2962" s="1"/>
      <c r="B2962" s="39" t="s">
        <v>24</v>
      </c>
      <c r="C2962" s="40"/>
      <c r="D2962" s="41"/>
      <c r="E2962" s="42" t="s">
        <v>25</v>
      </c>
      <c r="F2962" s="40"/>
      <c r="G2962" s="41"/>
      <c r="H2962" s="43" t="s">
        <v>26</v>
      </c>
      <c r="J2962" s="44" t="s">
        <v>27</v>
      </c>
      <c r="K2962" s="45" t="s">
        <v>28</v>
      </c>
      <c r="L2962" s="44" t="s">
        <v>27</v>
      </c>
      <c r="M2962" s="45" t="s">
        <v>28</v>
      </c>
      <c r="N2962" s="44" t="s">
        <v>27</v>
      </c>
      <c r="O2962" s="45" t="s">
        <v>28</v>
      </c>
      <c r="P2962" s="44" t="s">
        <v>27</v>
      </c>
      <c r="Q2962" s="45" t="s">
        <v>28</v>
      </c>
      <c r="R2962" s="44" t="s">
        <v>27</v>
      </c>
      <c r="S2962" s="45" t="s">
        <v>28</v>
      </c>
      <c r="T2962" s="44" t="s">
        <v>27</v>
      </c>
      <c r="U2962" s="45" t="s">
        <v>28</v>
      </c>
      <c r="V2962" s="44" t="s">
        <v>27</v>
      </c>
      <c r="W2962" s="45" t="s">
        <v>28</v>
      </c>
      <c r="X2962" s="44" t="s">
        <v>27</v>
      </c>
      <c r="Y2962" s="45" t="s">
        <v>28</v>
      </c>
      <c r="Z2962" s="46"/>
      <c r="AA2962" s="46"/>
      <c r="AB2962" s="121" t="s">
        <v>29</v>
      </c>
      <c r="AC2962" s="122" t="s">
        <v>30</v>
      </c>
      <c r="AD2962" s="123" t="s">
        <v>31</v>
      </c>
      <c r="AE2962" s="121" t="s">
        <v>27</v>
      </c>
      <c r="AF2962" s="123" t="s">
        <v>28</v>
      </c>
      <c r="AG2962" s="1"/>
    </row>
    <row r="2963" ht="21.0" customHeight="1">
      <c r="A2963" s="1"/>
      <c r="B2963" s="48" t="s">
        <v>32</v>
      </c>
      <c r="C2963" s="49"/>
      <c r="D2963" s="50"/>
      <c r="E2963" s="51" t="s">
        <v>33</v>
      </c>
      <c r="F2963" s="52" t="s">
        <v>34</v>
      </c>
      <c r="G2963" s="53"/>
      <c r="H2963" s="148"/>
      <c r="I2963" s="55"/>
      <c r="J2963" s="58"/>
      <c r="K2963" s="59"/>
      <c r="L2963" s="58"/>
      <c r="M2963" s="59"/>
      <c r="N2963" s="58"/>
      <c r="O2963" s="59"/>
      <c r="P2963" s="58"/>
      <c r="Q2963" s="59"/>
      <c r="R2963" s="58"/>
      <c r="S2963" s="59"/>
      <c r="T2963" s="58"/>
      <c r="U2963" s="59"/>
      <c r="V2963" s="58"/>
      <c r="W2963" s="59"/>
      <c r="X2963" s="58"/>
      <c r="Y2963" s="59"/>
      <c r="Z2963" s="60" t="b">
        <v>0</v>
      </c>
      <c r="AA2963" s="125">
        <f t="shared" ref="AA2963:AA2971" si="1183">(J2963*K2963+L2963*M2963+N2963*O2963+P2963*Q2963+R2963*S2963+T2963*U2963+V2963*W2963+X2963*Y2963)*if(Z2963=true,0.453592,1)</f>
        <v>0</v>
      </c>
      <c r="AB2963" s="126">
        <f t="shared" ref="AB2963:AB2971" si="1184">SUM(AE2963*AF2963*0.025,AE2963)</f>
        <v>0</v>
      </c>
      <c r="AC2963" s="127">
        <f t="shared" ref="AC2963:AC2971" si="1185">AB2963*87%</f>
        <v>0</v>
      </c>
      <c r="AD2963" s="128">
        <f t="shared" ref="AD2963:AD2971" si="1186">AB2963*67%</f>
        <v>0</v>
      </c>
      <c r="AE2963" s="126">
        <f t="shared" ref="AE2963:AE2971" si="1187">MAX(J2963,L2963,N2963,P2963,R2963,T2963,V2963,X2963)*if(Z2963=true,0.453592,1)</f>
        <v>0</v>
      </c>
      <c r="AF2963" s="128">
        <f t="shared" ref="AF2963:AF2971" si="1188">MAX(IF(J2963*if(Z2963=true,0.453592,1)=$AE2963,K2963,0),IF(L2963*if(Z2963=true,0.453592,1)=$AE2963,M2963,0),IF(N2963*if(Z2963=true,0.453592,1)=$AE2963,O2963,0),IF(P2963*if(Z2963=true,0.453592,1)=$AE2963,Q2963,0),IF(R2963*if(Z2963=true,0.453592,1)=$AE2963,S2963,0),IF(T2963*if(Z2963=true,0.453592,1)=$AE2963,U2963,0),IF(V2963*if(Z2963=true,0.453592,1)=$AE2963,W2963,0),IF(X2963*if(Z2963=true,0.453592,1)=$AE2963,Y2963,0))</f>
        <v>0</v>
      </c>
      <c r="AG2963" s="1"/>
    </row>
    <row r="2964" ht="21.0" customHeight="1">
      <c r="A2964" s="1"/>
      <c r="B2964" s="48" t="s">
        <v>36</v>
      </c>
      <c r="C2964" s="49"/>
      <c r="D2964" s="65"/>
      <c r="E2964" s="66"/>
      <c r="F2964" s="52" t="s">
        <v>37</v>
      </c>
      <c r="G2964" s="67"/>
      <c r="H2964" s="129"/>
      <c r="I2964" s="69"/>
      <c r="J2964" s="72"/>
      <c r="K2964" s="73"/>
      <c r="L2964" s="72"/>
      <c r="M2964" s="73"/>
      <c r="N2964" s="72"/>
      <c r="O2964" s="73"/>
      <c r="P2964" s="72"/>
      <c r="Q2964" s="73"/>
      <c r="R2964" s="72"/>
      <c r="S2964" s="73"/>
      <c r="T2964" s="72"/>
      <c r="U2964" s="73"/>
      <c r="V2964" s="72"/>
      <c r="W2964" s="73"/>
      <c r="X2964" s="72"/>
      <c r="Y2964" s="73"/>
      <c r="Z2964" s="74" t="b">
        <v>0</v>
      </c>
      <c r="AA2964" s="130">
        <f t="shared" si="1183"/>
        <v>0</v>
      </c>
      <c r="AB2964" s="131">
        <f t="shared" si="1184"/>
        <v>0</v>
      </c>
      <c r="AC2964" s="132">
        <f t="shared" si="1185"/>
        <v>0</v>
      </c>
      <c r="AD2964" s="133">
        <f t="shared" si="1186"/>
        <v>0</v>
      </c>
      <c r="AE2964" s="131">
        <f t="shared" si="1187"/>
        <v>0</v>
      </c>
      <c r="AF2964" s="133">
        <f t="shared" si="1188"/>
        <v>0</v>
      </c>
      <c r="AG2964" s="1"/>
    </row>
    <row r="2965" ht="21.0" customHeight="1">
      <c r="A2965" s="1"/>
      <c r="B2965" s="48" t="s">
        <v>39</v>
      </c>
      <c r="C2965" s="49"/>
      <c r="D2965" s="65"/>
      <c r="E2965" s="41"/>
      <c r="F2965" s="52" t="s">
        <v>40</v>
      </c>
      <c r="G2965" s="79"/>
      <c r="H2965" s="80"/>
      <c r="I2965" s="69"/>
      <c r="J2965" s="72"/>
      <c r="K2965" s="73"/>
      <c r="L2965" s="72"/>
      <c r="M2965" s="73"/>
      <c r="N2965" s="72"/>
      <c r="O2965" s="73"/>
      <c r="P2965" s="72"/>
      <c r="Q2965" s="73"/>
      <c r="R2965" s="72"/>
      <c r="S2965" s="73"/>
      <c r="T2965" s="72"/>
      <c r="U2965" s="73"/>
      <c r="V2965" s="72"/>
      <c r="W2965" s="73"/>
      <c r="X2965" s="72"/>
      <c r="Y2965" s="73"/>
      <c r="Z2965" s="74" t="b">
        <v>0</v>
      </c>
      <c r="AA2965" s="130">
        <f t="shared" si="1183"/>
        <v>0</v>
      </c>
      <c r="AB2965" s="131">
        <f t="shared" si="1184"/>
        <v>0</v>
      </c>
      <c r="AC2965" s="132">
        <f t="shared" si="1185"/>
        <v>0</v>
      </c>
      <c r="AD2965" s="133">
        <f t="shared" si="1186"/>
        <v>0</v>
      </c>
      <c r="AE2965" s="131">
        <f t="shared" si="1187"/>
        <v>0</v>
      </c>
      <c r="AF2965" s="133">
        <f t="shared" si="1188"/>
        <v>0</v>
      </c>
      <c r="AG2965" s="1"/>
    </row>
    <row r="2966" ht="21.0" customHeight="1">
      <c r="A2966" s="1"/>
      <c r="B2966" s="48" t="s">
        <v>41</v>
      </c>
      <c r="C2966" s="81"/>
      <c r="D2966" s="82" t="b">
        <v>0</v>
      </c>
      <c r="E2966" s="51" t="s">
        <v>42</v>
      </c>
      <c r="F2966" s="52" t="s">
        <v>34</v>
      </c>
      <c r="G2966" s="83"/>
      <c r="H2966" s="84"/>
      <c r="I2966" s="85"/>
      <c r="J2966" s="72"/>
      <c r="K2966" s="73"/>
      <c r="L2966" s="72"/>
      <c r="M2966" s="73"/>
      <c r="N2966" s="72"/>
      <c r="O2966" s="73"/>
      <c r="P2966" s="72"/>
      <c r="Q2966" s="73"/>
      <c r="R2966" s="72"/>
      <c r="S2966" s="73"/>
      <c r="T2966" s="72"/>
      <c r="U2966" s="73"/>
      <c r="V2966" s="72"/>
      <c r="W2966" s="73"/>
      <c r="X2966" s="72"/>
      <c r="Y2966" s="73"/>
      <c r="Z2966" s="74" t="b">
        <v>0</v>
      </c>
      <c r="AA2966" s="130">
        <f t="shared" si="1183"/>
        <v>0</v>
      </c>
      <c r="AB2966" s="131">
        <f t="shared" si="1184"/>
        <v>0</v>
      </c>
      <c r="AC2966" s="132">
        <f t="shared" si="1185"/>
        <v>0</v>
      </c>
      <c r="AD2966" s="133">
        <f t="shared" si="1186"/>
        <v>0</v>
      </c>
      <c r="AE2966" s="131">
        <f t="shared" si="1187"/>
        <v>0</v>
      </c>
      <c r="AF2966" s="133">
        <f t="shared" si="1188"/>
        <v>0</v>
      </c>
      <c r="AG2966" s="1"/>
    </row>
    <row r="2967" ht="21.0" customHeight="1">
      <c r="A2967" s="1"/>
      <c r="B2967" s="48" t="s">
        <v>43</v>
      </c>
      <c r="C2967" s="49"/>
      <c r="D2967" s="86" t="b">
        <v>0</v>
      </c>
      <c r="E2967" s="66"/>
      <c r="F2967" s="52" t="s">
        <v>37</v>
      </c>
      <c r="G2967" s="67"/>
      <c r="H2967" s="80"/>
      <c r="I2967" s="69"/>
      <c r="J2967" s="72"/>
      <c r="K2967" s="73"/>
      <c r="L2967" s="72"/>
      <c r="M2967" s="73"/>
      <c r="N2967" s="72"/>
      <c r="O2967" s="73"/>
      <c r="P2967" s="72"/>
      <c r="Q2967" s="73"/>
      <c r="R2967" s="72"/>
      <c r="S2967" s="73"/>
      <c r="T2967" s="72"/>
      <c r="U2967" s="73"/>
      <c r="V2967" s="72"/>
      <c r="W2967" s="73"/>
      <c r="X2967" s="72"/>
      <c r="Y2967" s="73"/>
      <c r="Z2967" s="74" t="b">
        <v>0</v>
      </c>
      <c r="AA2967" s="130">
        <f t="shared" si="1183"/>
        <v>0</v>
      </c>
      <c r="AB2967" s="131">
        <f t="shared" si="1184"/>
        <v>0</v>
      </c>
      <c r="AC2967" s="132">
        <f t="shared" si="1185"/>
        <v>0</v>
      </c>
      <c r="AD2967" s="133">
        <f t="shared" si="1186"/>
        <v>0</v>
      </c>
      <c r="AE2967" s="131">
        <f t="shared" si="1187"/>
        <v>0</v>
      </c>
      <c r="AF2967" s="133">
        <f t="shared" si="1188"/>
        <v>0</v>
      </c>
      <c r="AG2967" s="1"/>
    </row>
    <row r="2968" ht="21.0" customHeight="1">
      <c r="A2968" s="1"/>
      <c r="B2968" s="87" t="str">
        <f t="array" ref="B2968">"📌최근 인바디 결과 : "&amp;text(xlookup(B2960,'현황'!O:O,'현황'!O:O,,-1,-1),"m/d(ddd)")</f>
        <v>#REF!</v>
      </c>
      <c r="C2968" s="88"/>
      <c r="D2968" s="49"/>
      <c r="E2968" s="41"/>
      <c r="F2968" s="52" t="s">
        <v>40</v>
      </c>
      <c r="G2968" s="79"/>
      <c r="H2968" s="80"/>
      <c r="I2968" s="69"/>
      <c r="J2968" s="72"/>
      <c r="K2968" s="73"/>
      <c r="L2968" s="72"/>
      <c r="M2968" s="73"/>
      <c r="N2968" s="72"/>
      <c r="O2968" s="73"/>
      <c r="P2968" s="72"/>
      <c r="Q2968" s="73"/>
      <c r="R2968" s="72"/>
      <c r="S2968" s="73"/>
      <c r="T2968" s="72"/>
      <c r="U2968" s="73"/>
      <c r="V2968" s="72"/>
      <c r="W2968" s="73"/>
      <c r="X2968" s="72"/>
      <c r="Y2968" s="73"/>
      <c r="Z2968" s="74" t="b">
        <v>0</v>
      </c>
      <c r="AA2968" s="130">
        <f t="shared" si="1183"/>
        <v>0</v>
      </c>
      <c r="AB2968" s="131">
        <f t="shared" si="1184"/>
        <v>0</v>
      </c>
      <c r="AC2968" s="132">
        <f t="shared" si="1185"/>
        <v>0</v>
      </c>
      <c r="AD2968" s="133">
        <f t="shared" si="1186"/>
        <v>0</v>
      </c>
      <c r="AE2968" s="131">
        <f t="shared" si="1187"/>
        <v>0</v>
      </c>
      <c r="AF2968" s="133">
        <f t="shared" si="1188"/>
        <v>0</v>
      </c>
      <c r="AG2968" s="1"/>
    </row>
    <row r="2969" ht="21.0" customHeight="1">
      <c r="A2969" s="1"/>
      <c r="B2969" s="89" t="s">
        <v>44</v>
      </c>
      <c r="C2969" s="49"/>
      <c r="D2969" s="90">
        <f t="array" ref="D2969">iferror(vlookup(xlookup(B2960,'현황'!O:O,'현황'!O:O,,-1,-1),'현황'!O:S,2,false),0)</f>
        <v>0</v>
      </c>
      <c r="E2969" s="51" t="s">
        <v>45</v>
      </c>
      <c r="F2969" s="52" t="s">
        <v>34</v>
      </c>
      <c r="G2969" s="83"/>
      <c r="H2969" s="84"/>
      <c r="I2969" s="85"/>
      <c r="J2969" s="72"/>
      <c r="K2969" s="73"/>
      <c r="L2969" s="72"/>
      <c r="M2969" s="73"/>
      <c r="N2969" s="72"/>
      <c r="O2969" s="73"/>
      <c r="P2969" s="72"/>
      <c r="Q2969" s="73"/>
      <c r="R2969" s="72"/>
      <c r="S2969" s="73"/>
      <c r="T2969" s="72"/>
      <c r="U2969" s="73"/>
      <c r="V2969" s="72"/>
      <c r="W2969" s="73"/>
      <c r="X2969" s="72"/>
      <c r="Y2969" s="73"/>
      <c r="Z2969" s="74" t="b">
        <v>0</v>
      </c>
      <c r="AA2969" s="130">
        <f t="shared" si="1183"/>
        <v>0</v>
      </c>
      <c r="AB2969" s="131">
        <f t="shared" si="1184"/>
        <v>0</v>
      </c>
      <c r="AC2969" s="132">
        <f t="shared" si="1185"/>
        <v>0</v>
      </c>
      <c r="AD2969" s="133">
        <f t="shared" si="1186"/>
        <v>0</v>
      </c>
      <c r="AE2969" s="131">
        <f t="shared" si="1187"/>
        <v>0</v>
      </c>
      <c r="AF2969" s="133">
        <f t="shared" si="1188"/>
        <v>0</v>
      </c>
      <c r="AG2969" s="1"/>
    </row>
    <row r="2970" ht="21.0" customHeight="1">
      <c r="A2970" s="1"/>
      <c r="B2970" s="48" t="s">
        <v>46</v>
      </c>
      <c r="C2970" s="49"/>
      <c r="D2970" s="91">
        <f t="array" ref="D2970">iferror(vlookup(xlookup(B2960,'현황'!O:O,'현황'!O:O,,-1,-1),'현황'!O:S,3,false),0)</f>
        <v>0</v>
      </c>
      <c r="E2970" s="66"/>
      <c r="F2970" s="52" t="s">
        <v>37</v>
      </c>
      <c r="G2970" s="67"/>
      <c r="H2970" s="80"/>
      <c r="I2970" s="69"/>
      <c r="J2970" s="72"/>
      <c r="K2970" s="73"/>
      <c r="L2970" s="72"/>
      <c r="M2970" s="73"/>
      <c r="N2970" s="72"/>
      <c r="O2970" s="73"/>
      <c r="P2970" s="72"/>
      <c r="Q2970" s="73"/>
      <c r="R2970" s="72"/>
      <c r="S2970" s="73"/>
      <c r="T2970" s="72"/>
      <c r="U2970" s="73"/>
      <c r="V2970" s="72"/>
      <c r="W2970" s="73"/>
      <c r="X2970" s="72"/>
      <c r="Y2970" s="73"/>
      <c r="Z2970" s="74" t="b">
        <v>0</v>
      </c>
      <c r="AA2970" s="130">
        <f t="shared" si="1183"/>
        <v>0</v>
      </c>
      <c r="AB2970" s="131">
        <f t="shared" si="1184"/>
        <v>0</v>
      </c>
      <c r="AC2970" s="132">
        <f t="shared" si="1185"/>
        <v>0</v>
      </c>
      <c r="AD2970" s="133">
        <f t="shared" si="1186"/>
        <v>0</v>
      </c>
      <c r="AE2970" s="131">
        <f t="shared" si="1187"/>
        <v>0</v>
      </c>
      <c r="AF2970" s="133">
        <f t="shared" si="1188"/>
        <v>0</v>
      </c>
      <c r="AG2970" s="1"/>
    </row>
    <row r="2971" ht="21.0" customHeight="1">
      <c r="A2971" s="1"/>
      <c r="B2971" s="48" t="s">
        <v>47</v>
      </c>
      <c r="C2971" s="49"/>
      <c r="D2971" s="91">
        <f t="array" ref="D2971">iferror(vlookup(xlookup(B2960,'현황'!O:O,'현황'!O:O,,-1,-1),'현황'!O:S,4,false),0)</f>
        <v>0</v>
      </c>
      <c r="E2971" s="41"/>
      <c r="F2971" s="92" t="s">
        <v>40</v>
      </c>
      <c r="G2971" s="79"/>
      <c r="H2971" s="93"/>
      <c r="I2971" s="94"/>
      <c r="J2971" s="95"/>
      <c r="K2971" s="96"/>
      <c r="L2971" s="95"/>
      <c r="M2971" s="96"/>
      <c r="N2971" s="95"/>
      <c r="O2971" s="96"/>
      <c r="P2971" s="95"/>
      <c r="Q2971" s="96"/>
      <c r="R2971" s="95"/>
      <c r="S2971" s="96"/>
      <c r="T2971" s="95"/>
      <c r="U2971" s="96"/>
      <c r="V2971" s="95"/>
      <c r="W2971" s="96"/>
      <c r="X2971" s="95"/>
      <c r="Y2971" s="96"/>
      <c r="Z2971" s="97" t="b">
        <v>0</v>
      </c>
      <c r="AA2971" s="135">
        <f t="shared" si="1183"/>
        <v>0</v>
      </c>
      <c r="AB2971" s="136">
        <f t="shared" si="1184"/>
        <v>0</v>
      </c>
      <c r="AC2971" s="137">
        <f t="shared" si="1185"/>
        <v>0</v>
      </c>
      <c r="AD2971" s="138">
        <f t="shared" si="1186"/>
        <v>0</v>
      </c>
      <c r="AE2971" s="136">
        <f t="shared" si="1187"/>
        <v>0</v>
      </c>
      <c r="AF2971" s="138">
        <f t="shared" si="1188"/>
        <v>0</v>
      </c>
      <c r="AG2971" s="1"/>
    </row>
    <row r="2972" ht="21.0" customHeight="1">
      <c r="A2972" s="1"/>
      <c r="B2972" s="102" t="s">
        <v>48</v>
      </c>
      <c r="C2972" s="103"/>
      <c r="D2972" s="104">
        <f>iferror(D2971/D2969,0)</f>
        <v>0</v>
      </c>
      <c r="E2972" s="102" t="s">
        <v>49</v>
      </c>
      <c r="F2972" s="103"/>
      <c r="G2972" s="105"/>
      <c r="H2972" s="106" t="s">
        <v>50</v>
      </c>
      <c r="I2972" s="107"/>
      <c r="J2972" s="11"/>
      <c r="K2972" s="11"/>
      <c r="L2972" s="11"/>
      <c r="M2972" s="11"/>
      <c r="N2972" s="11"/>
      <c r="O2972" s="11"/>
      <c r="P2972" s="108" t="s">
        <v>51</v>
      </c>
      <c r="Q2972" s="12"/>
      <c r="R2972" s="109"/>
      <c r="S2972" s="11"/>
      <c r="T2972" s="11"/>
      <c r="U2972" s="11"/>
      <c r="V2972" s="11"/>
      <c r="W2972" s="11"/>
      <c r="X2972" s="11"/>
      <c r="Y2972" s="11"/>
      <c r="Z2972" s="12"/>
      <c r="AA2972" s="139">
        <f>SUM(AA2963:AA2971)</f>
        <v>0</v>
      </c>
      <c r="AB2972" s="140" t="s">
        <v>493</v>
      </c>
      <c r="AG2972" s="1"/>
    </row>
    <row r="2973" ht="21.0" customHeight="1">
      <c r="A2973" s="1"/>
      <c r="B2973" s="1"/>
      <c r="C2973" s="1"/>
      <c r="D2973" s="1"/>
      <c r="E2973" s="1"/>
      <c r="F2973" s="1"/>
      <c r="G2973" s="1"/>
      <c r="H2973" s="1"/>
      <c r="I2973" s="1"/>
      <c r="AA2973" s="1"/>
      <c r="AB2973" s="1"/>
      <c r="AC2973" s="3"/>
      <c r="AD2973" s="1"/>
      <c r="AE2973" s="1"/>
      <c r="AF2973" s="1"/>
      <c r="AG2973" s="1"/>
    </row>
    <row r="2974" ht="21.0" customHeight="1">
      <c r="A2974" s="1"/>
      <c r="B2974" s="4" t="s">
        <v>1</v>
      </c>
      <c r="C2974" s="5"/>
      <c r="D2974" s="6" t="s">
        <v>2</v>
      </c>
      <c r="E2974" s="7"/>
      <c r="F2974" s="7"/>
      <c r="G2974" s="5"/>
      <c r="H2974" s="8" t="s">
        <v>3</v>
      </c>
      <c r="I2974" s="8" t="s">
        <v>4</v>
      </c>
      <c r="J2974" s="9" t="s">
        <v>5</v>
      </c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5"/>
      <c r="AA2974" s="117" t="s">
        <v>6</v>
      </c>
      <c r="AB2974" s="11"/>
      <c r="AC2974" s="11"/>
      <c r="AD2974" s="11"/>
      <c r="AE2974" s="11"/>
      <c r="AF2974" s="12"/>
      <c r="AG2974" s="1"/>
    </row>
    <row r="2975" ht="21.0" customHeight="1">
      <c r="A2975" s="1"/>
      <c r="B2975" s="149" t="s">
        <v>138</v>
      </c>
      <c r="C2975" s="14" t="str">
        <f>if(B2975="0/0","",choose(weekday(B2975),"(일)","(월)","(화)","(수)","(목)","(금)","(토)"))</f>
        <v/>
      </c>
      <c r="D2975" s="15" t="s">
        <v>7</v>
      </c>
      <c r="E2975" s="16" t="s">
        <v>8</v>
      </c>
      <c r="F2975" s="17"/>
      <c r="G2975" s="18" t="s">
        <v>9</v>
      </c>
      <c r="H2975" s="150" t="s">
        <v>139</v>
      </c>
      <c r="I2975" s="151"/>
      <c r="J2975" s="21" t="s">
        <v>12</v>
      </c>
      <c r="K2975" s="22"/>
      <c r="L2975" s="21" t="s">
        <v>13</v>
      </c>
      <c r="M2975" s="22"/>
      <c r="N2975" s="21" t="s">
        <v>14</v>
      </c>
      <c r="O2975" s="22"/>
      <c r="P2975" s="21" t="s">
        <v>15</v>
      </c>
      <c r="Q2975" s="22"/>
      <c r="R2975" s="23" t="s">
        <v>16</v>
      </c>
      <c r="S2975" s="22"/>
      <c r="T2975" s="23" t="s">
        <v>17</v>
      </c>
      <c r="U2975" s="22"/>
      <c r="V2975" s="23" t="s">
        <v>18</v>
      </c>
      <c r="W2975" s="22"/>
      <c r="X2975" s="23" t="s">
        <v>19</v>
      </c>
      <c r="Y2975" s="22"/>
      <c r="Z2975" s="24" t="s">
        <v>494</v>
      </c>
      <c r="AA2975" s="118" t="s">
        <v>21</v>
      </c>
      <c r="AB2975" s="119" t="s">
        <v>22</v>
      </c>
      <c r="AC2975" s="7"/>
      <c r="AD2975" s="22"/>
      <c r="AE2975" s="120" t="s">
        <v>23</v>
      </c>
      <c r="AF2975" s="22"/>
      <c r="AG2975" s="1"/>
    </row>
    <row r="2976" ht="21.0" customHeight="1">
      <c r="A2976" s="1"/>
      <c r="B2976" s="27">
        <f>iferror(B2975-'현황'!$C$4+1,0)</f>
        <v>0</v>
      </c>
      <c r="C2976" s="28"/>
      <c r="D2976" s="29">
        <v>0.0</v>
      </c>
      <c r="E2976" s="30">
        <v>0.0</v>
      </c>
      <c r="F2976" s="31"/>
      <c r="G2976" s="32">
        <v>0.0</v>
      </c>
      <c r="H2976" s="33">
        <v>0.0</v>
      </c>
      <c r="I2976" s="34"/>
      <c r="J2976" s="35"/>
      <c r="K2976" s="36"/>
      <c r="L2976" s="35"/>
      <c r="M2976" s="36"/>
      <c r="N2976" s="35"/>
      <c r="O2976" s="36"/>
      <c r="P2976" s="35"/>
      <c r="Q2976" s="36"/>
      <c r="R2976" s="35"/>
      <c r="S2976" s="36"/>
      <c r="T2976" s="35"/>
      <c r="U2976" s="36"/>
      <c r="V2976" s="35"/>
      <c r="W2976" s="36"/>
      <c r="X2976" s="35"/>
      <c r="Y2976" s="36"/>
      <c r="Z2976" s="37"/>
      <c r="AA2976" s="37"/>
      <c r="AB2976" s="35"/>
      <c r="AC2976" s="38"/>
      <c r="AD2976" s="36"/>
      <c r="AE2976" s="35"/>
      <c r="AF2976" s="36"/>
      <c r="AG2976" s="1"/>
    </row>
    <row r="2977" ht="21.0" customHeight="1">
      <c r="A2977" s="1"/>
      <c r="B2977" s="39" t="s">
        <v>24</v>
      </c>
      <c r="C2977" s="40"/>
      <c r="D2977" s="41"/>
      <c r="E2977" s="42" t="s">
        <v>25</v>
      </c>
      <c r="F2977" s="40"/>
      <c r="G2977" s="41"/>
      <c r="H2977" s="43" t="s">
        <v>26</v>
      </c>
      <c r="J2977" s="44" t="s">
        <v>27</v>
      </c>
      <c r="K2977" s="45" t="s">
        <v>28</v>
      </c>
      <c r="L2977" s="44" t="s">
        <v>27</v>
      </c>
      <c r="M2977" s="45" t="s">
        <v>28</v>
      </c>
      <c r="N2977" s="44" t="s">
        <v>27</v>
      </c>
      <c r="O2977" s="45" t="s">
        <v>28</v>
      </c>
      <c r="P2977" s="44" t="s">
        <v>27</v>
      </c>
      <c r="Q2977" s="45" t="s">
        <v>28</v>
      </c>
      <c r="R2977" s="44" t="s">
        <v>27</v>
      </c>
      <c r="S2977" s="45" t="s">
        <v>28</v>
      </c>
      <c r="T2977" s="44" t="s">
        <v>27</v>
      </c>
      <c r="U2977" s="45" t="s">
        <v>28</v>
      </c>
      <c r="V2977" s="44" t="s">
        <v>27</v>
      </c>
      <c r="W2977" s="45" t="s">
        <v>28</v>
      </c>
      <c r="X2977" s="44" t="s">
        <v>27</v>
      </c>
      <c r="Y2977" s="45" t="s">
        <v>28</v>
      </c>
      <c r="Z2977" s="46"/>
      <c r="AA2977" s="46"/>
      <c r="AB2977" s="121" t="s">
        <v>29</v>
      </c>
      <c r="AC2977" s="122" t="s">
        <v>30</v>
      </c>
      <c r="AD2977" s="123" t="s">
        <v>31</v>
      </c>
      <c r="AE2977" s="121" t="s">
        <v>27</v>
      </c>
      <c r="AF2977" s="123" t="s">
        <v>28</v>
      </c>
      <c r="AG2977" s="1"/>
    </row>
    <row r="2978" ht="21.0" customHeight="1">
      <c r="A2978" s="1"/>
      <c r="B2978" s="48" t="s">
        <v>32</v>
      </c>
      <c r="C2978" s="49"/>
      <c r="D2978" s="50"/>
      <c r="E2978" s="51" t="s">
        <v>33</v>
      </c>
      <c r="F2978" s="52" t="s">
        <v>34</v>
      </c>
      <c r="G2978" s="53"/>
      <c r="H2978" s="148"/>
      <c r="I2978" s="55"/>
      <c r="J2978" s="58"/>
      <c r="K2978" s="59"/>
      <c r="L2978" s="58"/>
      <c r="M2978" s="59"/>
      <c r="N2978" s="58"/>
      <c r="O2978" s="59"/>
      <c r="P2978" s="58"/>
      <c r="Q2978" s="59"/>
      <c r="R2978" s="58"/>
      <c r="S2978" s="59"/>
      <c r="T2978" s="58"/>
      <c r="U2978" s="59"/>
      <c r="V2978" s="58"/>
      <c r="W2978" s="59"/>
      <c r="X2978" s="58"/>
      <c r="Y2978" s="59"/>
      <c r="Z2978" s="60" t="b">
        <v>0</v>
      </c>
      <c r="AA2978" s="125">
        <f t="shared" ref="AA2978:AA2986" si="1189">(J2978*K2978+L2978*M2978+N2978*O2978+P2978*Q2978+R2978*S2978+T2978*U2978+V2978*W2978+X2978*Y2978)*if(Z2978=true,0.453592,1)</f>
        <v>0</v>
      </c>
      <c r="AB2978" s="126">
        <f t="shared" ref="AB2978:AB2986" si="1190">SUM(AE2978*AF2978*0.025,AE2978)</f>
        <v>0</v>
      </c>
      <c r="AC2978" s="127">
        <f t="shared" ref="AC2978:AC2986" si="1191">AB2978*87%</f>
        <v>0</v>
      </c>
      <c r="AD2978" s="128">
        <f t="shared" ref="AD2978:AD2986" si="1192">AB2978*67%</f>
        <v>0</v>
      </c>
      <c r="AE2978" s="126">
        <f t="shared" ref="AE2978:AE2986" si="1193">MAX(J2978,L2978,N2978,P2978,R2978,T2978,V2978,X2978)*if(Z2978=true,0.453592,1)</f>
        <v>0</v>
      </c>
      <c r="AF2978" s="128">
        <f t="shared" ref="AF2978:AF2986" si="1194">MAX(IF(J2978*if(Z2978=true,0.453592,1)=$AE2978,K2978,0),IF(L2978*if(Z2978=true,0.453592,1)=$AE2978,M2978,0),IF(N2978*if(Z2978=true,0.453592,1)=$AE2978,O2978,0),IF(P2978*if(Z2978=true,0.453592,1)=$AE2978,Q2978,0),IF(R2978*if(Z2978=true,0.453592,1)=$AE2978,S2978,0),IF(T2978*if(Z2978=true,0.453592,1)=$AE2978,U2978,0),IF(V2978*if(Z2978=true,0.453592,1)=$AE2978,W2978,0),IF(X2978*if(Z2978=true,0.453592,1)=$AE2978,Y2978,0))</f>
        <v>0</v>
      </c>
      <c r="AG2978" s="1"/>
    </row>
    <row r="2979" ht="21.0" customHeight="1">
      <c r="A2979" s="1"/>
      <c r="B2979" s="48" t="s">
        <v>36</v>
      </c>
      <c r="C2979" s="49"/>
      <c r="D2979" s="65"/>
      <c r="E2979" s="66"/>
      <c r="F2979" s="52" t="s">
        <v>37</v>
      </c>
      <c r="G2979" s="67"/>
      <c r="H2979" s="129"/>
      <c r="I2979" s="69"/>
      <c r="J2979" s="72"/>
      <c r="K2979" s="73"/>
      <c r="L2979" s="72"/>
      <c r="M2979" s="73"/>
      <c r="N2979" s="72"/>
      <c r="O2979" s="73"/>
      <c r="P2979" s="72"/>
      <c r="Q2979" s="73"/>
      <c r="R2979" s="72"/>
      <c r="S2979" s="73"/>
      <c r="T2979" s="72"/>
      <c r="U2979" s="73"/>
      <c r="V2979" s="72"/>
      <c r="W2979" s="73"/>
      <c r="X2979" s="72"/>
      <c r="Y2979" s="73"/>
      <c r="Z2979" s="74" t="b">
        <v>0</v>
      </c>
      <c r="AA2979" s="130">
        <f t="shared" si="1189"/>
        <v>0</v>
      </c>
      <c r="AB2979" s="131">
        <f t="shared" si="1190"/>
        <v>0</v>
      </c>
      <c r="AC2979" s="132">
        <f t="shared" si="1191"/>
        <v>0</v>
      </c>
      <c r="AD2979" s="133">
        <f t="shared" si="1192"/>
        <v>0</v>
      </c>
      <c r="AE2979" s="131">
        <f t="shared" si="1193"/>
        <v>0</v>
      </c>
      <c r="AF2979" s="133">
        <f t="shared" si="1194"/>
        <v>0</v>
      </c>
      <c r="AG2979" s="1"/>
    </row>
    <row r="2980" ht="21.0" customHeight="1">
      <c r="A2980" s="1"/>
      <c r="B2980" s="48" t="s">
        <v>39</v>
      </c>
      <c r="C2980" s="49"/>
      <c r="D2980" s="65"/>
      <c r="E2980" s="41"/>
      <c r="F2980" s="52" t="s">
        <v>40</v>
      </c>
      <c r="G2980" s="79"/>
      <c r="H2980" s="80"/>
      <c r="I2980" s="69"/>
      <c r="J2980" s="72"/>
      <c r="K2980" s="73"/>
      <c r="L2980" s="72"/>
      <c r="M2980" s="73"/>
      <c r="N2980" s="72"/>
      <c r="O2980" s="73"/>
      <c r="P2980" s="72"/>
      <c r="Q2980" s="73"/>
      <c r="R2980" s="72"/>
      <c r="S2980" s="73"/>
      <c r="T2980" s="72"/>
      <c r="U2980" s="73"/>
      <c r="V2980" s="72"/>
      <c r="W2980" s="73"/>
      <c r="X2980" s="72"/>
      <c r="Y2980" s="73"/>
      <c r="Z2980" s="74" t="b">
        <v>0</v>
      </c>
      <c r="AA2980" s="130">
        <f t="shared" si="1189"/>
        <v>0</v>
      </c>
      <c r="AB2980" s="131">
        <f t="shared" si="1190"/>
        <v>0</v>
      </c>
      <c r="AC2980" s="132">
        <f t="shared" si="1191"/>
        <v>0</v>
      </c>
      <c r="AD2980" s="133">
        <f t="shared" si="1192"/>
        <v>0</v>
      </c>
      <c r="AE2980" s="131">
        <f t="shared" si="1193"/>
        <v>0</v>
      </c>
      <c r="AF2980" s="133">
        <f t="shared" si="1194"/>
        <v>0</v>
      </c>
      <c r="AG2980" s="1"/>
    </row>
    <row r="2981" ht="21.0" customHeight="1">
      <c r="A2981" s="1"/>
      <c r="B2981" s="48" t="s">
        <v>41</v>
      </c>
      <c r="C2981" s="81"/>
      <c r="D2981" s="82" t="b">
        <v>0</v>
      </c>
      <c r="E2981" s="51" t="s">
        <v>42</v>
      </c>
      <c r="F2981" s="52" t="s">
        <v>34</v>
      </c>
      <c r="G2981" s="83"/>
      <c r="H2981" s="84"/>
      <c r="I2981" s="85"/>
      <c r="J2981" s="72"/>
      <c r="K2981" s="73"/>
      <c r="L2981" s="72"/>
      <c r="M2981" s="73"/>
      <c r="N2981" s="72"/>
      <c r="O2981" s="73"/>
      <c r="P2981" s="72"/>
      <c r="Q2981" s="73"/>
      <c r="R2981" s="72"/>
      <c r="S2981" s="73"/>
      <c r="T2981" s="72"/>
      <c r="U2981" s="73"/>
      <c r="V2981" s="72"/>
      <c r="W2981" s="73"/>
      <c r="X2981" s="72"/>
      <c r="Y2981" s="73"/>
      <c r="Z2981" s="74" t="b">
        <v>0</v>
      </c>
      <c r="AA2981" s="130">
        <f t="shared" si="1189"/>
        <v>0</v>
      </c>
      <c r="AB2981" s="131">
        <f t="shared" si="1190"/>
        <v>0</v>
      </c>
      <c r="AC2981" s="132">
        <f t="shared" si="1191"/>
        <v>0</v>
      </c>
      <c r="AD2981" s="133">
        <f t="shared" si="1192"/>
        <v>0</v>
      </c>
      <c r="AE2981" s="131">
        <f t="shared" si="1193"/>
        <v>0</v>
      </c>
      <c r="AF2981" s="133">
        <f t="shared" si="1194"/>
        <v>0</v>
      </c>
      <c r="AG2981" s="1"/>
    </row>
    <row r="2982" ht="21.0" customHeight="1">
      <c r="A2982" s="1"/>
      <c r="B2982" s="48" t="s">
        <v>43</v>
      </c>
      <c r="C2982" s="49"/>
      <c r="D2982" s="86" t="b">
        <v>0</v>
      </c>
      <c r="E2982" s="66"/>
      <c r="F2982" s="52" t="s">
        <v>37</v>
      </c>
      <c r="G2982" s="67"/>
      <c r="H2982" s="80"/>
      <c r="I2982" s="69"/>
      <c r="J2982" s="72"/>
      <c r="K2982" s="73"/>
      <c r="L2982" s="72"/>
      <c r="M2982" s="73"/>
      <c r="N2982" s="72"/>
      <c r="O2982" s="73"/>
      <c r="P2982" s="72"/>
      <c r="Q2982" s="73"/>
      <c r="R2982" s="72"/>
      <c r="S2982" s="73"/>
      <c r="T2982" s="72"/>
      <c r="U2982" s="73"/>
      <c r="V2982" s="72"/>
      <c r="W2982" s="73"/>
      <c r="X2982" s="72"/>
      <c r="Y2982" s="73"/>
      <c r="Z2982" s="74" t="b">
        <v>0</v>
      </c>
      <c r="AA2982" s="130">
        <f t="shared" si="1189"/>
        <v>0</v>
      </c>
      <c r="AB2982" s="131">
        <f t="shared" si="1190"/>
        <v>0</v>
      </c>
      <c r="AC2982" s="132">
        <f t="shared" si="1191"/>
        <v>0</v>
      </c>
      <c r="AD2982" s="133">
        <f t="shared" si="1192"/>
        <v>0</v>
      </c>
      <c r="AE2982" s="131">
        <f t="shared" si="1193"/>
        <v>0</v>
      </c>
      <c r="AF2982" s="133">
        <f t="shared" si="1194"/>
        <v>0</v>
      </c>
      <c r="AG2982" s="1"/>
    </row>
    <row r="2983" ht="21.0" customHeight="1">
      <c r="A2983" s="1"/>
      <c r="B2983" s="87" t="str">
        <f t="array" ref="B2983">"📌최근 인바디 결과 : "&amp;text(xlookup(B2975,'현황'!O:O,'현황'!O:O,,-1,-1),"m/d(ddd)")</f>
        <v>#REF!</v>
      </c>
      <c r="C2983" s="88"/>
      <c r="D2983" s="49"/>
      <c r="E2983" s="41"/>
      <c r="F2983" s="52" t="s">
        <v>40</v>
      </c>
      <c r="G2983" s="79"/>
      <c r="H2983" s="80"/>
      <c r="I2983" s="69"/>
      <c r="J2983" s="72"/>
      <c r="K2983" s="73"/>
      <c r="L2983" s="72"/>
      <c r="M2983" s="73"/>
      <c r="N2983" s="72"/>
      <c r="O2983" s="73"/>
      <c r="P2983" s="72"/>
      <c r="Q2983" s="73"/>
      <c r="R2983" s="72"/>
      <c r="S2983" s="73"/>
      <c r="T2983" s="72"/>
      <c r="U2983" s="73"/>
      <c r="V2983" s="72"/>
      <c r="W2983" s="73"/>
      <c r="X2983" s="72"/>
      <c r="Y2983" s="73"/>
      <c r="Z2983" s="74" t="b">
        <v>0</v>
      </c>
      <c r="AA2983" s="130">
        <f t="shared" si="1189"/>
        <v>0</v>
      </c>
      <c r="AB2983" s="131">
        <f t="shared" si="1190"/>
        <v>0</v>
      </c>
      <c r="AC2983" s="132">
        <f t="shared" si="1191"/>
        <v>0</v>
      </c>
      <c r="AD2983" s="133">
        <f t="shared" si="1192"/>
        <v>0</v>
      </c>
      <c r="AE2983" s="131">
        <f t="shared" si="1193"/>
        <v>0</v>
      </c>
      <c r="AF2983" s="133">
        <f t="shared" si="1194"/>
        <v>0</v>
      </c>
      <c r="AG2983" s="1"/>
    </row>
    <row r="2984" ht="21.0" customHeight="1">
      <c r="A2984" s="1"/>
      <c r="B2984" s="89" t="s">
        <v>44</v>
      </c>
      <c r="C2984" s="49"/>
      <c r="D2984" s="90">
        <f t="array" ref="D2984">iferror(vlookup(xlookup(B2975,'현황'!O:O,'현황'!O:O,,-1,-1),'현황'!O:S,2,false),0)</f>
        <v>0</v>
      </c>
      <c r="E2984" s="51" t="s">
        <v>45</v>
      </c>
      <c r="F2984" s="52" t="s">
        <v>34</v>
      </c>
      <c r="G2984" s="83"/>
      <c r="H2984" s="84"/>
      <c r="I2984" s="85"/>
      <c r="J2984" s="72"/>
      <c r="K2984" s="73"/>
      <c r="L2984" s="72"/>
      <c r="M2984" s="73"/>
      <c r="N2984" s="72"/>
      <c r="O2984" s="73"/>
      <c r="P2984" s="72"/>
      <c r="Q2984" s="73"/>
      <c r="R2984" s="72"/>
      <c r="S2984" s="73"/>
      <c r="T2984" s="72"/>
      <c r="U2984" s="73"/>
      <c r="V2984" s="72"/>
      <c r="W2984" s="73"/>
      <c r="X2984" s="72"/>
      <c r="Y2984" s="73"/>
      <c r="Z2984" s="74" t="b">
        <v>0</v>
      </c>
      <c r="AA2984" s="130">
        <f t="shared" si="1189"/>
        <v>0</v>
      </c>
      <c r="AB2984" s="131">
        <f t="shared" si="1190"/>
        <v>0</v>
      </c>
      <c r="AC2984" s="132">
        <f t="shared" si="1191"/>
        <v>0</v>
      </c>
      <c r="AD2984" s="133">
        <f t="shared" si="1192"/>
        <v>0</v>
      </c>
      <c r="AE2984" s="131">
        <f t="shared" si="1193"/>
        <v>0</v>
      </c>
      <c r="AF2984" s="133">
        <f t="shared" si="1194"/>
        <v>0</v>
      </c>
      <c r="AG2984" s="1"/>
    </row>
    <row r="2985" ht="21.0" customHeight="1">
      <c r="A2985" s="1"/>
      <c r="B2985" s="48" t="s">
        <v>46</v>
      </c>
      <c r="C2985" s="49"/>
      <c r="D2985" s="91">
        <f t="array" ref="D2985">iferror(vlookup(xlookup(B2975,'현황'!O:O,'현황'!O:O,,-1,-1),'현황'!O:S,3,false),0)</f>
        <v>0</v>
      </c>
      <c r="E2985" s="66"/>
      <c r="F2985" s="52" t="s">
        <v>37</v>
      </c>
      <c r="G2985" s="67"/>
      <c r="H2985" s="80"/>
      <c r="I2985" s="69"/>
      <c r="J2985" s="72"/>
      <c r="K2985" s="73"/>
      <c r="L2985" s="72"/>
      <c r="M2985" s="73"/>
      <c r="N2985" s="72"/>
      <c r="O2985" s="73"/>
      <c r="P2985" s="72"/>
      <c r="Q2985" s="73"/>
      <c r="R2985" s="72"/>
      <c r="S2985" s="73"/>
      <c r="T2985" s="72"/>
      <c r="U2985" s="73"/>
      <c r="V2985" s="72"/>
      <c r="W2985" s="73"/>
      <c r="X2985" s="72"/>
      <c r="Y2985" s="73"/>
      <c r="Z2985" s="74" t="b">
        <v>0</v>
      </c>
      <c r="AA2985" s="130">
        <f t="shared" si="1189"/>
        <v>0</v>
      </c>
      <c r="AB2985" s="131">
        <f t="shared" si="1190"/>
        <v>0</v>
      </c>
      <c r="AC2985" s="132">
        <f t="shared" si="1191"/>
        <v>0</v>
      </c>
      <c r="AD2985" s="133">
        <f t="shared" si="1192"/>
        <v>0</v>
      </c>
      <c r="AE2985" s="131">
        <f t="shared" si="1193"/>
        <v>0</v>
      </c>
      <c r="AF2985" s="133">
        <f t="shared" si="1194"/>
        <v>0</v>
      </c>
      <c r="AG2985" s="1"/>
    </row>
    <row r="2986" ht="21.0" customHeight="1">
      <c r="A2986" s="1"/>
      <c r="B2986" s="48" t="s">
        <v>47</v>
      </c>
      <c r="C2986" s="49"/>
      <c r="D2986" s="91">
        <f t="array" ref="D2986">iferror(vlookup(xlookup(B2975,'현황'!O:O,'현황'!O:O,,-1,-1),'현황'!O:S,4,false),0)</f>
        <v>0</v>
      </c>
      <c r="E2986" s="41"/>
      <c r="F2986" s="92" t="s">
        <v>40</v>
      </c>
      <c r="G2986" s="79"/>
      <c r="H2986" s="93"/>
      <c r="I2986" s="94"/>
      <c r="J2986" s="95"/>
      <c r="K2986" s="96"/>
      <c r="L2986" s="95"/>
      <c r="M2986" s="96"/>
      <c r="N2986" s="95"/>
      <c r="O2986" s="96"/>
      <c r="P2986" s="95"/>
      <c r="Q2986" s="96"/>
      <c r="R2986" s="95"/>
      <c r="S2986" s="96"/>
      <c r="T2986" s="95"/>
      <c r="U2986" s="96"/>
      <c r="V2986" s="95"/>
      <c r="W2986" s="96"/>
      <c r="X2986" s="95"/>
      <c r="Y2986" s="96"/>
      <c r="Z2986" s="97" t="b">
        <v>0</v>
      </c>
      <c r="AA2986" s="135">
        <f t="shared" si="1189"/>
        <v>0</v>
      </c>
      <c r="AB2986" s="136">
        <f t="shared" si="1190"/>
        <v>0</v>
      </c>
      <c r="AC2986" s="137">
        <f t="shared" si="1191"/>
        <v>0</v>
      </c>
      <c r="AD2986" s="138">
        <f t="shared" si="1192"/>
        <v>0</v>
      </c>
      <c r="AE2986" s="136">
        <f t="shared" si="1193"/>
        <v>0</v>
      </c>
      <c r="AF2986" s="138">
        <f t="shared" si="1194"/>
        <v>0</v>
      </c>
      <c r="AG2986" s="1"/>
    </row>
    <row r="2987" ht="21.0" customHeight="1">
      <c r="A2987" s="1"/>
      <c r="B2987" s="102" t="s">
        <v>48</v>
      </c>
      <c r="C2987" s="103"/>
      <c r="D2987" s="104">
        <f>iferror(D2986/D2984,0)</f>
        <v>0</v>
      </c>
      <c r="E2987" s="102" t="s">
        <v>49</v>
      </c>
      <c r="F2987" s="103"/>
      <c r="G2987" s="105"/>
      <c r="H2987" s="106" t="s">
        <v>50</v>
      </c>
      <c r="I2987" s="107"/>
      <c r="J2987" s="11"/>
      <c r="K2987" s="11"/>
      <c r="L2987" s="11"/>
      <c r="M2987" s="11"/>
      <c r="N2987" s="11"/>
      <c r="O2987" s="11"/>
      <c r="P2987" s="108" t="s">
        <v>51</v>
      </c>
      <c r="Q2987" s="12"/>
      <c r="R2987" s="109"/>
      <c r="S2987" s="11"/>
      <c r="T2987" s="11"/>
      <c r="U2987" s="11"/>
      <c r="V2987" s="11"/>
      <c r="W2987" s="11"/>
      <c r="X2987" s="11"/>
      <c r="Y2987" s="11"/>
      <c r="Z2987" s="12"/>
      <c r="AA2987" s="139">
        <f>SUM(AA2978:AA2986)</f>
        <v>0</v>
      </c>
      <c r="AB2987" s="140" t="s">
        <v>495</v>
      </c>
      <c r="AG2987" s="1"/>
    </row>
    <row r="2988" ht="21.0" customHeight="1">
      <c r="A2988" s="1"/>
      <c r="B2988" s="1"/>
      <c r="C2988" s="1"/>
      <c r="D2988" s="1"/>
      <c r="E2988" s="1"/>
      <c r="F2988" s="1"/>
      <c r="G2988" s="1"/>
      <c r="H2988" s="1"/>
      <c r="I2988" s="1"/>
      <c r="AA2988" s="1"/>
      <c r="AB2988" s="1"/>
      <c r="AC2988" s="3"/>
      <c r="AD2988" s="1"/>
      <c r="AE2988" s="1"/>
      <c r="AF2988" s="1"/>
      <c r="AG2988" s="1"/>
    </row>
    <row r="2989" ht="21.0" customHeight="1">
      <c r="A2989" s="1"/>
      <c r="B2989" s="4" t="s">
        <v>1</v>
      </c>
      <c r="C2989" s="5"/>
      <c r="D2989" s="6" t="s">
        <v>2</v>
      </c>
      <c r="E2989" s="7"/>
      <c r="F2989" s="7"/>
      <c r="G2989" s="5"/>
      <c r="H2989" s="8" t="s">
        <v>3</v>
      </c>
      <c r="I2989" s="8" t="s">
        <v>4</v>
      </c>
      <c r="J2989" s="9" t="s">
        <v>5</v>
      </c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5"/>
      <c r="AA2989" s="117" t="s">
        <v>6</v>
      </c>
      <c r="AB2989" s="11"/>
      <c r="AC2989" s="11"/>
      <c r="AD2989" s="11"/>
      <c r="AE2989" s="11"/>
      <c r="AF2989" s="12"/>
      <c r="AG2989" s="1"/>
    </row>
    <row r="2990" ht="21.0" customHeight="1">
      <c r="A2990" s="1"/>
      <c r="B2990" s="149" t="s">
        <v>138</v>
      </c>
      <c r="C2990" s="14" t="str">
        <f>if(B2990="0/0","",choose(weekday(B2990),"(일)","(월)","(화)","(수)","(목)","(금)","(토)"))</f>
        <v/>
      </c>
      <c r="D2990" s="15" t="s">
        <v>7</v>
      </c>
      <c r="E2990" s="16" t="s">
        <v>8</v>
      </c>
      <c r="F2990" s="17"/>
      <c r="G2990" s="18" t="s">
        <v>9</v>
      </c>
      <c r="H2990" s="150" t="s">
        <v>139</v>
      </c>
      <c r="I2990" s="151"/>
      <c r="J2990" s="21" t="s">
        <v>12</v>
      </c>
      <c r="K2990" s="22"/>
      <c r="L2990" s="21" t="s">
        <v>13</v>
      </c>
      <c r="M2990" s="22"/>
      <c r="N2990" s="21" t="s">
        <v>14</v>
      </c>
      <c r="O2990" s="22"/>
      <c r="P2990" s="21" t="s">
        <v>15</v>
      </c>
      <c r="Q2990" s="22"/>
      <c r="R2990" s="23" t="s">
        <v>16</v>
      </c>
      <c r="S2990" s="22"/>
      <c r="T2990" s="23" t="s">
        <v>17</v>
      </c>
      <c r="U2990" s="22"/>
      <c r="V2990" s="23" t="s">
        <v>18</v>
      </c>
      <c r="W2990" s="22"/>
      <c r="X2990" s="23" t="s">
        <v>19</v>
      </c>
      <c r="Y2990" s="22"/>
      <c r="Z2990" s="24" t="s">
        <v>496</v>
      </c>
      <c r="AA2990" s="118" t="s">
        <v>21</v>
      </c>
      <c r="AB2990" s="119" t="s">
        <v>22</v>
      </c>
      <c r="AC2990" s="7"/>
      <c r="AD2990" s="22"/>
      <c r="AE2990" s="120" t="s">
        <v>23</v>
      </c>
      <c r="AF2990" s="22"/>
      <c r="AG2990" s="1"/>
    </row>
    <row r="2991" ht="21.0" customHeight="1">
      <c r="A2991" s="1"/>
      <c r="B2991" s="27">
        <f>iferror(B2990-'현황'!$C$4+1,0)</f>
        <v>0</v>
      </c>
      <c r="C2991" s="28"/>
      <c r="D2991" s="29">
        <v>0.0</v>
      </c>
      <c r="E2991" s="30">
        <v>0.0</v>
      </c>
      <c r="F2991" s="31"/>
      <c r="G2991" s="32">
        <v>0.0</v>
      </c>
      <c r="H2991" s="33">
        <v>0.0</v>
      </c>
      <c r="I2991" s="34"/>
      <c r="J2991" s="35"/>
      <c r="K2991" s="36"/>
      <c r="L2991" s="35"/>
      <c r="M2991" s="36"/>
      <c r="N2991" s="35"/>
      <c r="O2991" s="36"/>
      <c r="P2991" s="35"/>
      <c r="Q2991" s="36"/>
      <c r="R2991" s="35"/>
      <c r="S2991" s="36"/>
      <c r="T2991" s="35"/>
      <c r="U2991" s="36"/>
      <c r="V2991" s="35"/>
      <c r="W2991" s="36"/>
      <c r="X2991" s="35"/>
      <c r="Y2991" s="36"/>
      <c r="Z2991" s="37"/>
      <c r="AA2991" s="37"/>
      <c r="AB2991" s="35"/>
      <c r="AC2991" s="38"/>
      <c r="AD2991" s="36"/>
      <c r="AE2991" s="35"/>
      <c r="AF2991" s="36"/>
      <c r="AG2991" s="1"/>
    </row>
    <row r="2992" ht="21.0" customHeight="1">
      <c r="A2992" s="1"/>
      <c r="B2992" s="39" t="s">
        <v>24</v>
      </c>
      <c r="C2992" s="40"/>
      <c r="D2992" s="41"/>
      <c r="E2992" s="42" t="s">
        <v>25</v>
      </c>
      <c r="F2992" s="40"/>
      <c r="G2992" s="41"/>
      <c r="H2992" s="43" t="s">
        <v>26</v>
      </c>
      <c r="J2992" s="44" t="s">
        <v>27</v>
      </c>
      <c r="K2992" s="45" t="s">
        <v>28</v>
      </c>
      <c r="L2992" s="44" t="s">
        <v>27</v>
      </c>
      <c r="M2992" s="45" t="s">
        <v>28</v>
      </c>
      <c r="N2992" s="44" t="s">
        <v>27</v>
      </c>
      <c r="O2992" s="45" t="s">
        <v>28</v>
      </c>
      <c r="P2992" s="44" t="s">
        <v>27</v>
      </c>
      <c r="Q2992" s="45" t="s">
        <v>28</v>
      </c>
      <c r="R2992" s="44" t="s">
        <v>27</v>
      </c>
      <c r="S2992" s="45" t="s">
        <v>28</v>
      </c>
      <c r="T2992" s="44" t="s">
        <v>27</v>
      </c>
      <c r="U2992" s="45" t="s">
        <v>28</v>
      </c>
      <c r="V2992" s="44" t="s">
        <v>27</v>
      </c>
      <c r="W2992" s="45" t="s">
        <v>28</v>
      </c>
      <c r="X2992" s="44" t="s">
        <v>27</v>
      </c>
      <c r="Y2992" s="45" t="s">
        <v>28</v>
      </c>
      <c r="Z2992" s="46"/>
      <c r="AA2992" s="46"/>
      <c r="AB2992" s="121" t="s">
        <v>29</v>
      </c>
      <c r="AC2992" s="122" t="s">
        <v>30</v>
      </c>
      <c r="AD2992" s="123" t="s">
        <v>31</v>
      </c>
      <c r="AE2992" s="121" t="s">
        <v>27</v>
      </c>
      <c r="AF2992" s="123" t="s">
        <v>28</v>
      </c>
      <c r="AG2992" s="1"/>
    </row>
    <row r="2993" ht="21.0" customHeight="1">
      <c r="A2993" s="1"/>
      <c r="B2993" s="48" t="s">
        <v>32</v>
      </c>
      <c r="C2993" s="49"/>
      <c r="D2993" s="50"/>
      <c r="E2993" s="51" t="s">
        <v>33</v>
      </c>
      <c r="F2993" s="52" t="s">
        <v>34</v>
      </c>
      <c r="G2993" s="53"/>
      <c r="H2993" s="148"/>
      <c r="I2993" s="55"/>
      <c r="J2993" s="58"/>
      <c r="K2993" s="59"/>
      <c r="L2993" s="58"/>
      <c r="M2993" s="59"/>
      <c r="N2993" s="58"/>
      <c r="O2993" s="59"/>
      <c r="P2993" s="58"/>
      <c r="Q2993" s="59"/>
      <c r="R2993" s="58"/>
      <c r="S2993" s="59"/>
      <c r="T2993" s="58"/>
      <c r="U2993" s="59"/>
      <c r="V2993" s="58"/>
      <c r="W2993" s="59"/>
      <c r="X2993" s="58"/>
      <c r="Y2993" s="59"/>
      <c r="Z2993" s="60" t="b">
        <v>0</v>
      </c>
      <c r="AA2993" s="125">
        <f t="shared" ref="AA2993:AA3001" si="1195">(J2993*K2993+L2993*M2993+N2993*O2993+P2993*Q2993+R2993*S2993+T2993*U2993+V2993*W2993+X2993*Y2993)*if(Z2993=true,0.453592,1)</f>
        <v>0</v>
      </c>
      <c r="AB2993" s="126">
        <f t="shared" ref="AB2993:AB3001" si="1196">SUM(AE2993*AF2993*0.025,AE2993)</f>
        <v>0</v>
      </c>
      <c r="AC2993" s="127">
        <f t="shared" ref="AC2993:AC3001" si="1197">AB2993*87%</f>
        <v>0</v>
      </c>
      <c r="AD2993" s="128">
        <f t="shared" ref="AD2993:AD3001" si="1198">AB2993*67%</f>
        <v>0</v>
      </c>
      <c r="AE2993" s="126">
        <f t="shared" ref="AE2993:AE3001" si="1199">MAX(J2993,L2993,N2993,P2993,R2993,T2993,V2993,X2993)*if(Z2993=true,0.453592,1)</f>
        <v>0</v>
      </c>
      <c r="AF2993" s="128">
        <f t="shared" ref="AF2993:AF3001" si="1200">MAX(IF(J2993*if(Z2993=true,0.453592,1)=$AE2993,K2993,0),IF(L2993*if(Z2993=true,0.453592,1)=$AE2993,M2993,0),IF(N2993*if(Z2993=true,0.453592,1)=$AE2993,O2993,0),IF(P2993*if(Z2993=true,0.453592,1)=$AE2993,Q2993,0),IF(R2993*if(Z2993=true,0.453592,1)=$AE2993,S2993,0),IF(T2993*if(Z2993=true,0.453592,1)=$AE2993,U2993,0),IF(V2993*if(Z2993=true,0.453592,1)=$AE2993,W2993,0),IF(X2993*if(Z2993=true,0.453592,1)=$AE2993,Y2993,0))</f>
        <v>0</v>
      </c>
      <c r="AG2993" s="1"/>
    </row>
    <row r="2994" ht="21.0" customHeight="1">
      <c r="A2994" s="1"/>
      <c r="B2994" s="48" t="s">
        <v>36</v>
      </c>
      <c r="C2994" s="49"/>
      <c r="D2994" s="65"/>
      <c r="E2994" s="66"/>
      <c r="F2994" s="52" t="s">
        <v>37</v>
      </c>
      <c r="G2994" s="67"/>
      <c r="H2994" s="129"/>
      <c r="I2994" s="69"/>
      <c r="J2994" s="72"/>
      <c r="K2994" s="73"/>
      <c r="L2994" s="72"/>
      <c r="M2994" s="73"/>
      <c r="N2994" s="72"/>
      <c r="O2994" s="73"/>
      <c r="P2994" s="72"/>
      <c r="Q2994" s="73"/>
      <c r="R2994" s="72"/>
      <c r="S2994" s="73"/>
      <c r="T2994" s="72"/>
      <c r="U2994" s="73"/>
      <c r="V2994" s="72"/>
      <c r="W2994" s="73"/>
      <c r="X2994" s="72"/>
      <c r="Y2994" s="73"/>
      <c r="Z2994" s="74" t="b">
        <v>0</v>
      </c>
      <c r="AA2994" s="130">
        <f t="shared" si="1195"/>
        <v>0</v>
      </c>
      <c r="AB2994" s="131">
        <f t="shared" si="1196"/>
        <v>0</v>
      </c>
      <c r="AC2994" s="132">
        <f t="shared" si="1197"/>
        <v>0</v>
      </c>
      <c r="AD2994" s="133">
        <f t="shared" si="1198"/>
        <v>0</v>
      </c>
      <c r="AE2994" s="131">
        <f t="shared" si="1199"/>
        <v>0</v>
      </c>
      <c r="AF2994" s="133">
        <f t="shared" si="1200"/>
        <v>0</v>
      </c>
      <c r="AG2994" s="1"/>
    </row>
    <row r="2995" ht="21.0" customHeight="1">
      <c r="A2995" s="1"/>
      <c r="B2995" s="48" t="s">
        <v>39</v>
      </c>
      <c r="C2995" s="49"/>
      <c r="D2995" s="65"/>
      <c r="E2995" s="41"/>
      <c r="F2995" s="52" t="s">
        <v>40</v>
      </c>
      <c r="G2995" s="79"/>
      <c r="H2995" s="80"/>
      <c r="I2995" s="69"/>
      <c r="J2995" s="72"/>
      <c r="K2995" s="73"/>
      <c r="L2995" s="72"/>
      <c r="M2995" s="73"/>
      <c r="N2995" s="72"/>
      <c r="O2995" s="73"/>
      <c r="P2995" s="72"/>
      <c r="Q2995" s="73"/>
      <c r="R2995" s="72"/>
      <c r="S2995" s="73"/>
      <c r="T2995" s="72"/>
      <c r="U2995" s="73"/>
      <c r="V2995" s="72"/>
      <c r="W2995" s="73"/>
      <c r="X2995" s="72"/>
      <c r="Y2995" s="73"/>
      <c r="Z2995" s="74" t="b">
        <v>0</v>
      </c>
      <c r="AA2995" s="130">
        <f t="shared" si="1195"/>
        <v>0</v>
      </c>
      <c r="AB2995" s="131">
        <f t="shared" si="1196"/>
        <v>0</v>
      </c>
      <c r="AC2995" s="132">
        <f t="shared" si="1197"/>
        <v>0</v>
      </c>
      <c r="AD2995" s="133">
        <f t="shared" si="1198"/>
        <v>0</v>
      </c>
      <c r="AE2995" s="131">
        <f t="shared" si="1199"/>
        <v>0</v>
      </c>
      <c r="AF2995" s="133">
        <f t="shared" si="1200"/>
        <v>0</v>
      </c>
      <c r="AG2995" s="1"/>
    </row>
    <row r="2996" ht="21.0" customHeight="1">
      <c r="A2996" s="1"/>
      <c r="B2996" s="48" t="s">
        <v>41</v>
      </c>
      <c r="C2996" s="81"/>
      <c r="D2996" s="82" t="b">
        <v>0</v>
      </c>
      <c r="E2996" s="51" t="s">
        <v>42</v>
      </c>
      <c r="F2996" s="52" t="s">
        <v>34</v>
      </c>
      <c r="G2996" s="83"/>
      <c r="H2996" s="84"/>
      <c r="I2996" s="85"/>
      <c r="J2996" s="72"/>
      <c r="K2996" s="73"/>
      <c r="L2996" s="72"/>
      <c r="M2996" s="73"/>
      <c r="N2996" s="72"/>
      <c r="O2996" s="73"/>
      <c r="P2996" s="72"/>
      <c r="Q2996" s="73"/>
      <c r="R2996" s="72"/>
      <c r="S2996" s="73"/>
      <c r="T2996" s="72"/>
      <c r="U2996" s="73"/>
      <c r="V2996" s="72"/>
      <c r="W2996" s="73"/>
      <c r="X2996" s="72"/>
      <c r="Y2996" s="73"/>
      <c r="Z2996" s="74" t="b">
        <v>0</v>
      </c>
      <c r="AA2996" s="130">
        <f t="shared" si="1195"/>
        <v>0</v>
      </c>
      <c r="AB2996" s="131">
        <f t="shared" si="1196"/>
        <v>0</v>
      </c>
      <c r="AC2996" s="132">
        <f t="shared" si="1197"/>
        <v>0</v>
      </c>
      <c r="AD2996" s="133">
        <f t="shared" si="1198"/>
        <v>0</v>
      </c>
      <c r="AE2996" s="131">
        <f t="shared" si="1199"/>
        <v>0</v>
      </c>
      <c r="AF2996" s="133">
        <f t="shared" si="1200"/>
        <v>0</v>
      </c>
      <c r="AG2996" s="1"/>
    </row>
    <row r="2997" ht="21.0" customHeight="1">
      <c r="A2997" s="1"/>
      <c r="B2997" s="48" t="s">
        <v>43</v>
      </c>
      <c r="C2997" s="49"/>
      <c r="D2997" s="86" t="b">
        <v>0</v>
      </c>
      <c r="E2997" s="66"/>
      <c r="F2997" s="52" t="s">
        <v>37</v>
      </c>
      <c r="G2997" s="67"/>
      <c r="H2997" s="80"/>
      <c r="I2997" s="69"/>
      <c r="J2997" s="72"/>
      <c r="K2997" s="73"/>
      <c r="L2997" s="72"/>
      <c r="M2997" s="73"/>
      <c r="N2997" s="72"/>
      <c r="O2997" s="73"/>
      <c r="P2997" s="72"/>
      <c r="Q2997" s="73"/>
      <c r="R2997" s="72"/>
      <c r="S2997" s="73"/>
      <c r="T2997" s="72"/>
      <c r="U2997" s="73"/>
      <c r="V2997" s="72"/>
      <c r="W2997" s="73"/>
      <c r="X2997" s="72"/>
      <c r="Y2997" s="73"/>
      <c r="Z2997" s="74" t="b">
        <v>0</v>
      </c>
      <c r="AA2997" s="130">
        <f t="shared" si="1195"/>
        <v>0</v>
      </c>
      <c r="AB2997" s="131">
        <f t="shared" si="1196"/>
        <v>0</v>
      </c>
      <c r="AC2997" s="132">
        <f t="shared" si="1197"/>
        <v>0</v>
      </c>
      <c r="AD2997" s="133">
        <f t="shared" si="1198"/>
        <v>0</v>
      </c>
      <c r="AE2997" s="131">
        <f t="shared" si="1199"/>
        <v>0</v>
      </c>
      <c r="AF2997" s="133">
        <f t="shared" si="1200"/>
        <v>0</v>
      </c>
      <c r="AG2997" s="1"/>
    </row>
    <row r="2998" ht="21.0" customHeight="1">
      <c r="A2998" s="1"/>
      <c r="B2998" s="87" t="str">
        <f t="array" ref="B2998">"📌최근 인바디 결과 : "&amp;text(xlookup(B2990,'현황'!O:O,'현황'!O:O,,-1,-1),"m/d(ddd)")</f>
        <v>#REF!</v>
      </c>
      <c r="C2998" s="88"/>
      <c r="D2998" s="49"/>
      <c r="E2998" s="41"/>
      <c r="F2998" s="52" t="s">
        <v>40</v>
      </c>
      <c r="G2998" s="79"/>
      <c r="H2998" s="80"/>
      <c r="I2998" s="69"/>
      <c r="J2998" s="72"/>
      <c r="K2998" s="73"/>
      <c r="L2998" s="72"/>
      <c r="M2998" s="73"/>
      <c r="N2998" s="72"/>
      <c r="O2998" s="73"/>
      <c r="P2998" s="72"/>
      <c r="Q2998" s="73"/>
      <c r="R2998" s="72"/>
      <c r="S2998" s="73"/>
      <c r="T2998" s="72"/>
      <c r="U2998" s="73"/>
      <c r="V2998" s="72"/>
      <c r="W2998" s="73"/>
      <c r="X2998" s="72"/>
      <c r="Y2998" s="73"/>
      <c r="Z2998" s="74" t="b">
        <v>0</v>
      </c>
      <c r="AA2998" s="130">
        <f t="shared" si="1195"/>
        <v>0</v>
      </c>
      <c r="AB2998" s="131">
        <f t="shared" si="1196"/>
        <v>0</v>
      </c>
      <c r="AC2998" s="132">
        <f t="shared" si="1197"/>
        <v>0</v>
      </c>
      <c r="AD2998" s="133">
        <f t="shared" si="1198"/>
        <v>0</v>
      </c>
      <c r="AE2998" s="131">
        <f t="shared" si="1199"/>
        <v>0</v>
      </c>
      <c r="AF2998" s="133">
        <f t="shared" si="1200"/>
        <v>0</v>
      </c>
      <c r="AG2998" s="1"/>
    </row>
    <row r="2999" ht="21.0" customHeight="1">
      <c r="A2999" s="1"/>
      <c r="B2999" s="89" t="s">
        <v>44</v>
      </c>
      <c r="C2999" s="49"/>
      <c r="D2999" s="90">
        <f t="array" ref="D2999">iferror(vlookup(xlookup(B2990,'현황'!O:O,'현황'!O:O,,-1,-1),'현황'!O:S,2,false),0)</f>
        <v>0</v>
      </c>
      <c r="E2999" s="51" t="s">
        <v>45</v>
      </c>
      <c r="F2999" s="52" t="s">
        <v>34</v>
      </c>
      <c r="G2999" s="83"/>
      <c r="H2999" s="84"/>
      <c r="I2999" s="85"/>
      <c r="J2999" s="72"/>
      <c r="K2999" s="73"/>
      <c r="L2999" s="72"/>
      <c r="M2999" s="73"/>
      <c r="N2999" s="72"/>
      <c r="O2999" s="73"/>
      <c r="P2999" s="72"/>
      <c r="Q2999" s="73"/>
      <c r="R2999" s="72"/>
      <c r="S2999" s="73"/>
      <c r="T2999" s="72"/>
      <c r="U2999" s="73"/>
      <c r="V2999" s="72"/>
      <c r="W2999" s="73"/>
      <c r="X2999" s="72"/>
      <c r="Y2999" s="73"/>
      <c r="Z2999" s="74" t="b">
        <v>0</v>
      </c>
      <c r="AA2999" s="130">
        <f t="shared" si="1195"/>
        <v>0</v>
      </c>
      <c r="AB2999" s="131">
        <f t="shared" si="1196"/>
        <v>0</v>
      </c>
      <c r="AC2999" s="132">
        <f t="shared" si="1197"/>
        <v>0</v>
      </c>
      <c r="AD2999" s="133">
        <f t="shared" si="1198"/>
        <v>0</v>
      </c>
      <c r="AE2999" s="131">
        <f t="shared" si="1199"/>
        <v>0</v>
      </c>
      <c r="AF2999" s="133">
        <f t="shared" si="1200"/>
        <v>0</v>
      </c>
      <c r="AG2999" s="1"/>
    </row>
    <row r="3000" ht="21.0" customHeight="1">
      <c r="A3000" s="1"/>
      <c r="B3000" s="48" t="s">
        <v>46</v>
      </c>
      <c r="C3000" s="49"/>
      <c r="D3000" s="91">
        <f t="array" ref="D3000">iferror(vlookup(xlookup(B2990,'현황'!O:O,'현황'!O:O,,-1,-1),'현황'!O:S,3,false),0)</f>
        <v>0</v>
      </c>
      <c r="E3000" s="66"/>
      <c r="F3000" s="52" t="s">
        <v>37</v>
      </c>
      <c r="G3000" s="67"/>
      <c r="H3000" s="80"/>
      <c r="I3000" s="69"/>
      <c r="J3000" s="72"/>
      <c r="K3000" s="73"/>
      <c r="L3000" s="72"/>
      <c r="M3000" s="73"/>
      <c r="N3000" s="72"/>
      <c r="O3000" s="73"/>
      <c r="P3000" s="72"/>
      <c r="Q3000" s="73"/>
      <c r="R3000" s="72"/>
      <c r="S3000" s="73"/>
      <c r="T3000" s="72"/>
      <c r="U3000" s="73"/>
      <c r="V3000" s="72"/>
      <c r="W3000" s="73"/>
      <c r="X3000" s="72"/>
      <c r="Y3000" s="73"/>
      <c r="Z3000" s="74" t="b">
        <v>0</v>
      </c>
      <c r="AA3000" s="130">
        <f t="shared" si="1195"/>
        <v>0</v>
      </c>
      <c r="AB3000" s="131">
        <f t="shared" si="1196"/>
        <v>0</v>
      </c>
      <c r="AC3000" s="132">
        <f t="shared" si="1197"/>
        <v>0</v>
      </c>
      <c r="AD3000" s="133">
        <f t="shared" si="1198"/>
        <v>0</v>
      </c>
      <c r="AE3000" s="131">
        <f t="shared" si="1199"/>
        <v>0</v>
      </c>
      <c r="AF3000" s="133">
        <f t="shared" si="1200"/>
        <v>0</v>
      </c>
      <c r="AG3000" s="1"/>
    </row>
    <row r="3001" ht="21.0" customHeight="1">
      <c r="A3001" s="1"/>
      <c r="B3001" s="48" t="s">
        <v>47</v>
      </c>
      <c r="C3001" s="49"/>
      <c r="D3001" s="91">
        <f t="array" ref="D3001">iferror(vlookup(xlookup(B2990,'현황'!O:O,'현황'!O:O,,-1,-1),'현황'!O:S,4,false),0)</f>
        <v>0</v>
      </c>
      <c r="E3001" s="41"/>
      <c r="F3001" s="92" t="s">
        <v>40</v>
      </c>
      <c r="G3001" s="79"/>
      <c r="H3001" s="93"/>
      <c r="I3001" s="94"/>
      <c r="J3001" s="95"/>
      <c r="K3001" s="96"/>
      <c r="L3001" s="95"/>
      <c r="M3001" s="96"/>
      <c r="N3001" s="95"/>
      <c r="O3001" s="96"/>
      <c r="P3001" s="95"/>
      <c r="Q3001" s="96"/>
      <c r="R3001" s="95"/>
      <c r="S3001" s="96"/>
      <c r="T3001" s="95"/>
      <c r="U3001" s="96"/>
      <c r="V3001" s="95"/>
      <c r="W3001" s="96"/>
      <c r="X3001" s="95"/>
      <c r="Y3001" s="96"/>
      <c r="Z3001" s="97" t="b">
        <v>0</v>
      </c>
      <c r="AA3001" s="135">
        <f t="shared" si="1195"/>
        <v>0</v>
      </c>
      <c r="AB3001" s="136">
        <f t="shared" si="1196"/>
        <v>0</v>
      </c>
      <c r="AC3001" s="137">
        <f t="shared" si="1197"/>
        <v>0</v>
      </c>
      <c r="AD3001" s="138">
        <f t="shared" si="1198"/>
        <v>0</v>
      </c>
      <c r="AE3001" s="136">
        <f t="shared" si="1199"/>
        <v>0</v>
      </c>
      <c r="AF3001" s="138">
        <f t="shared" si="1200"/>
        <v>0</v>
      </c>
      <c r="AG3001" s="1"/>
    </row>
    <row r="3002" ht="21.0" customHeight="1">
      <c r="A3002" s="1"/>
      <c r="B3002" s="102" t="s">
        <v>48</v>
      </c>
      <c r="C3002" s="103"/>
      <c r="D3002" s="104">
        <f>iferror(D3001/D2999,0)</f>
        <v>0</v>
      </c>
      <c r="E3002" s="102" t="s">
        <v>49</v>
      </c>
      <c r="F3002" s="103"/>
      <c r="G3002" s="105"/>
      <c r="H3002" s="143" t="s">
        <v>50</v>
      </c>
      <c r="I3002" s="144"/>
      <c r="J3002" s="11"/>
      <c r="K3002" s="11"/>
      <c r="L3002" s="11"/>
      <c r="M3002" s="11"/>
      <c r="N3002" s="11"/>
      <c r="O3002" s="11"/>
      <c r="P3002" s="145" t="s">
        <v>51</v>
      </c>
      <c r="Q3002" s="12"/>
      <c r="R3002" s="146"/>
      <c r="S3002" s="11"/>
      <c r="T3002" s="11"/>
      <c r="U3002" s="11"/>
      <c r="V3002" s="11"/>
      <c r="W3002" s="11"/>
      <c r="X3002" s="11"/>
      <c r="Y3002" s="11"/>
      <c r="Z3002" s="12"/>
      <c r="AA3002" s="139">
        <f>SUM(AA2993:AA3001)</f>
        <v>0</v>
      </c>
      <c r="AB3002" s="140" t="s">
        <v>497</v>
      </c>
      <c r="AG3002" s="1"/>
    </row>
    <row r="3003" ht="21.0" customHeight="1">
      <c r="A3003" s="1"/>
      <c r="B3003" s="1"/>
      <c r="C3003" s="1"/>
      <c r="D3003" s="1"/>
      <c r="E3003" s="1"/>
      <c r="F3003" s="1"/>
      <c r="G3003" s="1"/>
      <c r="H3003" s="1"/>
      <c r="I3003" s="1"/>
      <c r="AA3003" s="1"/>
      <c r="AB3003" s="1"/>
      <c r="AC3003" s="3"/>
      <c r="AD3003" s="1"/>
      <c r="AE3003" s="1"/>
      <c r="AF3003" s="1"/>
      <c r="AG3003" s="1"/>
    </row>
  </sheetData>
  <mergeCells count="10001">
    <mergeCell ref="J5:K6"/>
    <mergeCell ref="L5:M6"/>
    <mergeCell ref="N5:O6"/>
    <mergeCell ref="P5:Q6"/>
    <mergeCell ref="R5:S6"/>
    <mergeCell ref="T5:U6"/>
    <mergeCell ref="V5:W6"/>
    <mergeCell ref="X5:Y6"/>
    <mergeCell ref="Z5:Z7"/>
    <mergeCell ref="AA5:AA7"/>
    <mergeCell ref="AB5:AD6"/>
    <mergeCell ref="AE5:AF6"/>
    <mergeCell ref="B2:AF2"/>
    <mergeCell ref="B4:C4"/>
    <mergeCell ref="D4:G4"/>
    <mergeCell ref="J4:Z4"/>
    <mergeCell ref="AA4:AF4"/>
    <mergeCell ref="I5:I6"/>
    <mergeCell ref="B6:C6"/>
    <mergeCell ref="B8:C8"/>
    <mergeCell ref="B9:C9"/>
    <mergeCell ref="E5:F5"/>
    <mergeCell ref="E6:F6"/>
    <mergeCell ref="B7:D7"/>
    <mergeCell ref="E7:G7"/>
    <mergeCell ref="H7:I7"/>
    <mergeCell ref="H8:I8"/>
    <mergeCell ref="H9:I9"/>
    <mergeCell ref="E8:E10"/>
    <mergeCell ref="B10:C10"/>
    <mergeCell ref="B11:C11"/>
    <mergeCell ref="E11:E13"/>
    <mergeCell ref="B12:C12"/>
    <mergeCell ref="B13:D13"/>
    <mergeCell ref="E14:E16"/>
    <mergeCell ref="J19:Z19"/>
    <mergeCell ref="AA19:AF19"/>
    <mergeCell ref="B16:C16"/>
    <mergeCell ref="B17:C17"/>
    <mergeCell ref="E17:F17"/>
    <mergeCell ref="I17:O17"/>
    <mergeCell ref="P17:Q17"/>
    <mergeCell ref="R17:Z17"/>
    <mergeCell ref="AB17:AF17"/>
    <mergeCell ref="H10:I10"/>
    <mergeCell ref="H11:I11"/>
    <mergeCell ref="H12:I12"/>
    <mergeCell ref="H13:I13"/>
    <mergeCell ref="H14:I14"/>
    <mergeCell ref="H15:I15"/>
    <mergeCell ref="H16:I16"/>
    <mergeCell ref="H22:I22"/>
    <mergeCell ref="V20:W21"/>
    <mergeCell ref="X20:Y21"/>
    <mergeCell ref="Z20:Z22"/>
    <mergeCell ref="AA20:AA22"/>
    <mergeCell ref="AB20:AD21"/>
    <mergeCell ref="AE20:AF21"/>
    <mergeCell ref="I20:I21"/>
    <mergeCell ref="J20:K21"/>
    <mergeCell ref="L20:M21"/>
    <mergeCell ref="N20:O21"/>
    <mergeCell ref="P20:Q21"/>
    <mergeCell ref="R20:S21"/>
    <mergeCell ref="T20:U21"/>
    <mergeCell ref="B14:C14"/>
    <mergeCell ref="B15:C15"/>
    <mergeCell ref="B19:C19"/>
    <mergeCell ref="D19:G19"/>
    <mergeCell ref="E20:F20"/>
    <mergeCell ref="B21:C21"/>
    <mergeCell ref="E21:F21"/>
    <mergeCell ref="E23:E25"/>
    <mergeCell ref="E26:E28"/>
    <mergeCell ref="E29:E31"/>
    <mergeCell ref="E32:F32"/>
    <mergeCell ref="E35:F35"/>
    <mergeCell ref="B22:D22"/>
    <mergeCell ref="E22:G22"/>
    <mergeCell ref="B23:C23"/>
    <mergeCell ref="H23:I23"/>
    <mergeCell ref="B24:C24"/>
    <mergeCell ref="B25:C25"/>
    <mergeCell ref="H26:I26"/>
    <mergeCell ref="I32:O32"/>
    <mergeCell ref="P32:Q32"/>
    <mergeCell ref="R32:Z32"/>
    <mergeCell ref="AB32:AF32"/>
    <mergeCell ref="B34:C34"/>
    <mergeCell ref="D34:G34"/>
    <mergeCell ref="J34:Z34"/>
    <mergeCell ref="AA34:AF34"/>
    <mergeCell ref="B26:C26"/>
    <mergeCell ref="B27:C27"/>
    <mergeCell ref="B28:D28"/>
    <mergeCell ref="B29:C29"/>
    <mergeCell ref="B30:C30"/>
    <mergeCell ref="B31:C31"/>
    <mergeCell ref="B32:C32"/>
    <mergeCell ref="H24:I24"/>
    <mergeCell ref="H25:I25"/>
    <mergeCell ref="H27:I27"/>
    <mergeCell ref="H28:I28"/>
    <mergeCell ref="H29:I29"/>
    <mergeCell ref="H30:I30"/>
    <mergeCell ref="H31:I31"/>
    <mergeCell ref="J49:Z49"/>
    <mergeCell ref="AA49:AF49"/>
    <mergeCell ref="B46:C46"/>
    <mergeCell ref="B47:C47"/>
    <mergeCell ref="E47:F47"/>
    <mergeCell ref="I47:O47"/>
    <mergeCell ref="P47:Q47"/>
    <mergeCell ref="R47:Z47"/>
    <mergeCell ref="AB47:AF47"/>
    <mergeCell ref="V35:W36"/>
    <mergeCell ref="X35:Y36"/>
    <mergeCell ref="Z35:Z37"/>
    <mergeCell ref="AA35:AA37"/>
    <mergeCell ref="AB35:AD36"/>
    <mergeCell ref="AE35:AF36"/>
    <mergeCell ref="I35:I36"/>
    <mergeCell ref="J35:K36"/>
    <mergeCell ref="L35:M36"/>
    <mergeCell ref="N35:O36"/>
    <mergeCell ref="P35:Q36"/>
    <mergeCell ref="R35:S36"/>
    <mergeCell ref="T35:U36"/>
    <mergeCell ref="B38:C38"/>
    <mergeCell ref="B39:C39"/>
    <mergeCell ref="E36:F36"/>
    <mergeCell ref="B37:D37"/>
    <mergeCell ref="E37:G37"/>
    <mergeCell ref="H37:I37"/>
    <mergeCell ref="E38:E40"/>
    <mergeCell ref="H38:I38"/>
    <mergeCell ref="H39:I39"/>
    <mergeCell ref="B44:C44"/>
    <mergeCell ref="B45:C45"/>
    <mergeCell ref="B49:C49"/>
    <mergeCell ref="D49:G49"/>
    <mergeCell ref="E50:F50"/>
    <mergeCell ref="B36:C36"/>
    <mergeCell ref="B40:C40"/>
    <mergeCell ref="B41:C41"/>
    <mergeCell ref="E41:E43"/>
    <mergeCell ref="B42:C42"/>
    <mergeCell ref="B43:D43"/>
    <mergeCell ref="E44:E46"/>
    <mergeCell ref="H40:I40"/>
    <mergeCell ref="H41:I41"/>
    <mergeCell ref="H42:I42"/>
    <mergeCell ref="H43:I43"/>
    <mergeCell ref="H44:I44"/>
    <mergeCell ref="H45:I45"/>
    <mergeCell ref="H46:I46"/>
    <mergeCell ref="J64:Z64"/>
    <mergeCell ref="AA64:AF64"/>
    <mergeCell ref="B61:C61"/>
    <mergeCell ref="B62:C62"/>
    <mergeCell ref="E62:F62"/>
    <mergeCell ref="I62:O62"/>
    <mergeCell ref="P62:Q62"/>
    <mergeCell ref="R62:Z62"/>
    <mergeCell ref="AB62:AF62"/>
    <mergeCell ref="V50:W51"/>
    <mergeCell ref="X50:Y51"/>
    <mergeCell ref="Z50:Z52"/>
    <mergeCell ref="AA50:AA52"/>
    <mergeCell ref="AB50:AD51"/>
    <mergeCell ref="AE50:AF51"/>
    <mergeCell ref="I50:I51"/>
    <mergeCell ref="J50:K51"/>
    <mergeCell ref="L50:M51"/>
    <mergeCell ref="N50:O51"/>
    <mergeCell ref="P50:Q51"/>
    <mergeCell ref="R50:S51"/>
    <mergeCell ref="T50:U51"/>
    <mergeCell ref="B53:C53"/>
    <mergeCell ref="B54:C54"/>
    <mergeCell ref="E51:F51"/>
    <mergeCell ref="B52:D52"/>
    <mergeCell ref="E52:G52"/>
    <mergeCell ref="H52:I52"/>
    <mergeCell ref="E53:E55"/>
    <mergeCell ref="H53:I53"/>
    <mergeCell ref="H54:I54"/>
    <mergeCell ref="B59:C59"/>
    <mergeCell ref="B60:C60"/>
    <mergeCell ref="B64:C64"/>
    <mergeCell ref="D64:G64"/>
    <mergeCell ref="E65:F65"/>
    <mergeCell ref="B51:C51"/>
    <mergeCell ref="B55:C55"/>
    <mergeCell ref="B56:C56"/>
    <mergeCell ref="E56:E58"/>
    <mergeCell ref="B57:C57"/>
    <mergeCell ref="B58:D58"/>
    <mergeCell ref="E59:E61"/>
    <mergeCell ref="H55:I55"/>
    <mergeCell ref="H56:I56"/>
    <mergeCell ref="H57:I57"/>
    <mergeCell ref="H58:I58"/>
    <mergeCell ref="H59:I59"/>
    <mergeCell ref="H60:I60"/>
    <mergeCell ref="H61:I61"/>
    <mergeCell ref="J124:Z124"/>
    <mergeCell ref="AA124:AF124"/>
    <mergeCell ref="B121:C121"/>
    <mergeCell ref="B122:C122"/>
    <mergeCell ref="E122:F122"/>
    <mergeCell ref="I122:O122"/>
    <mergeCell ref="P122:Q122"/>
    <mergeCell ref="R122:Z122"/>
    <mergeCell ref="AB122:AF122"/>
    <mergeCell ref="V110:W111"/>
    <mergeCell ref="X110:Y111"/>
    <mergeCell ref="Z110:Z112"/>
    <mergeCell ref="AA110:AA112"/>
    <mergeCell ref="AB110:AD111"/>
    <mergeCell ref="AE110:AF111"/>
    <mergeCell ref="I110:I111"/>
    <mergeCell ref="J110:K111"/>
    <mergeCell ref="L110:M111"/>
    <mergeCell ref="N110:O111"/>
    <mergeCell ref="P110:Q111"/>
    <mergeCell ref="R110:S111"/>
    <mergeCell ref="T110:U111"/>
    <mergeCell ref="B113:C113"/>
    <mergeCell ref="B114:C114"/>
    <mergeCell ref="E111:F111"/>
    <mergeCell ref="B112:D112"/>
    <mergeCell ref="E112:G112"/>
    <mergeCell ref="H112:I112"/>
    <mergeCell ref="E113:E115"/>
    <mergeCell ref="H113:I113"/>
    <mergeCell ref="H114:I114"/>
    <mergeCell ref="B119:C119"/>
    <mergeCell ref="B120:C120"/>
    <mergeCell ref="B124:C124"/>
    <mergeCell ref="D124:G124"/>
    <mergeCell ref="E125:F125"/>
    <mergeCell ref="B111:C111"/>
    <mergeCell ref="B115:C115"/>
    <mergeCell ref="B116:C116"/>
    <mergeCell ref="E116:E118"/>
    <mergeCell ref="B117:C117"/>
    <mergeCell ref="B118:D118"/>
    <mergeCell ref="E119:E121"/>
    <mergeCell ref="H115:I115"/>
    <mergeCell ref="H116:I116"/>
    <mergeCell ref="H117:I117"/>
    <mergeCell ref="H118:I118"/>
    <mergeCell ref="H119:I119"/>
    <mergeCell ref="H120:I120"/>
    <mergeCell ref="H121:I121"/>
    <mergeCell ref="J139:Z139"/>
    <mergeCell ref="AA139:AF139"/>
    <mergeCell ref="B136:C136"/>
    <mergeCell ref="B137:C137"/>
    <mergeCell ref="E137:F137"/>
    <mergeCell ref="I137:O137"/>
    <mergeCell ref="P137:Q137"/>
    <mergeCell ref="R137:Z137"/>
    <mergeCell ref="AB137:AF137"/>
    <mergeCell ref="V125:W126"/>
    <mergeCell ref="X125:Y126"/>
    <mergeCell ref="Z125:Z127"/>
    <mergeCell ref="AA125:AA127"/>
    <mergeCell ref="AB125:AD126"/>
    <mergeCell ref="AE125:AF126"/>
    <mergeCell ref="I125:I126"/>
    <mergeCell ref="J125:K126"/>
    <mergeCell ref="L125:M126"/>
    <mergeCell ref="N125:O126"/>
    <mergeCell ref="P125:Q126"/>
    <mergeCell ref="R125:S126"/>
    <mergeCell ref="T125:U126"/>
    <mergeCell ref="B128:C128"/>
    <mergeCell ref="B129:C129"/>
    <mergeCell ref="E126:F126"/>
    <mergeCell ref="B127:D127"/>
    <mergeCell ref="E127:G127"/>
    <mergeCell ref="H127:I127"/>
    <mergeCell ref="E128:E130"/>
    <mergeCell ref="H128:I128"/>
    <mergeCell ref="H129:I129"/>
    <mergeCell ref="B134:C134"/>
    <mergeCell ref="B135:C135"/>
    <mergeCell ref="B139:C139"/>
    <mergeCell ref="D139:G139"/>
    <mergeCell ref="E140:F140"/>
    <mergeCell ref="B126:C126"/>
    <mergeCell ref="B130:C130"/>
    <mergeCell ref="B131:C131"/>
    <mergeCell ref="E131:E133"/>
    <mergeCell ref="B132:C132"/>
    <mergeCell ref="B133:D133"/>
    <mergeCell ref="E134:E136"/>
    <mergeCell ref="H130:I130"/>
    <mergeCell ref="H131:I131"/>
    <mergeCell ref="H132:I132"/>
    <mergeCell ref="H133:I133"/>
    <mergeCell ref="H134:I134"/>
    <mergeCell ref="H135:I135"/>
    <mergeCell ref="H136:I136"/>
    <mergeCell ref="J154:Z154"/>
    <mergeCell ref="AA154:AF154"/>
    <mergeCell ref="B151:C151"/>
    <mergeCell ref="B152:C152"/>
    <mergeCell ref="E152:F152"/>
    <mergeCell ref="I152:O152"/>
    <mergeCell ref="P152:Q152"/>
    <mergeCell ref="R152:Z152"/>
    <mergeCell ref="AB152:AF152"/>
    <mergeCell ref="V140:W141"/>
    <mergeCell ref="X140:Y141"/>
    <mergeCell ref="Z140:Z142"/>
    <mergeCell ref="AA140:AA142"/>
    <mergeCell ref="AB140:AD141"/>
    <mergeCell ref="AE140:AF141"/>
    <mergeCell ref="I140:I141"/>
    <mergeCell ref="J140:K141"/>
    <mergeCell ref="L140:M141"/>
    <mergeCell ref="N140:O141"/>
    <mergeCell ref="P140:Q141"/>
    <mergeCell ref="R140:S141"/>
    <mergeCell ref="T140:U141"/>
    <mergeCell ref="B143:C143"/>
    <mergeCell ref="B144:C144"/>
    <mergeCell ref="E141:F141"/>
    <mergeCell ref="B142:D142"/>
    <mergeCell ref="E142:G142"/>
    <mergeCell ref="H142:I142"/>
    <mergeCell ref="E143:E145"/>
    <mergeCell ref="H143:I143"/>
    <mergeCell ref="H144:I144"/>
    <mergeCell ref="B149:C149"/>
    <mergeCell ref="B150:C150"/>
    <mergeCell ref="B154:C154"/>
    <mergeCell ref="D154:G154"/>
    <mergeCell ref="E155:F155"/>
    <mergeCell ref="B141:C141"/>
    <mergeCell ref="B145:C145"/>
    <mergeCell ref="B146:C146"/>
    <mergeCell ref="E146:E148"/>
    <mergeCell ref="B147:C147"/>
    <mergeCell ref="B148:D148"/>
    <mergeCell ref="E149:E151"/>
    <mergeCell ref="H145:I145"/>
    <mergeCell ref="H146:I146"/>
    <mergeCell ref="H147:I147"/>
    <mergeCell ref="H148:I148"/>
    <mergeCell ref="H149:I149"/>
    <mergeCell ref="H150:I150"/>
    <mergeCell ref="H151:I151"/>
    <mergeCell ref="J169:Z169"/>
    <mergeCell ref="AA169:AF169"/>
    <mergeCell ref="B166:C166"/>
    <mergeCell ref="B167:C167"/>
    <mergeCell ref="E167:F167"/>
    <mergeCell ref="I167:O167"/>
    <mergeCell ref="P167:Q167"/>
    <mergeCell ref="R167:Z167"/>
    <mergeCell ref="AB167:AF167"/>
    <mergeCell ref="V155:W156"/>
    <mergeCell ref="X155:Y156"/>
    <mergeCell ref="Z155:Z157"/>
    <mergeCell ref="AA155:AA157"/>
    <mergeCell ref="AB155:AD156"/>
    <mergeCell ref="AE155:AF156"/>
    <mergeCell ref="I155:I156"/>
    <mergeCell ref="J155:K156"/>
    <mergeCell ref="L155:M156"/>
    <mergeCell ref="N155:O156"/>
    <mergeCell ref="P155:Q156"/>
    <mergeCell ref="R155:S156"/>
    <mergeCell ref="T155:U156"/>
    <mergeCell ref="B158:C158"/>
    <mergeCell ref="B159:C159"/>
    <mergeCell ref="E156:F156"/>
    <mergeCell ref="B157:D157"/>
    <mergeCell ref="E157:G157"/>
    <mergeCell ref="H157:I157"/>
    <mergeCell ref="E158:E160"/>
    <mergeCell ref="H158:I158"/>
    <mergeCell ref="H159:I159"/>
    <mergeCell ref="B164:C164"/>
    <mergeCell ref="B165:C165"/>
    <mergeCell ref="B169:C169"/>
    <mergeCell ref="D169:G169"/>
    <mergeCell ref="E170:F170"/>
    <mergeCell ref="B156:C156"/>
    <mergeCell ref="B160:C160"/>
    <mergeCell ref="B161:C161"/>
    <mergeCell ref="E161:E163"/>
    <mergeCell ref="B162:C162"/>
    <mergeCell ref="B163:D163"/>
    <mergeCell ref="E164:E166"/>
    <mergeCell ref="H160:I160"/>
    <mergeCell ref="H161:I161"/>
    <mergeCell ref="H162:I162"/>
    <mergeCell ref="H163:I163"/>
    <mergeCell ref="H164:I164"/>
    <mergeCell ref="H165:I165"/>
    <mergeCell ref="H166:I166"/>
    <mergeCell ref="J184:Z184"/>
    <mergeCell ref="AA184:AF184"/>
    <mergeCell ref="B181:C181"/>
    <mergeCell ref="B182:C182"/>
    <mergeCell ref="E182:F182"/>
    <mergeCell ref="I182:O182"/>
    <mergeCell ref="P182:Q182"/>
    <mergeCell ref="R182:Z182"/>
    <mergeCell ref="AB182:AF182"/>
    <mergeCell ref="V170:W171"/>
    <mergeCell ref="X170:Y171"/>
    <mergeCell ref="Z170:Z172"/>
    <mergeCell ref="AA170:AA172"/>
    <mergeCell ref="AB170:AD171"/>
    <mergeCell ref="AE170:AF171"/>
    <mergeCell ref="I170:I171"/>
    <mergeCell ref="J170:K171"/>
    <mergeCell ref="L170:M171"/>
    <mergeCell ref="N170:O171"/>
    <mergeCell ref="P170:Q171"/>
    <mergeCell ref="R170:S171"/>
    <mergeCell ref="T170:U171"/>
    <mergeCell ref="B173:C173"/>
    <mergeCell ref="B174:C174"/>
    <mergeCell ref="E171:F171"/>
    <mergeCell ref="B172:D172"/>
    <mergeCell ref="E172:G172"/>
    <mergeCell ref="H172:I172"/>
    <mergeCell ref="E173:E175"/>
    <mergeCell ref="H173:I173"/>
    <mergeCell ref="H174:I174"/>
    <mergeCell ref="B179:C179"/>
    <mergeCell ref="B180:C180"/>
    <mergeCell ref="B184:C184"/>
    <mergeCell ref="D184:G184"/>
    <mergeCell ref="E185:F185"/>
    <mergeCell ref="B171:C171"/>
    <mergeCell ref="B175:C175"/>
    <mergeCell ref="B176:C176"/>
    <mergeCell ref="E176:E178"/>
    <mergeCell ref="B177:C177"/>
    <mergeCell ref="B178:D178"/>
    <mergeCell ref="E179:E181"/>
    <mergeCell ref="H175:I175"/>
    <mergeCell ref="H176:I176"/>
    <mergeCell ref="H177:I177"/>
    <mergeCell ref="H178:I178"/>
    <mergeCell ref="H179:I179"/>
    <mergeCell ref="H180:I180"/>
    <mergeCell ref="H181:I181"/>
    <mergeCell ref="J199:Z199"/>
    <mergeCell ref="AA199:AF199"/>
    <mergeCell ref="B196:C196"/>
    <mergeCell ref="B197:C197"/>
    <mergeCell ref="E197:F197"/>
    <mergeCell ref="I197:O197"/>
    <mergeCell ref="P197:Q197"/>
    <mergeCell ref="R197:Z197"/>
    <mergeCell ref="AB197:AF197"/>
    <mergeCell ref="V185:W186"/>
    <mergeCell ref="X185:Y186"/>
    <mergeCell ref="Z185:Z187"/>
    <mergeCell ref="AA185:AA187"/>
    <mergeCell ref="AB185:AD186"/>
    <mergeCell ref="AE185:AF186"/>
    <mergeCell ref="I185:I186"/>
    <mergeCell ref="J185:K186"/>
    <mergeCell ref="L185:M186"/>
    <mergeCell ref="N185:O186"/>
    <mergeCell ref="P185:Q186"/>
    <mergeCell ref="R185:S186"/>
    <mergeCell ref="T185:U186"/>
    <mergeCell ref="B188:C188"/>
    <mergeCell ref="B189:C189"/>
    <mergeCell ref="E186:F186"/>
    <mergeCell ref="B187:D187"/>
    <mergeCell ref="E187:G187"/>
    <mergeCell ref="H187:I187"/>
    <mergeCell ref="E188:E190"/>
    <mergeCell ref="H188:I188"/>
    <mergeCell ref="H189:I189"/>
    <mergeCell ref="B194:C194"/>
    <mergeCell ref="B195:C195"/>
    <mergeCell ref="B199:C199"/>
    <mergeCell ref="D199:G199"/>
    <mergeCell ref="E200:F200"/>
    <mergeCell ref="B186:C186"/>
    <mergeCell ref="B190:C190"/>
    <mergeCell ref="B191:C191"/>
    <mergeCell ref="E191:E193"/>
    <mergeCell ref="B192:C192"/>
    <mergeCell ref="B193:D193"/>
    <mergeCell ref="E194:E196"/>
    <mergeCell ref="H190:I190"/>
    <mergeCell ref="H191:I191"/>
    <mergeCell ref="H192:I192"/>
    <mergeCell ref="H193:I193"/>
    <mergeCell ref="H194:I194"/>
    <mergeCell ref="H195:I195"/>
    <mergeCell ref="H196:I196"/>
    <mergeCell ref="J214:Z214"/>
    <mergeCell ref="AA214:AF214"/>
    <mergeCell ref="B211:C211"/>
    <mergeCell ref="B212:C212"/>
    <mergeCell ref="E212:F212"/>
    <mergeCell ref="I212:O212"/>
    <mergeCell ref="P212:Q212"/>
    <mergeCell ref="R212:Z212"/>
    <mergeCell ref="AB212:AF212"/>
    <mergeCell ref="V200:W201"/>
    <mergeCell ref="X200:Y201"/>
    <mergeCell ref="Z200:Z202"/>
    <mergeCell ref="AA200:AA202"/>
    <mergeCell ref="AB200:AD201"/>
    <mergeCell ref="AE200:AF201"/>
    <mergeCell ref="I200:I201"/>
    <mergeCell ref="J200:K201"/>
    <mergeCell ref="L200:M201"/>
    <mergeCell ref="N200:O201"/>
    <mergeCell ref="P200:Q201"/>
    <mergeCell ref="R200:S201"/>
    <mergeCell ref="T200:U201"/>
    <mergeCell ref="B203:C203"/>
    <mergeCell ref="B204:C204"/>
    <mergeCell ref="E201:F201"/>
    <mergeCell ref="B202:D202"/>
    <mergeCell ref="E202:G202"/>
    <mergeCell ref="H202:I202"/>
    <mergeCell ref="E203:E205"/>
    <mergeCell ref="H203:I203"/>
    <mergeCell ref="H204:I204"/>
    <mergeCell ref="B209:C209"/>
    <mergeCell ref="B210:C210"/>
    <mergeCell ref="B214:C214"/>
    <mergeCell ref="D214:G214"/>
    <mergeCell ref="E215:F215"/>
    <mergeCell ref="B201:C201"/>
    <mergeCell ref="B205:C205"/>
    <mergeCell ref="B206:C206"/>
    <mergeCell ref="E206:E208"/>
    <mergeCell ref="B207:C207"/>
    <mergeCell ref="B208:D208"/>
    <mergeCell ref="E209:E211"/>
    <mergeCell ref="H205:I205"/>
    <mergeCell ref="H206:I206"/>
    <mergeCell ref="H207:I207"/>
    <mergeCell ref="H208:I208"/>
    <mergeCell ref="H209:I209"/>
    <mergeCell ref="H210:I210"/>
    <mergeCell ref="H211:I211"/>
    <mergeCell ref="J229:Z229"/>
    <mergeCell ref="AA229:AF229"/>
    <mergeCell ref="B226:C226"/>
    <mergeCell ref="B227:C227"/>
    <mergeCell ref="E227:F227"/>
    <mergeCell ref="I227:O227"/>
    <mergeCell ref="P227:Q227"/>
    <mergeCell ref="R227:Z227"/>
    <mergeCell ref="AB227:AF227"/>
    <mergeCell ref="V215:W216"/>
    <mergeCell ref="X215:Y216"/>
    <mergeCell ref="Z215:Z217"/>
    <mergeCell ref="AA215:AA217"/>
    <mergeCell ref="AB215:AD216"/>
    <mergeCell ref="AE215:AF216"/>
    <mergeCell ref="I215:I216"/>
    <mergeCell ref="J215:K216"/>
    <mergeCell ref="L215:M216"/>
    <mergeCell ref="N215:O216"/>
    <mergeCell ref="P215:Q216"/>
    <mergeCell ref="R215:S216"/>
    <mergeCell ref="T215:U216"/>
    <mergeCell ref="B218:C218"/>
    <mergeCell ref="B219:C219"/>
    <mergeCell ref="E216:F216"/>
    <mergeCell ref="B217:D217"/>
    <mergeCell ref="E217:G217"/>
    <mergeCell ref="H217:I217"/>
    <mergeCell ref="E218:E220"/>
    <mergeCell ref="H218:I218"/>
    <mergeCell ref="H219:I219"/>
    <mergeCell ref="B224:C224"/>
    <mergeCell ref="B225:C225"/>
    <mergeCell ref="B229:C229"/>
    <mergeCell ref="D229:G229"/>
    <mergeCell ref="E230:F230"/>
    <mergeCell ref="B216:C216"/>
    <mergeCell ref="B220:C220"/>
    <mergeCell ref="B221:C221"/>
    <mergeCell ref="E221:E223"/>
    <mergeCell ref="B222:C222"/>
    <mergeCell ref="B223:D223"/>
    <mergeCell ref="E224:E226"/>
    <mergeCell ref="H220:I220"/>
    <mergeCell ref="H221:I221"/>
    <mergeCell ref="H222:I222"/>
    <mergeCell ref="H223:I223"/>
    <mergeCell ref="H224:I224"/>
    <mergeCell ref="H225:I225"/>
    <mergeCell ref="H226:I226"/>
    <mergeCell ref="J244:Z244"/>
    <mergeCell ref="AA244:AF244"/>
    <mergeCell ref="B241:C241"/>
    <mergeCell ref="B242:C242"/>
    <mergeCell ref="E242:F242"/>
    <mergeCell ref="I242:O242"/>
    <mergeCell ref="P242:Q242"/>
    <mergeCell ref="R242:Z242"/>
    <mergeCell ref="AB242:AF242"/>
    <mergeCell ref="V230:W231"/>
    <mergeCell ref="X230:Y231"/>
    <mergeCell ref="Z230:Z232"/>
    <mergeCell ref="AA230:AA232"/>
    <mergeCell ref="AB230:AD231"/>
    <mergeCell ref="AE230:AF231"/>
    <mergeCell ref="I230:I231"/>
    <mergeCell ref="J230:K231"/>
    <mergeCell ref="L230:M231"/>
    <mergeCell ref="N230:O231"/>
    <mergeCell ref="P230:Q231"/>
    <mergeCell ref="R230:S231"/>
    <mergeCell ref="T230:U231"/>
    <mergeCell ref="B233:C233"/>
    <mergeCell ref="B234:C234"/>
    <mergeCell ref="E231:F231"/>
    <mergeCell ref="B232:D232"/>
    <mergeCell ref="E232:G232"/>
    <mergeCell ref="H232:I232"/>
    <mergeCell ref="E233:E235"/>
    <mergeCell ref="H233:I233"/>
    <mergeCell ref="H234:I234"/>
    <mergeCell ref="B239:C239"/>
    <mergeCell ref="B240:C240"/>
    <mergeCell ref="B244:C244"/>
    <mergeCell ref="D244:G244"/>
    <mergeCell ref="E245:F245"/>
    <mergeCell ref="B231:C231"/>
    <mergeCell ref="B235:C235"/>
    <mergeCell ref="B236:C236"/>
    <mergeCell ref="E236:E238"/>
    <mergeCell ref="B237:C237"/>
    <mergeCell ref="B238:D238"/>
    <mergeCell ref="E239:E241"/>
    <mergeCell ref="H235:I235"/>
    <mergeCell ref="H236:I236"/>
    <mergeCell ref="H237:I237"/>
    <mergeCell ref="H238:I238"/>
    <mergeCell ref="H239:I239"/>
    <mergeCell ref="H240:I240"/>
    <mergeCell ref="H241:I241"/>
    <mergeCell ref="J259:Z259"/>
    <mergeCell ref="AA259:AF259"/>
    <mergeCell ref="B256:C256"/>
    <mergeCell ref="B257:C257"/>
    <mergeCell ref="E257:F257"/>
    <mergeCell ref="I257:O257"/>
    <mergeCell ref="P257:Q257"/>
    <mergeCell ref="R257:Z257"/>
    <mergeCell ref="AB257:AF257"/>
    <mergeCell ref="V245:W246"/>
    <mergeCell ref="X245:Y246"/>
    <mergeCell ref="Z245:Z247"/>
    <mergeCell ref="AA245:AA247"/>
    <mergeCell ref="AB245:AD246"/>
    <mergeCell ref="AE245:AF246"/>
    <mergeCell ref="I245:I246"/>
    <mergeCell ref="J245:K246"/>
    <mergeCell ref="L245:M246"/>
    <mergeCell ref="N245:O246"/>
    <mergeCell ref="P245:Q246"/>
    <mergeCell ref="R245:S246"/>
    <mergeCell ref="T245:U246"/>
    <mergeCell ref="B248:C248"/>
    <mergeCell ref="B249:C249"/>
    <mergeCell ref="E246:F246"/>
    <mergeCell ref="B247:D247"/>
    <mergeCell ref="E247:G247"/>
    <mergeCell ref="H247:I247"/>
    <mergeCell ref="E248:E250"/>
    <mergeCell ref="H248:I248"/>
    <mergeCell ref="H249:I249"/>
    <mergeCell ref="B254:C254"/>
    <mergeCell ref="B255:C255"/>
    <mergeCell ref="B259:C259"/>
    <mergeCell ref="D259:G259"/>
    <mergeCell ref="E260:F260"/>
    <mergeCell ref="B246:C246"/>
    <mergeCell ref="B250:C250"/>
    <mergeCell ref="B251:C251"/>
    <mergeCell ref="E251:E253"/>
    <mergeCell ref="B252:C252"/>
    <mergeCell ref="B253:D253"/>
    <mergeCell ref="E254:E256"/>
    <mergeCell ref="H250:I250"/>
    <mergeCell ref="H251:I251"/>
    <mergeCell ref="H252:I252"/>
    <mergeCell ref="H253:I253"/>
    <mergeCell ref="H254:I254"/>
    <mergeCell ref="H255:I255"/>
    <mergeCell ref="H256:I256"/>
    <mergeCell ref="J274:Z274"/>
    <mergeCell ref="AA274:AF274"/>
    <mergeCell ref="B271:C271"/>
    <mergeCell ref="B272:C272"/>
    <mergeCell ref="E272:F272"/>
    <mergeCell ref="I272:O272"/>
    <mergeCell ref="P272:Q272"/>
    <mergeCell ref="R272:Z272"/>
    <mergeCell ref="AB272:AF272"/>
    <mergeCell ref="V260:W261"/>
    <mergeCell ref="X260:Y261"/>
    <mergeCell ref="Z260:Z262"/>
    <mergeCell ref="AA260:AA262"/>
    <mergeCell ref="AB260:AD261"/>
    <mergeCell ref="AE260:AF261"/>
    <mergeCell ref="I260:I261"/>
    <mergeCell ref="J260:K261"/>
    <mergeCell ref="L260:M261"/>
    <mergeCell ref="N260:O261"/>
    <mergeCell ref="P260:Q261"/>
    <mergeCell ref="R260:S261"/>
    <mergeCell ref="T260:U261"/>
    <mergeCell ref="B263:C263"/>
    <mergeCell ref="B264:C264"/>
    <mergeCell ref="E261:F261"/>
    <mergeCell ref="B262:D262"/>
    <mergeCell ref="E262:G262"/>
    <mergeCell ref="H262:I262"/>
    <mergeCell ref="E263:E265"/>
    <mergeCell ref="H263:I263"/>
    <mergeCell ref="H264:I264"/>
    <mergeCell ref="B269:C269"/>
    <mergeCell ref="B270:C270"/>
    <mergeCell ref="B274:C274"/>
    <mergeCell ref="D274:G274"/>
    <mergeCell ref="E275:F275"/>
    <mergeCell ref="B261:C261"/>
    <mergeCell ref="B265:C265"/>
    <mergeCell ref="B266:C266"/>
    <mergeCell ref="E266:E268"/>
    <mergeCell ref="B267:C267"/>
    <mergeCell ref="B268:D268"/>
    <mergeCell ref="E269:E271"/>
    <mergeCell ref="H265:I265"/>
    <mergeCell ref="H266:I266"/>
    <mergeCell ref="H267:I267"/>
    <mergeCell ref="H268:I268"/>
    <mergeCell ref="H269:I269"/>
    <mergeCell ref="H270:I270"/>
    <mergeCell ref="H271:I271"/>
    <mergeCell ref="J289:Z289"/>
    <mergeCell ref="AA289:AF289"/>
    <mergeCell ref="B286:C286"/>
    <mergeCell ref="B287:C287"/>
    <mergeCell ref="E287:F287"/>
    <mergeCell ref="I287:O287"/>
    <mergeCell ref="P287:Q287"/>
    <mergeCell ref="R287:Z287"/>
    <mergeCell ref="AB287:AF287"/>
    <mergeCell ref="V275:W276"/>
    <mergeCell ref="X275:Y276"/>
    <mergeCell ref="Z275:Z277"/>
    <mergeCell ref="AA275:AA277"/>
    <mergeCell ref="AB275:AD276"/>
    <mergeCell ref="AE275:AF276"/>
    <mergeCell ref="I275:I276"/>
    <mergeCell ref="J275:K276"/>
    <mergeCell ref="L275:M276"/>
    <mergeCell ref="N275:O276"/>
    <mergeCell ref="P275:Q276"/>
    <mergeCell ref="R275:S276"/>
    <mergeCell ref="T275:U276"/>
    <mergeCell ref="B278:C278"/>
    <mergeCell ref="B279:C279"/>
    <mergeCell ref="E276:F276"/>
    <mergeCell ref="B277:D277"/>
    <mergeCell ref="E277:G277"/>
    <mergeCell ref="H277:I277"/>
    <mergeCell ref="E278:E280"/>
    <mergeCell ref="H278:I278"/>
    <mergeCell ref="H279:I279"/>
    <mergeCell ref="B284:C284"/>
    <mergeCell ref="B285:C285"/>
    <mergeCell ref="B289:C289"/>
    <mergeCell ref="D289:G289"/>
    <mergeCell ref="E290:F290"/>
    <mergeCell ref="B276:C276"/>
    <mergeCell ref="B280:C280"/>
    <mergeCell ref="B281:C281"/>
    <mergeCell ref="E281:E283"/>
    <mergeCell ref="B282:C282"/>
    <mergeCell ref="B283:D283"/>
    <mergeCell ref="E284:E286"/>
    <mergeCell ref="H280:I280"/>
    <mergeCell ref="H281:I281"/>
    <mergeCell ref="H282:I282"/>
    <mergeCell ref="H283:I283"/>
    <mergeCell ref="H284:I284"/>
    <mergeCell ref="H285:I285"/>
    <mergeCell ref="H286:I286"/>
    <mergeCell ref="J304:Z304"/>
    <mergeCell ref="AA304:AF304"/>
    <mergeCell ref="B301:C301"/>
    <mergeCell ref="B302:C302"/>
    <mergeCell ref="E302:F302"/>
    <mergeCell ref="I302:O302"/>
    <mergeCell ref="P302:Q302"/>
    <mergeCell ref="R302:Z302"/>
    <mergeCell ref="AB302:AF302"/>
    <mergeCell ref="V290:W291"/>
    <mergeCell ref="X290:Y291"/>
    <mergeCell ref="Z290:Z292"/>
    <mergeCell ref="AA290:AA292"/>
    <mergeCell ref="AB290:AD291"/>
    <mergeCell ref="AE290:AF291"/>
    <mergeCell ref="I290:I291"/>
    <mergeCell ref="J290:K291"/>
    <mergeCell ref="L290:M291"/>
    <mergeCell ref="N290:O291"/>
    <mergeCell ref="P290:Q291"/>
    <mergeCell ref="R290:S291"/>
    <mergeCell ref="T290:U291"/>
    <mergeCell ref="B293:C293"/>
    <mergeCell ref="B294:C294"/>
    <mergeCell ref="E291:F291"/>
    <mergeCell ref="B292:D292"/>
    <mergeCell ref="E292:G292"/>
    <mergeCell ref="H292:I292"/>
    <mergeCell ref="E293:E295"/>
    <mergeCell ref="H293:I293"/>
    <mergeCell ref="H294:I294"/>
    <mergeCell ref="B299:C299"/>
    <mergeCell ref="B300:C300"/>
    <mergeCell ref="B304:C304"/>
    <mergeCell ref="D304:G304"/>
    <mergeCell ref="E305:F305"/>
    <mergeCell ref="B291:C291"/>
    <mergeCell ref="B295:C295"/>
    <mergeCell ref="B296:C296"/>
    <mergeCell ref="E296:E298"/>
    <mergeCell ref="B297:C297"/>
    <mergeCell ref="B298:D298"/>
    <mergeCell ref="E299:E301"/>
    <mergeCell ref="H295:I295"/>
    <mergeCell ref="H296:I296"/>
    <mergeCell ref="H297:I297"/>
    <mergeCell ref="H298:I298"/>
    <mergeCell ref="H299:I299"/>
    <mergeCell ref="H300:I300"/>
    <mergeCell ref="H301:I301"/>
    <mergeCell ref="J319:Z319"/>
    <mergeCell ref="AA319:AF319"/>
    <mergeCell ref="B316:C316"/>
    <mergeCell ref="B317:C317"/>
    <mergeCell ref="E317:F317"/>
    <mergeCell ref="I317:O317"/>
    <mergeCell ref="P317:Q317"/>
    <mergeCell ref="R317:Z317"/>
    <mergeCell ref="AB317:AF317"/>
    <mergeCell ref="V305:W306"/>
    <mergeCell ref="X305:Y306"/>
    <mergeCell ref="Z305:Z307"/>
    <mergeCell ref="AA305:AA307"/>
    <mergeCell ref="AB305:AD306"/>
    <mergeCell ref="AE305:AF306"/>
    <mergeCell ref="I305:I306"/>
    <mergeCell ref="J305:K306"/>
    <mergeCell ref="L305:M306"/>
    <mergeCell ref="N305:O306"/>
    <mergeCell ref="P305:Q306"/>
    <mergeCell ref="R305:S306"/>
    <mergeCell ref="T305:U306"/>
    <mergeCell ref="B308:C308"/>
    <mergeCell ref="B309:C309"/>
    <mergeCell ref="E306:F306"/>
    <mergeCell ref="B307:D307"/>
    <mergeCell ref="E307:G307"/>
    <mergeCell ref="H307:I307"/>
    <mergeCell ref="E308:E310"/>
    <mergeCell ref="H308:I308"/>
    <mergeCell ref="H309:I309"/>
    <mergeCell ref="B314:C314"/>
    <mergeCell ref="B315:C315"/>
    <mergeCell ref="B319:C319"/>
    <mergeCell ref="D319:G319"/>
    <mergeCell ref="E320:F320"/>
    <mergeCell ref="B306:C306"/>
    <mergeCell ref="B310:C310"/>
    <mergeCell ref="B311:C311"/>
    <mergeCell ref="E311:E313"/>
    <mergeCell ref="B312:C312"/>
    <mergeCell ref="B313:D313"/>
    <mergeCell ref="E314:E316"/>
    <mergeCell ref="H310:I310"/>
    <mergeCell ref="H311:I311"/>
    <mergeCell ref="H312:I312"/>
    <mergeCell ref="H313:I313"/>
    <mergeCell ref="H314:I314"/>
    <mergeCell ref="H315:I315"/>
    <mergeCell ref="H316:I316"/>
    <mergeCell ref="J334:Z334"/>
    <mergeCell ref="AA334:AF334"/>
    <mergeCell ref="B331:C331"/>
    <mergeCell ref="B332:C332"/>
    <mergeCell ref="E332:F332"/>
    <mergeCell ref="I332:O332"/>
    <mergeCell ref="P332:Q332"/>
    <mergeCell ref="R332:Z332"/>
    <mergeCell ref="AB332:AF332"/>
    <mergeCell ref="V320:W321"/>
    <mergeCell ref="X320:Y321"/>
    <mergeCell ref="Z320:Z322"/>
    <mergeCell ref="AA320:AA322"/>
    <mergeCell ref="AB320:AD321"/>
    <mergeCell ref="AE320:AF321"/>
    <mergeCell ref="I320:I321"/>
    <mergeCell ref="J320:K321"/>
    <mergeCell ref="L320:M321"/>
    <mergeCell ref="N320:O321"/>
    <mergeCell ref="P320:Q321"/>
    <mergeCell ref="R320:S321"/>
    <mergeCell ref="T320:U321"/>
    <mergeCell ref="B323:C323"/>
    <mergeCell ref="B324:C324"/>
    <mergeCell ref="E321:F321"/>
    <mergeCell ref="B322:D322"/>
    <mergeCell ref="E322:G322"/>
    <mergeCell ref="H322:I322"/>
    <mergeCell ref="E323:E325"/>
    <mergeCell ref="H323:I323"/>
    <mergeCell ref="H324:I324"/>
    <mergeCell ref="B329:C329"/>
    <mergeCell ref="B330:C330"/>
    <mergeCell ref="B334:C334"/>
    <mergeCell ref="D334:G334"/>
    <mergeCell ref="E335:F335"/>
    <mergeCell ref="B321:C321"/>
    <mergeCell ref="B325:C325"/>
    <mergeCell ref="B326:C326"/>
    <mergeCell ref="E326:E328"/>
    <mergeCell ref="B327:C327"/>
    <mergeCell ref="B328:D328"/>
    <mergeCell ref="E329:E331"/>
    <mergeCell ref="H325:I325"/>
    <mergeCell ref="H326:I326"/>
    <mergeCell ref="H327:I327"/>
    <mergeCell ref="H328:I328"/>
    <mergeCell ref="H329:I329"/>
    <mergeCell ref="H330:I330"/>
    <mergeCell ref="H331:I331"/>
    <mergeCell ref="J349:Z349"/>
    <mergeCell ref="AA349:AF349"/>
    <mergeCell ref="B346:C346"/>
    <mergeCell ref="B347:C347"/>
    <mergeCell ref="E347:F347"/>
    <mergeCell ref="I347:O347"/>
    <mergeCell ref="P347:Q347"/>
    <mergeCell ref="R347:Z347"/>
    <mergeCell ref="AB347:AF347"/>
    <mergeCell ref="V335:W336"/>
    <mergeCell ref="X335:Y336"/>
    <mergeCell ref="Z335:Z337"/>
    <mergeCell ref="AA335:AA337"/>
    <mergeCell ref="AB335:AD336"/>
    <mergeCell ref="AE335:AF336"/>
    <mergeCell ref="I335:I336"/>
    <mergeCell ref="J335:K336"/>
    <mergeCell ref="L335:M336"/>
    <mergeCell ref="N335:O336"/>
    <mergeCell ref="P335:Q336"/>
    <mergeCell ref="R335:S336"/>
    <mergeCell ref="T335:U336"/>
    <mergeCell ref="B338:C338"/>
    <mergeCell ref="B339:C339"/>
    <mergeCell ref="E336:F336"/>
    <mergeCell ref="B337:D337"/>
    <mergeCell ref="E337:G337"/>
    <mergeCell ref="H337:I337"/>
    <mergeCell ref="E338:E340"/>
    <mergeCell ref="H338:I338"/>
    <mergeCell ref="H339:I339"/>
    <mergeCell ref="B344:C344"/>
    <mergeCell ref="B345:C345"/>
    <mergeCell ref="B349:C349"/>
    <mergeCell ref="D349:G349"/>
    <mergeCell ref="E350:F350"/>
    <mergeCell ref="B336:C336"/>
    <mergeCell ref="B340:C340"/>
    <mergeCell ref="B341:C341"/>
    <mergeCell ref="E341:E343"/>
    <mergeCell ref="B342:C342"/>
    <mergeCell ref="B343:D343"/>
    <mergeCell ref="E344:E346"/>
    <mergeCell ref="H340:I340"/>
    <mergeCell ref="H341:I341"/>
    <mergeCell ref="H342:I342"/>
    <mergeCell ref="H343:I343"/>
    <mergeCell ref="H344:I344"/>
    <mergeCell ref="H345:I345"/>
    <mergeCell ref="H346:I346"/>
    <mergeCell ref="J364:Z364"/>
    <mergeCell ref="AA364:AF364"/>
    <mergeCell ref="B361:C361"/>
    <mergeCell ref="B362:C362"/>
    <mergeCell ref="E362:F362"/>
    <mergeCell ref="I362:O362"/>
    <mergeCell ref="P362:Q362"/>
    <mergeCell ref="R362:Z362"/>
    <mergeCell ref="AB362:AF362"/>
    <mergeCell ref="V350:W351"/>
    <mergeCell ref="X350:Y351"/>
    <mergeCell ref="Z350:Z352"/>
    <mergeCell ref="AA350:AA352"/>
    <mergeCell ref="AB350:AD351"/>
    <mergeCell ref="AE350:AF351"/>
    <mergeCell ref="I350:I351"/>
    <mergeCell ref="J350:K351"/>
    <mergeCell ref="L350:M351"/>
    <mergeCell ref="N350:O351"/>
    <mergeCell ref="P350:Q351"/>
    <mergeCell ref="R350:S351"/>
    <mergeCell ref="T350:U351"/>
    <mergeCell ref="B353:C353"/>
    <mergeCell ref="B354:C354"/>
    <mergeCell ref="E351:F351"/>
    <mergeCell ref="B352:D352"/>
    <mergeCell ref="E352:G352"/>
    <mergeCell ref="H352:I352"/>
    <mergeCell ref="E353:E355"/>
    <mergeCell ref="H353:I353"/>
    <mergeCell ref="H354:I354"/>
    <mergeCell ref="B359:C359"/>
    <mergeCell ref="B360:C360"/>
    <mergeCell ref="B364:C364"/>
    <mergeCell ref="D364:G364"/>
    <mergeCell ref="E365:F365"/>
    <mergeCell ref="B351:C351"/>
    <mergeCell ref="B355:C355"/>
    <mergeCell ref="B356:C356"/>
    <mergeCell ref="E356:E358"/>
    <mergeCell ref="B357:C357"/>
    <mergeCell ref="B358:D358"/>
    <mergeCell ref="E359:E361"/>
    <mergeCell ref="H355:I355"/>
    <mergeCell ref="H356:I356"/>
    <mergeCell ref="H357:I357"/>
    <mergeCell ref="H358:I358"/>
    <mergeCell ref="H359:I359"/>
    <mergeCell ref="H360:I360"/>
    <mergeCell ref="H361:I361"/>
    <mergeCell ref="J379:Z379"/>
    <mergeCell ref="AA379:AF379"/>
    <mergeCell ref="B376:C376"/>
    <mergeCell ref="B377:C377"/>
    <mergeCell ref="E377:F377"/>
    <mergeCell ref="I377:O377"/>
    <mergeCell ref="P377:Q377"/>
    <mergeCell ref="R377:Z377"/>
    <mergeCell ref="AB377:AF377"/>
    <mergeCell ref="V365:W366"/>
    <mergeCell ref="X365:Y366"/>
    <mergeCell ref="Z365:Z367"/>
    <mergeCell ref="AA365:AA367"/>
    <mergeCell ref="AB365:AD366"/>
    <mergeCell ref="AE365:AF366"/>
    <mergeCell ref="I365:I366"/>
    <mergeCell ref="J365:K366"/>
    <mergeCell ref="L365:M366"/>
    <mergeCell ref="N365:O366"/>
    <mergeCell ref="P365:Q366"/>
    <mergeCell ref="R365:S366"/>
    <mergeCell ref="T365:U366"/>
    <mergeCell ref="B368:C368"/>
    <mergeCell ref="B369:C369"/>
    <mergeCell ref="E366:F366"/>
    <mergeCell ref="B367:D367"/>
    <mergeCell ref="E367:G367"/>
    <mergeCell ref="H367:I367"/>
    <mergeCell ref="E368:E370"/>
    <mergeCell ref="H368:I368"/>
    <mergeCell ref="H369:I369"/>
    <mergeCell ref="B374:C374"/>
    <mergeCell ref="B375:C375"/>
    <mergeCell ref="B379:C379"/>
    <mergeCell ref="D379:G379"/>
    <mergeCell ref="E380:F380"/>
    <mergeCell ref="B366:C366"/>
    <mergeCell ref="B370:C370"/>
    <mergeCell ref="B371:C371"/>
    <mergeCell ref="E371:E373"/>
    <mergeCell ref="B372:C372"/>
    <mergeCell ref="B373:D373"/>
    <mergeCell ref="E374:E376"/>
    <mergeCell ref="H370:I370"/>
    <mergeCell ref="H371:I371"/>
    <mergeCell ref="H372:I372"/>
    <mergeCell ref="H373:I373"/>
    <mergeCell ref="H374:I374"/>
    <mergeCell ref="H375:I375"/>
    <mergeCell ref="H376:I376"/>
    <mergeCell ref="J394:Z394"/>
    <mergeCell ref="AA394:AF394"/>
    <mergeCell ref="B391:C391"/>
    <mergeCell ref="B392:C392"/>
    <mergeCell ref="E392:F392"/>
    <mergeCell ref="I392:O392"/>
    <mergeCell ref="P392:Q392"/>
    <mergeCell ref="R392:Z392"/>
    <mergeCell ref="AB392:AF392"/>
    <mergeCell ref="V380:W381"/>
    <mergeCell ref="X380:Y381"/>
    <mergeCell ref="Z380:Z382"/>
    <mergeCell ref="AA380:AA382"/>
    <mergeCell ref="AB380:AD381"/>
    <mergeCell ref="AE380:AF381"/>
    <mergeCell ref="I380:I381"/>
    <mergeCell ref="J380:K381"/>
    <mergeCell ref="L380:M381"/>
    <mergeCell ref="N380:O381"/>
    <mergeCell ref="P380:Q381"/>
    <mergeCell ref="R380:S381"/>
    <mergeCell ref="T380:U381"/>
    <mergeCell ref="B383:C383"/>
    <mergeCell ref="B384:C384"/>
    <mergeCell ref="E381:F381"/>
    <mergeCell ref="B382:D382"/>
    <mergeCell ref="E382:G382"/>
    <mergeCell ref="H382:I382"/>
    <mergeCell ref="E383:E385"/>
    <mergeCell ref="H383:I383"/>
    <mergeCell ref="H384:I384"/>
    <mergeCell ref="B389:C389"/>
    <mergeCell ref="B390:C390"/>
    <mergeCell ref="B394:C394"/>
    <mergeCell ref="D394:G394"/>
    <mergeCell ref="E395:F395"/>
    <mergeCell ref="B381:C381"/>
    <mergeCell ref="B385:C385"/>
    <mergeCell ref="B386:C386"/>
    <mergeCell ref="E386:E388"/>
    <mergeCell ref="B387:C387"/>
    <mergeCell ref="B388:D388"/>
    <mergeCell ref="E389:E391"/>
    <mergeCell ref="H385:I385"/>
    <mergeCell ref="H386:I386"/>
    <mergeCell ref="H387:I387"/>
    <mergeCell ref="H388:I388"/>
    <mergeCell ref="H389:I389"/>
    <mergeCell ref="H390:I390"/>
    <mergeCell ref="H391:I391"/>
    <mergeCell ref="J409:Z409"/>
    <mergeCell ref="AA409:AF409"/>
    <mergeCell ref="B406:C406"/>
    <mergeCell ref="B407:C407"/>
    <mergeCell ref="E407:F407"/>
    <mergeCell ref="I407:O407"/>
    <mergeCell ref="P407:Q407"/>
    <mergeCell ref="R407:Z407"/>
    <mergeCell ref="AB407:AF407"/>
    <mergeCell ref="V395:W396"/>
    <mergeCell ref="X395:Y396"/>
    <mergeCell ref="Z395:Z397"/>
    <mergeCell ref="AA395:AA397"/>
    <mergeCell ref="AB395:AD396"/>
    <mergeCell ref="AE395:AF396"/>
    <mergeCell ref="I395:I396"/>
    <mergeCell ref="J395:K396"/>
    <mergeCell ref="L395:M396"/>
    <mergeCell ref="N395:O396"/>
    <mergeCell ref="P395:Q396"/>
    <mergeCell ref="R395:S396"/>
    <mergeCell ref="T395:U396"/>
    <mergeCell ref="B398:C398"/>
    <mergeCell ref="B399:C399"/>
    <mergeCell ref="E396:F396"/>
    <mergeCell ref="B397:D397"/>
    <mergeCell ref="E397:G397"/>
    <mergeCell ref="H397:I397"/>
    <mergeCell ref="E398:E400"/>
    <mergeCell ref="H398:I398"/>
    <mergeCell ref="H399:I399"/>
    <mergeCell ref="B404:C404"/>
    <mergeCell ref="B405:C405"/>
    <mergeCell ref="B409:C409"/>
    <mergeCell ref="D409:G409"/>
    <mergeCell ref="E410:F410"/>
    <mergeCell ref="B396:C396"/>
    <mergeCell ref="B400:C400"/>
    <mergeCell ref="B401:C401"/>
    <mergeCell ref="E401:E403"/>
    <mergeCell ref="B402:C402"/>
    <mergeCell ref="B403:D403"/>
    <mergeCell ref="E404:E406"/>
    <mergeCell ref="H400:I400"/>
    <mergeCell ref="H401:I401"/>
    <mergeCell ref="H402:I402"/>
    <mergeCell ref="H403:I403"/>
    <mergeCell ref="H404:I404"/>
    <mergeCell ref="H405:I405"/>
    <mergeCell ref="H406:I406"/>
    <mergeCell ref="J424:Z424"/>
    <mergeCell ref="AA424:AF424"/>
    <mergeCell ref="B421:C421"/>
    <mergeCell ref="B422:C422"/>
    <mergeCell ref="E422:F422"/>
    <mergeCell ref="I422:O422"/>
    <mergeCell ref="P422:Q422"/>
    <mergeCell ref="R422:Z422"/>
    <mergeCell ref="AB422:AF422"/>
    <mergeCell ref="V410:W411"/>
    <mergeCell ref="X410:Y411"/>
    <mergeCell ref="Z410:Z412"/>
    <mergeCell ref="AA410:AA412"/>
    <mergeCell ref="AB410:AD411"/>
    <mergeCell ref="AE410:AF411"/>
    <mergeCell ref="I410:I411"/>
    <mergeCell ref="J410:K411"/>
    <mergeCell ref="L410:M411"/>
    <mergeCell ref="N410:O411"/>
    <mergeCell ref="P410:Q411"/>
    <mergeCell ref="R410:S411"/>
    <mergeCell ref="T410:U411"/>
    <mergeCell ref="B413:C413"/>
    <mergeCell ref="B414:C414"/>
    <mergeCell ref="E411:F411"/>
    <mergeCell ref="B412:D412"/>
    <mergeCell ref="E412:G412"/>
    <mergeCell ref="H412:I412"/>
    <mergeCell ref="E413:E415"/>
    <mergeCell ref="H413:I413"/>
    <mergeCell ref="H414:I414"/>
    <mergeCell ref="B419:C419"/>
    <mergeCell ref="B420:C420"/>
    <mergeCell ref="B424:C424"/>
    <mergeCell ref="D424:G424"/>
    <mergeCell ref="E425:F425"/>
    <mergeCell ref="B411:C411"/>
    <mergeCell ref="B415:C415"/>
    <mergeCell ref="B416:C416"/>
    <mergeCell ref="E416:E418"/>
    <mergeCell ref="B417:C417"/>
    <mergeCell ref="B418:D418"/>
    <mergeCell ref="E419:E421"/>
    <mergeCell ref="H415:I415"/>
    <mergeCell ref="H416:I416"/>
    <mergeCell ref="H417:I417"/>
    <mergeCell ref="H418:I418"/>
    <mergeCell ref="H419:I419"/>
    <mergeCell ref="H420:I420"/>
    <mergeCell ref="H421:I421"/>
    <mergeCell ref="J439:Z439"/>
    <mergeCell ref="AA439:AF439"/>
    <mergeCell ref="B436:C436"/>
    <mergeCell ref="B437:C437"/>
    <mergeCell ref="E437:F437"/>
    <mergeCell ref="I437:O437"/>
    <mergeCell ref="P437:Q437"/>
    <mergeCell ref="R437:Z437"/>
    <mergeCell ref="AB437:AF437"/>
    <mergeCell ref="V425:W426"/>
    <mergeCell ref="X425:Y426"/>
    <mergeCell ref="Z425:Z427"/>
    <mergeCell ref="AA425:AA427"/>
    <mergeCell ref="AB425:AD426"/>
    <mergeCell ref="AE425:AF426"/>
    <mergeCell ref="I425:I426"/>
    <mergeCell ref="J425:K426"/>
    <mergeCell ref="L425:M426"/>
    <mergeCell ref="N425:O426"/>
    <mergeCell ref="P425:Q426"/>
    <mergeCell ref="R425:S426"/>
    <mergeCell ref="T425:U426"/>
    <mergeCell ref="B428:C428"/>
    <mergeCell ref="B429:C429"/>
    <mergeCell ref="E426:F426"/>
    <mergeCell ref="B427:D427"/>
    <mergeCell ref="E427:G427"/>
    <mergeCell ref="H427:I427"/>
    <mergeCell ref="E428:E430"/>
    <mergeCell ref="H428:I428"/>
    <mergeCell ref="H429:I429"/>
    <mergeCell ref="B434:C434"/>
    <mergeCell ref="B435:C435"/>
    <mergeCell ref="B439:C439"/>
    <mergeCell ref="D439:G439"/>
    <mergeCell ref="E440:F440"/>
    <mergeCell ref="B426:C426"/>
    <mergeCell ref="B430:C430"/>
    <mergeCell ref="B431:C431"/>
    <mergeCell ref="E431:E433"/>
    <mergeCell ref="B432:C432"/>
    <mergeCell ref="B433:D433"/>
    <mergeCell ref="E434:E436"/>
    <mergeCell ref="H430:I430"/>
    <mergeCell ref="H431:I431"/>
    <mergeCell ref="H432:I432"/>
    <mergeCell ref="H433:I433"/>
    <mergeCell ref="H434:I434"/>
    <mergeCell ref="H435:I435"/>
    <mergeCell ref="H436:I436"/>
    <mergeCell ref="J454:Z454"/>
    <mergeCell ref="AA454:AF454"/>
    <mergeCell ref="B451:C451"/>
    <mergeCell ref="B452:C452"/>
    <mergeCell ref="E452:F452"/>
    <mergeCell ref="I452:O452"/>
    <mergeCell ref="P452:Q452"/>
    <mergeCell ref="R452:Z452"/>
    <mergeCell ref="AB452:AF452"/>
    <mergeCell ref="V440:W441"/>
    <mergeCell ref="X440:Y441"/>
    <mergeCell ref="Z440:Z442"/>
    <mergeCell ref="AA440:AA442"/>
    <mergeCell ref="AB440:AD441"/>
    <mergeCell ref="AE440:AF441"/>
    <mergeCell ref="I440:I441"/>
    <mergeCell ref="J440:K441"/>
    <mergeCell ref="L440:M441"/>
    <mergeCell ref="N440:O441"/>
    <mergeCell ref="P440:Q441"/>
    <mergeCell ref="R440:S441"/>
    <mergeCell ref="T440:U441"/>
    <mergeCell ref="B443:C443"/>
    <mergeCell ref="B444:C444"/>
    <mergeCell ref="E441:F441"/>
    <mergeCell ref="B442:D442"/>
    <mergeCell ref="E442:G442"/>
    <mergeCell ref="H442:I442"/>
    <mergeCell ref="E443:E445"/>
    <mergeCell ref="H443:I443"/>
    <mergeCell ref="H444:I444"/>
    <mergeCell ref="B449:C449"/>
    <mergeCell ref="B450:C450"/>
    <mergeCell ref="B454:C454"/>
    <mergeCell ref="D454:G454"/>
    <mergeCell ref="E455:F455"/>
    <mergeCell ref="B441:C441"/>
    <mergeCell ref="B445:C445"/>
    <mergeCell ref="B446:C446"/>
    <mergeCell ref="E446:E448"/>
    <mergeCell ref="B447:C447"/>
    <mergeCell ref="B448:D448"/>
    <mergeCell ref="E449:E451"/>
    <mergeCell ref="H445:I445"/>
    <mergeCell ref="H446:I446"/>
    <mergeCell ref="H447:I447"/>
    <mergeCell ref="H448:I448"/>
    <mergeCell ref="H449:I449"/>
    <mergeCell ref="H450:I450"/>
    <mergeCell ref="H451:I451"/>
    <mergeCell ref="J469:Z469"/>
    <mergeCell ref="AA469:AF469"/>
    <mergeCell ref="B466:C466"/>
    <mergeCell ref="B467:C467"/>
    <mergeCell ref="E467:F467"/>
    <mergeCell ref="I467:O467"/>
    <mergeCell ref="P467:Q467"/>
    <mergeCell ref="R467:Z467"/>
    <mergeCell ref="AB467:AF467"/>
    <mergeCell ref="V455:W456"/>
    <mergeCell ref="X455:Y456"/>
    <mergeCell ref="Z455:Z457"/>
    <mergeCell ref="AA455:AA457"/>
    <mergeCell ref="AB455:AD456"/>
    <mergeCell ref="AE455:AF456"/>
    <mergeCell ref="I455:I456"/>
    <mergeCell ref="J455:K456"/>
    <mergeCell ref="L455:M456"/>
    <mergeCell ref="N455:O456"/>
    <mergeCell ref="P455:Q456"/>
    <mergeCell ref="R455:S456"/>
    <mergeCell ref="T455:U456"/>
    <mergeCell ref="B458:C458"/>
    <mergeCell ref="B459:C459"/>
    <mergeCell ref="E456:F456"/>
    <mergeCell ref="B457:D457"/>
    <mergeCell ref="E457:G457"/>
    <mergeCell ref="H457:I457"/>
    <mergeCell ref="E458:E460"/>
    <mergeCell ref="H458:I458"/>
    <mergeCell ref="H459:I459"/>
    <mergeCell ref="B464:C464"/>
    <mergeCell ref="B465:C465"/>
    <mergeCell ref="B469:C469"/>
    <mergeCell ref="D469:G469"/>
    <mergeCell ref="E470:F470"/>
    <mergeCell ref="B456:C456"/>
    <mergeCell ref="B460:C460"/>
    <mergeCell ref="B461:C461"/>
    <mergeCell ref="E461:E463"/>
    <mergeCell ref="B462:C462"/>
    <mergeCell ref="B463:D463"/>
    <mergeCell ref="E464:E466"/>
    <mergeCell ref="H460:I460"/>
    <mergeCell ref="H461:I461"/>
    <mergeCell ref="H462:I462"/>
    <mergeCell ref="H463:I463"/>
    <mergeCell ref="H464:I464"/>
    <mergeCell ref="H465:I465"/>
    <mergeCell ref="H466:I466"/>
    <mergeCell ref="J484:Z484"/>
    <mergeCell ref="AA484:AF484"/>
    <mergeCell ref="B481:C481"/>
    <mergeCell ref="B482:C482"/>
    <mergeCell ref="E482:F482"/>
    <mergeCell ref="I482:O482"/>
    <mergeCell ref="P482:Q482"/>
    <mergeCell ref="R482:Z482"/>
    <mergeCell ref="AB482:AF482"/>
    <mergeCell ref="V470:W471"/>
    <mergeCell ref="X470:Y471"/>
    <mergeCell ref="Z470:Z472"/>
    <mergeCell ref="AA470:AA472"/>
    <mergeCell ref="AB470:AD471"/>
    <mergeCell ref="AE470:AF471"/>
    <mergeCell ref="I470:I471"/>
    <mergeCell ref="J470:K471"/>
    <mergeCell ref="L470:M471"/>
    <mergeCell ref="N470:O471"/>
    <mergeCell ref="P470:Q471"/>
    <mergeCell ref="R470:S471"/>
    <mergeCell ref="T470:U471"/>
    <mergeCell ref="B473:C473"/>
    <mergeCell ref="B474:C474"/>
    <mergeCell ref="E471:F471"/>
    <mergeCell ref="B472:D472"/>
    <mergeCell ref="E472:G472"/>
    <mergeCell ref="H472:I472"/>
    <mergeCell ref="E473:E475"/>
    <mergeCell ref="H473:I473"/>
    <mergeCell ref="H474:I474"/>
    <mergeCell ref="B479:C479"/>
    <mergeCell ref="B480:C480"/>
    <mergeCell ref="B484:C484"/>
    <mergeCell ref="D484:G484"/>
    <mergeCell ref="E485:F485"/>
    <mergeCell ref="B471:C471"/>
    <mergeCell ref="B475:C475"/>
    <mergeCell ref="B476:C476"/>
    <mergeCell ref="E476:E478"/>
    <mergeCell ref="B477:C477"/>
    <mergeCell ref="B478:D478"/>
    <mergeCell ref="E479:E481"/>
    <mergeCell ref="H475:I475"/>
    <mergeCell ref="H476:I476"/>
    <mergeCell ref="H477:I477"/>
    <mergeCell ref="H478:I478"/>
    <mergeCell ref="H479:I479"/>
    <mergeCell ref="H480:I480"/>
    <mergeCell ref="H481:I481"/>
    <mergeCell ref="J499:Z499"/>
    <mergeCell ref="AA499:AF499"/>
    <mergeCell ref="B496:C496"/>
    <mergeCell ref="B497:C497"/>
    <mergeCell ref="E497:F497"/>
    <mergeCell ref="I497:O497"/>
    <mergeCell ref="P497:Q497"/>
    <mergeCell ref="R497:Z497"/>
    <mergeCell ref="AB497:AF497"/>
    <mergeCell ref="V485:W486"/>
    <mergeCell ref="X485:Y486"/>
    <mergeCell ref="Z485:Z487"/>
    <mergeCell ref="AA485:AA487"/>
    <mergeCell ref="AB485:AD486"/>
    <mergeCell ref="AE485:AF486"/>
    <mergeCell ref="I485:I486"/>
    <mergeCell ref="J485:K486"/>
    <mergeCell ref="L485:M486"/>
    <mergeCell ref="N485:O486"/>
    <mergeCell ref="P485:Q486"/>
    <mergeCell ref="R485:S486"/>
    <mergeCell ref="T485:U486"/>
    <mergeCell ref="B488:C488"/>
    <mergeCell ref="B489:C489"/>
    <mergeCell ref="E486:F486"/>
    <mergeCell ref="B487:D487"/>
    <mergeCell ref="E487:G487"/>
    <mergeCell ref="H487:I487"/>
    <mergeCell ref="E488:E490"/>
    <mergeCell ref="H488:I488"/>
    <mergeCell ref="H489:I489"/>
    <mergeCell ref="B494:C494"/>
    <mergeCell ref="B495:C495"/>
    <mergeCell ref="B499:C499"/>
    <mergeCell ref="D499:G499"/>
    <mergeCell ref="E500:F500"/>
    <mergeCell ref="B486:C486"/>
    <mergeCell ref="B490:C490"/>
    <mergeCell ref="B491:C491"/>
    <mergeCell ref="E491:E493"/>
    <mergeCell ref="B492:C492"/>
    <mergeCell ref="B493:D493"/>
    <mergeCell ref="E494:E496"/>
    <mergeCell ref="H490:I490"/>
    <mergeCell ref="H491:I491"/>
    <mergeCell ref="H492:I492"/>
    <mergeCell ref="H493:I493"/>
    <mergeCell ref="H494:I494"/>
    <mergeCell ref="H495:I495"/>
    <mergeCell ref="H496:I496"/>
    <mergeCell ref="J514:Z514"/>
    <mergeCell ref="AA514:AF514"/>
    <mergeCell ref="B511:C511"/>
    <mergeCell ref="B512:C512"/>
    <mergeCell ref="E512:F512"/>
    <mergeCell ref="I512:O512"/>
    <mergeCell ref="P512:Q512"/>
    <mergeCell ref="R512:Z512"/>
    <mergeCell ref="AB512:AF512"/>
    <mergeCell ref="V500:W501"/>
    <mergeCell ref="X500:Y501"/>
    <mergeCell ref="Z500:Z502"/>
    <mergeCell ref="AA500:AA502"/>
    <mergeCell ref="AB500:AD501"/>
    <mergeCell ref="AE500:AF501"/>
    <mergeCell ref="I500:I501"/>
    <mergeCell ref="J500:K501"/>
    <mergeCell ref="L500:M501"/>
    <mergeCell ref="N500:O501"/>
    <mergeCell ref="P500:Q501"/>
    <mergeCell ref="R500:S501"/>
    <mergeCell ref="T500:U501"/>
    <mergeCell ref="B503:C503"/>
    <mergeCell ref="B504:C504"/>
    <mergeCell ref="E501:F501"/>
    <mergeCell ref="B502:D502"/>
    <mergeCell ref="E502:G502"/>
    <mergeCell ref="H502:I502"/>
    <mergeCell ref="E503:E505"/>
    <mergeCell ref="H503:I503"/>
    <mergeCell ref="H504:I504"/>
    <mergeCell ref="B509:C509"/>
    <mergeCell ref="B510:C510"/>
    <mergeCell ref="B514:C514"/>
    <mergeCell ref="D514:G514"/>
    <mergeCell ref="E515:F515"/>
    <mergeCell ref="B501:C501"/>
    <mergeCell ref="B505:C505"/>
    <mergeCell ref="B506:C506"/>
    <mergeCell ref="E506:E508"/>
    <mergeCell ref="B507:C507"/>
    <mergeCell ref="B508:D508"/>
    <mergeCell ref="E509:E511"/>
    <mergeCell ref="H505:I505"/>
    <mergeCell ref="H506:I506"/>
    <mergeCell ref="H507:I507"/>
    <mergeCell ref="H508:I508"/>
    <mergeCell ref="H509:I509"/>
    <mergeCell ref="H510:I510"/>
    <mergeCell ref="H511:I511"/>
    <mergeCell ref="J529:Z529"/>
    <mergeCell ref="AA529:AF529"/>
    <mergeCell ref="B526:C526"/>
    <mergeCell ref="B527:C527"/>
    <mergeCell ref="E527:F527"/>
    <mergeCell ref="I527:O527"/>
    <mergeCell ref="P527:Q527"/>
    <mergeCell ref="R527:Z527"/>
    <mergeCell ref="AB527:AF527"/>
    <mergeCell ref="V515:W516"/>
    <mergeCell ref="X515:Y516"/>
    <mergeCell ref="Z515:Z517"/>
    <mergeCell ref="AA515:AA517"/>
    <mergeCell ref="AB515:AD516"/>
    <mergeCell ref="AE515:AF516"/>
    <mergeCell ref="I515:I516"/>
    <mergeCell ref="J515:K516"/>
    <mergeCell ref="L515:M516"/>
    <mergeCell ref="N515:O516"/>
    <mergeCell ref="P515:Q516"/>
    <mergeCell ref="R515:S516"/>
    <mergeCell ref="T515:U516"/>
    <mergeCell ref="B518:C518"/>
    <mergeCell ref="B519:C519"/>
    <mergeCell ref="E516:F516"/>
    <mergeCell ref="B517:D517"/>
    <mergeCell ref="E517:G517"/>
    <mergeCell ref="H517:I517"/>
    <mergeCell ref="E518:E520"/>
    <mergeCell ref="H518:I518"/>
    <mergeCell ref="H519:I519"/>
    <mergeCell ref="B524:C524"/>
    <mergeCell ref="B525:C525"/>
    <mergeCell ref="B529:C529"/>
    <mergeCell ref="D529:G529"/>
    <mergeCell ref="E530:F530"/>
    <mergeCell ref="B516:C516"/>
    <mergeCell ref="B520:C520"/>
    <mergeCell ref="B521:C521"/>
    <mergeCell ref="E521:E523"/>
    <mergeCell ref="B522:C522"/>
    <mergeCell ref="B523:D523"/>
    <mergeCell ref="E524:E526"/>
    <mergeCell ref="H520:I520"/>
    <mergeCell ref="H521:I521"/>
    <mergeCell ref="H522:I522"/>
    <mergeCell ref="H523:I523"/>
    <mergeCell ref="H524:I524"/>
    <mergeCell ref="H525:I525"/>
    <mergeCell ref="H526:I526"/>
    <mergeCell ref="J544:Z544"/>
    <mergeCell ref="AA544:AF544"/>
    <mergeCell ref="B541:C541"/>
    <mergeCell ref="B542:C542"/>
    <mergeCell ref="E542:F542"/>
    <mergeCell ref="I542:O542"/>
    <mergeCell ref="P542:Q542"/>
    <mergeCell ref="R542:Z542"/>
    <mergeCell ref="AB542:AF542"/>
    <mergeCell ref="V530:W531"/>
    <mergeCell ref="X530:Y531"/>
    <mergeCell ref="Z530:Z532"/>
    <mergeCell ref="AA530:AA532"/>
    <mergeCell ref="AB530:AD531"/>
    <mergeCell ref="AE530:AF531"/>
    <mergeCell ref="I530:I531"/>
    <mergeCell ref="J530:K531"/>
    <mergeCell ref="L530:M531"/>
    <mergeCell ref="N530:O531"/>
    <mergeCell ref="P530:Q531"/>
    <mergeCell ref="R530:S531"/>
    <mergeCell ref="T530:U531"/>
    <mergeCell ref="B533:C533"/>
    <mergeCell ref="B534:C534"/>
    <mergeCell ref="E531:F531"/>
    <mergeCell ref="B532:D532"/>
    <mergeCell ref="E532:G532"/>
    <mergeCell ref="H532:I532"/>
    <mergeCell ref="E533:E535"/>
    <mergeCell ref="H533:I533"/>
    <mergeCell ref="H534:I534"/>
    <mergeCell ref="B539:C539"/>
    <mergeCell ref="B540:C540"/>
    <mergeCell ref="B544:C544"/>
    <mergeCell ref="D544:G544"/>
    <mergeCell ref="E545:F545"/>
    <mergeCell ref="B531:C531"/>
    <mergeCell ref="B535:C535"/>
    <mergeCell ref="B536:C536"/>
    <mergeCell ref="E536:E538"/>
    <mergeCell ref="B537:C537"/>
    <mergeCell ref="B538:D538"/>
    <mergeCell ref="E539:E541"/>
    <mergeCell ref="H535:I535"/>
    <mergeCell ref="H536:I536"/>
    <mergeCell ref="H537:I537"/>
    <mergeCell ref="H538:I538"/>
    <mergeCell ref="H539:I539"/>
    <mergeCell ref="H540:I540"/>
    <mergeCell ref="H541:I541"/>
    <mergeCell ref="J559:Z559"/>
    <mergeCell ref="AA559:AF559"/>
    <mergeCell ref="B556:C556"/>
    <mergeCell ref="B557:C557"/>
    <mergeCell ref="E557:F557"/>
    <mergeCell ref="I557:O557"/>
    <mergeCell ref="P557:Q557"/>
    <mergeCell ref="R557:Z557"/>
    <mergeCell ref="AB557:AF557"/>
    <mergeCell ref="V545:W546"/>
    <mergeCell ref="X545:Y546"/>
    <mergeCell ref="Z545:Z547"/>
    <mergeCell ref="AA545:AA547"/>
    <mergeCell ref="AB545:AD546"/>
    <mergeCell ref="AE545:AF546"/>
    <mergeCell ref="I545:I546"/>
    <mergeCell ref="J545:K546"/>
    <mergeCell ref="L545:M546"/>
    <mergeCell ref="N545:O546"/>
    <mergeCell ref="P545:Q546"/>
    <mergeCell ref="R545:S546"/>
    <mergeCell ref="T545:U546"/>
    <mergeCell ref="B548:C548"/>
    <mergeCell ref="B549:C549"/>
    <mergeCell ref="E546:F546"/>
    <mergeCell ref="B547:D547"/>
    <mergeCell ref="E547:G547"/>
    <mergeCell ref="H547:I547"/>
    <mergeCell ref="E548:E550"/>
    <mergeCell ref="H548:I548"/>
    <mergeCell ref="H549:I549"/>
    <mergeCell ref="B554:C554"/>
    <mergeCell ref="B555:C555"/>
    <mergeCell ref="B559:C559"/>
    <mergeCell ref="D559:G559"/>
    <mergeCell ref="E560:F560"/>
    <mergeCell ref="B546:C546"/>
    <mergeCell ref="B550:C550"/>
    <mergeCell ref="B551:C551"/>
    <mergeCell ref="E551:E553"/>
    <mergeCell ref="B552:C552"/>
    <mergeCell ref="B553:D553"/>
    <mergeCell ref="E554:E556"/>
    <mergeCell ref="H550:I550"/>
    <mergeCell ref="H551:I551"/>
    <mergeCell ref="H552:I552"/>
    <mergeCell ref="H553:I553"/>
    <mergeCell ref="H554:I554"/>
    <mergeCell ref="H555:I555"/>
    <mergeCell ref="H556:I556"/>
    <mergeCell ref="J574:Z574"/>
    <mergeCell ref="AA574:AF574"/>
    <mergeCell ref="B571:C571"/>
    <mergeCell ref="B572:C572"/>
    <mergeCell ref="E572:F572"/>
    <mergeCell ref="I572:O572"/>
    <mergeCell ref="P572:Q572"/>
    <mergeCell ref="R572:Z572"/>
    <mergeCell ref="AB572:AF572"/>
    <mergeCell ref="V560:W561"/>
    <mergeCell ref="X560:Y561"/>
    <mergeCell ref="Z560:Z562"/>
    <mergeCell ref="AA560:AA562"/>
    <mergeCell ref="AB560:AD561"/>
    <mergeCell ref="AE560:AF561"/>
    <mergeCell ref="I560:I561"/>
    <mergeCell ref="J560:K561"/>
    <mergeCell ref="L560:M561"/>
    <mergeCell ref="N560:O561"/>
    <mergeCell ref="P560:Q561"/>
    <mergeCell ref="R560:S561"/>
    <mergeCell ref="T560:U561"/>
    <mergeCell ref="B563:C563"/>
    <mergeCell ref="B564:C564"/>
    <mergeCell ref="E561:F561"/>
    <mergeCell ref="B562:D562"/>
    <mergeCell ref="E562:G562"/>
    <mergeCell ref="H562:I562"/>
    <mergeCell ref="E563:E565"/>
    <mergeCell ref="H563:I563"/>
    <mergeCell ref="H564:I564"/>
    <mergeCell ref="B569:C569"/>
    <mergeCell ref="B570:C570"/>
    <mergeCell ref="B574:C574"/>
    <mergeCell ref="D574:G574"/>
    <mergeCell ref="E575:F575"/>
    <mergeCell ref="B561:C561"/>
    <mergeCell ref="B565:C565"/>
    <mergeCell ref="B566:C566"/>
    <mergeCell ref="E566:E568"/>
    <mergeCell ref="B567:C567"/>
    <mergeCell ref="B568:D568"/>
    <mergeCell ref="E569:E571"/>
    <mergeCell ref="H565:I565"/>
    <mergeCell ref="H566:I566"/>
    <mergeCell ref="H567:I567"/>
    <mergeCell ref="H568:I568"/>
    <mergeCell ref="H569:I569"/>
    <mergeCell ref="H570:I570"/>
    <mergeCell ref="H571:I571"/>
    <mergeCell ref="J589:Z589"/>
    <mergeCell ref="AA589:AF589"/>
    <mergeCell ref="B586:C586"/>
    <mergeCell ref="B587:C587"/>
    <mergeCell ref="E587:F587"/>
    <mergeCell ref="I587:O587"/>
    <mergeCell ref="P587:Q587"/>
    <mergeCell ref="R587:Z587"/>
    <mergeCell ref="AB587:AF587"/>
    <mergeCell ref="V575:W576"/>
    <mergeCell ref="X575:Y576"/>
    <mergeCell ref="Z575:Z577"/>
    <mergeCell ref="AA575:AA577"/>
    <mergeCell ref="AB575:AD576"/>
    <mergeCell ref="AE575:AF576"/>
    <mergeCell ref="I575:I576"/>
    <mergeCell ref="J575:K576"/>
    <mergeCell ref="L575:M576"/>
    <mergeCell ref="N575:O576"/>
    <mergeCell ref="P575:Q576"/>
    <mergeCell ref="R575:S576"/>
    <mergeCell ref="T575:U576"/>
    <mergeCell ref="B578:C578"/>
    <mergeCell ref="B579:C579"/>
    <mergeCell ref="E576:F576"/>
    <mergeCell ref="B577:D577"/>
    <mergeCell ref="E577:G577"/>
    <mergeCell ref="H577:I577"/>
    <mergeCell ref="E578:E580"/>
    <mergeCell ref="H578:I578"/>
    <mergeCell ref="H579:I579"/>
    <mergeCell ref="B584:C584"/>
    <mergeCell ref="B585:C585"/>
    <mergeCell ref="B589:C589"/>
    <mergeCell ref="D589:G589"/>
    <mergeCell ref="E590:F590"/>
    <mergeCell ref="B576:C576"/>
    <mergeCell ref="B580:C580"/>
    <mergeCell ref="B581:C581"/>
    <mergeCell ref="E581:E583"/>
    <mergeCell ref="B582:C582"/>
    <mergeCell ref="B583:D583"/>
    <mergeCell ref="E584:E586"/>
    <mergeCell ref="H580:I580"/>
    <mergeCell ref="H581:I581"/>
    <mergeCell ref="H582:I582"/>
    <mergeCell ref="H583:I583"/>
    <mergeCell ref="H584:I584"/>
    <mergeCell ref="H585:I585"/>
    <mergeCell ref="H586:I586"/>
    <mergeCell ref="J604:Z604"/>
    <mergeCell ref="AA604:AF604"/>
    <mergeCell ref="B601:C601"/>
    <mergeCell ref="B602:C602"/>
    <mergeCell ref="E602:F602"/>
    <mergeCell ref="I602:O602"/>
    <mergeCell ref="P602:Q602"/>
    <mergeCell ref="R602:Z602"/>
    <mergeCell ref="AB602:AF602"/>
    <mergeCell ref="V590:W591"/>
    <mergeCell ref="X590:Y591"/>
    <mergeCell ref="Z590:Z592"/>
    <mergeCell ref="AA590:AA592"/>
    <mergeCell ref="AB590:AD591"/>
    <mergeCell ref="AE590:AF591"/>
    <mergeCell ref="I590:I591"/>
    <mergeCell ref="J590:K591"/>
    <mergeCell ref="L590:M591"/>
    <mergeCell ref="N590:O591"/>
    <mergeCell ref="P590:Q591"/>
    <mergeCell ref="R590:S591"/>
    <mergeCell ref="T590:U591"/>
    <mergeCell ref="B593:C593"/>
    <mergeCell ref="B594:C594"/>
    <mergeCell ref="E591:F591"/>
    <mergeCell ref="B592:D592"/>
    <mergeCell ref="E592:G592"/>
    <mergeCell ref="H592:I592"/>
    <mergeCell ref="E593:E595"/>
    <mergeCell ref="H593:I593"/>
    <mergeCell ref="H594:I594"/>
    <mergeCell ref="B599:C599"/>
    <mergeCell ref="B600:C600"/>
    <mergeCell ref="B604:C604"/>
    <mergeCell ref="D604:G604"/>
    <mergeCell ref="E605:F605"/>
    <mergeCell ref="B591:C591"/>
    <mergeCell ref="B595:C595"/>
    <mergeCell ref="B596:C596"/>
    <mergeCell ref="E596:E598"/>
    <mergeCell ref="B597:C597"/>
    <mergeCell ref="B598:D598"/>
    <mergeCell ref="E599:E601"/>
    <mergeCell ref="H595:I595"/>
    <mergeCell ref="H596:I596"/>
    <mergeCell ref="H597:I597"/>
    <mergeCell ref="H598:I598"/>
    <mergeCell ref="H599:I599"/>
    <mergeCell ref="H600:I600"/>
    <mergeCell ref="H601:I601"/>
    <mergeCell ref="J619:Z619"/>
    <mergeCell ref="AA619:AF619"/>
    <mergeCell ref="B616:C616"/>
    <mergeCell ref="B617:C617"/>
    <mergeCell ref="E617:F617"/>
    <mergeCell ref="I617:O617"/>
    <mergeCell ref="P617:Q617"/>
    <mergeCell ref="R617:Z617"/>
    <mergeCell ref="AB617:AF617"/>
    <mergeCell ref="V605:W606"/>
    <mergeCell ref="X605:Y606"/>
    <mergeCell ref="Z605:Z607"/>
    <mergeCell ref="AA605:AA607"/>
    <mergeCell ref="AB605:AD606"/>
    <mergeCell ref="AE605:AF606"/>
    <mergeCell ref="I605:I606"/>
    <mergeCell ref="J605:K606"/>
    <mergeCell ref="L605:M606"/>
    <mergeCell ref="N605:O606"/>
    <mergeCell ref="P605:Q606"/>
    <mergeCell ref="R605:S606"/>
    <mergeCell ref="T605:U606"/>
    <mergeCell ref="B608:C608"/>
    <mergeCell ref="B609:C609"/>
    <mergeCell ref="E606:F606"/>
    <mergeCell ref="B607:D607"/>
    <mergeCell ref="E607:G607"/>
    <mergeCell ref="H607:I607"/>
    <mergeCell ref="E608:E610"/>
    <mergeCell ref="H608:I608"/>
    <mergeCell ref="H609:I609"/>
    <mergeCell ref="B614:C614"/>
    <mergeCell ref="B615:C615"/>
    <mergeCell ref="B619:C619"/>
    <mergeCell ref="D619:G619"/>
    <mergeCell ref="E620:F620"/>
    <mergeCell ref="B606:C606"/>
    <mergeCell ref="B610:C610"/>
    <mergeCell ref="B611:C611"/>
    <mergeCell ref="E611:E613"/>
    <mergeCell ref="B612:C612"/>
    <mergeCell ref="B613:D613"/>
    <mergeCell ref="E614:E616"/>
    <mergeCell ref="H610:I610"/>
    <mergeCell ref="H611:I611"/>
    <mergeCell ref="H612:I612"/>
    <mergeCell ref="H613:I613"/>
    <mergeCell ref="H614:I614"/>
    <mergeCell ref="H615:I615"/>
    <mergeCell ref="H616:I616"/>
    <mergeCell ref="J634:Z634"/>
    <mergeCell ref="AA634:AF634"/>
    <mergeCell ref="B631:C631"/>
    <mergeCell ref="B632:C632"/>
    <mergeCell ref="E632:F632"/>
    <mergeCell ref="I632:O632"/>
    <mergeCell ref="P632:Q632"/>
    <mergeCell ref="R632:Z632"/>
    <mergeCell ref="AB632:AF632"/>
    <mergeCell ref="V620:W621"/>
    <mergeCell ref="X620:Y621"/>
    <mergeCell ref="Z620:Z622"/>
    <mergeCell ref="AA620:AA622"/>
    <mergeCell ref="AB620:AD621"/>
    <mergeCell ref="AE620:AF621"/>
    <mergeCell ref="I620:I621"/>
    <mergeCell ref="J620:K621"/>
    <mergeCell ref="L620:M621"/>
    <mergeCell ref="N620:O621"/>
    <mergeCell ref="P620:Q621"/>
    <mergeCell ref="R620:S621"/>
    <mergeCell ref="T620:U621"/>
    <mergeCell ref="B623:C623"/>
    <mergeCell ref="B624:C624"/>
    <mergeCell ref="E621:F621"/>
    <mergeCell ref="B622:D622"/>
    <mergeCell ref="E622:G622"/>
    <mergeCell ref="H622:I622"/>
    <mergeCell ref="E623:E625"/>
    <mergeCell ref="H623:I623"/>
    <mergeCell ref="H624:I624"/>
    <mergeCell ref="B629:C629"/>
    <mergeCell ref="B630:C630"/>
    <mergeCell ref="B634:C634"/>
    <mergeCell ref="D634:G634"/>
    <mergeCell ref="E635:F635"/>
    <mergeCell ref="B621:C621"/>
    <mergeCell ref="B625:C625"/>
    <mergeCell ref="B626:C626"/>
    <mergeCell ref="E626:E628"/>
    <mergeCell ref="B627:C627"/>
    <mergeCell ref="B628:D628"/>
    <mergeCell ref="E629:E631"/>
    <mergeCell ref="H625:I625"/>
    <mergeCell ref="H626:I626"/>
    <mergeCell ref="H627:I627"/>
    <mergeCell ref="H628:I628"/>
    <mergeCell ref="H629:I629"/>
    <mergeCell ref="H630:I630"/>
    <mergeCell ref="H631:I631"/>
    <mergeCell ref="J649:Z649"/>
    <mergeCell ref="AA649:AF649"/>
    <mergeCell ref="B646:C646"/>
    <mergeCell ref="B647:C647"/>
    <mergeCell ref="E647:F647"/>
    <mergeCell ref="I647:O647"/>
    <mergeCell ref="P647:Q647"/>
    <mergeCell ref="R647:Z647"/>
    <mergeCell ref="AB647:AF647"/>
    <mergeCell ref="V635:W636"/>
    <mergeCell ref="X635:Y636"/>
    <mergeCell ref="Z635:Z637"/>
    <mergeCell ref="AA635:AA637"/>
    <mergeCell ref="AB635:AD636"/>
    <mergeCell ref="AE635:AF636"/>
    <mergeCell ref="I635:I636"/>
    <mergeCell ref="J635:K636"/>
    <mergeCell ref="L635:M636"/>
    <mergeCell ref="N635:O636"/>
    <mergeCell ref="P635:Q636"/>
    <mergeCell ref="R635:S636"/>
    <mergeCell ref="T635:U636"/>
    <mergeCell ref="B638:C638"/>
    <mergeCell ref="B639:C639"/>
    <mergeCell ref="E636:F636"/>
    <mergeCell ref="B637:D637"/>
    <mergeCell ref="E637:G637"/>
    <mergeCell ref="H637:I637"/>
    <mergeCell ref="E638:E640"/>
    <mergeCell ref="H638:I638"/>
    <mergeCell ref="H639:I639"/>
    <mergeCell ref="B644:C644"/>
    <mergeCell ref="B645:C645"/>
    <mergeCell ref="B649:C649"/>
    <mergeCell ref="D649:G649"/>
    <mergeCell ref="E650:F650"/>
    <mergeCell ref="B636:C636"/>
    <mergeCell ref="B640:C640"/>
    <mergeCell ref="B641:C641"/>
    <mergeCell ref="E641:E643"/>
    <mergeCell ref="B642:C642"/>
    <mergeCell ref="B643:D643"/>
    <mergeCell ref="E644:E646"/>
    <mergeCell ref="H640:I640"/>
    <mergeCell ref="H641:I641"/>
    <mergeCell ref="H642:I642"/>
    <mergeCell ref="H643:I643"/>
    <mergeCell ref="H644:I644"/>
    <mergeCell ref="H645:I645"/>
    <mergeCell ref="H646:I646"/>
    <mergeCell ref="J664:Z664"/>
    <mergeCell ref="AA664:AF664"/>
    <mergeCell ref="B661:C661"/>
    <mergeCell ref="B662:C662"/>
    <mergeCell ref="E662:F662"/>
    <mergeCell ref="I662:O662"/>
    <mergeCell ref="P662:Q662"/>
    <mergeCell ref="R662:Z662"/>
    <mergeCell ref="AB662:AF662"/>
    <mergeCell ref="V650:W651"/>
    <mergeCell ref="X650:Y651"/>
    <mergeCell ref="Z650:Z652"/>
    <mergeCell ref="AA650:AA652"/>
    <mergeCell ref="AB650:AD651"/>
    <mergeCell ref="AE650:AF651"/>
    <mergeCell ref="I650:I651"/>
    <mergeCell ref="J650:K651"/>
    <mergeCell ref="L650:M651"/>
    <mergeCell ref="N650:O651"/>
    <mergeCell ref="P650:Q651"/>
    <mergeCell ref="R650:S651"/>
    <mergeCell ref="T650:U651"/>
    <mergeCell ref="B653:C653"/>
    <mergeCell ref="B654:C654"/>
    <mergeCell ref="E651:F651"/>
    <mergeCell ref="B652:D652"/>
    <mergeCell ref="E652:G652"/>
    <mergeCell ref="H652:I652"/>
    <mergeCell ref="E653:E655"/>
    <mergeCell ref="H653:I653"/>
    <mergeCell ref="H654:I654"/>
    <mergeCell ref="B659:C659"/>
    <mergeCell ref="B660:C660"/>
    <mergeCell ref="B664:C664"/>
    <mergeCell ref="D664:G664"/>
    <mergeCell ref="E665:F665"/>
    <mergeCell ref="B651:C651"/>
    <mergeCell ref="B655:C655"/>
    <mergeCell ref="B656:C656"/>
    <mergeCell ref="E656:E658"/>
    <mergeCell ref="B657:C657"/>
    <mergeCell ref="B658:D658"/>
    <mergeCell ref="E659:E661"/>
    <mergeCell ref="H655:I655"/>
    <mergeCell ref="H656:I656"/>
    <mergeCell ref="H657:I657"/>
    <mergeCell ref="H658:I658"/>
    <mergeCell ref="H659:I659"/>
    <mergeCell ref="H660:I660"/>
    <mergeCell ref="H661:I661"/>
    <mergeCell ref="J679:Z679"/>
    <mergeCell ref="AA679:AF679"/>
    <mergeCell ref="B676:C676"/>
    <mergeCell ref="B677:C677"/>
    <mergeCell ref="E677:F677"/>
    <mergeCell ref="I677:O677"/>
    <mergeCell ref="P677:Q677"/>
    <mergeCell ref="R677:Z677"/>
    <mergeCell ref="AB677:AF677"/>
    <mergeCell ref="V665:W666"/>
    <mergeCell ref="X665:Y666"/>
    <mergeCell ref="Z665:Z667"/>
    <mergeCell ref="AA665:AA667"/>
    <mergeCell ref="AB665:AD666"/>
    <mergeCell ref="AE665:AF666"/>
    <mergeCell ref="I665:I666"/>
    <mergeCell ref="J665:K666"/>
    <mergeCell ref="L665:M666"/>
    <mergeCell ref="N665:O666"/>
    <mergeCell ref="P665:Q666"/>
    <mergeCell ref="R665:S666"/>
    <mergeCell ref="T665:U666"/>
    <mergeCell ref="B668:C668"/>
    <mergeCell ref="B669:C669"/>
    <mergeCell ref="E666:F666"/>
    <mergeCell ref="B667:D667"/>
    <mergeCell ref="E667:G667"/>
    <mergeCell ref="H667:I667"/>
    <mergeCell ref="E668:E670"/>
    <mergeCell ref="H668:I668"/>
    <mergeCell ref="H669:I669"/>
    <mergeCell ref="B674:C674"/>
    <mergeCell ref="B675:C675"/>
    <mergeCell ref="B679:C679"/>
    <mergeCell ref="D679:G679"/>
    <mergeCell ref="E680:F680"/>
    <mergeCell ref="B666:C666"/>
    <mergeCell ref="B670:C670"/>
    <mergeCell ref="B671:C671"/>
    <mergeCell ref="E671:E673"/>
    <mergeCell ref="B672:C672"/>
    <mergeCell ref="B673:D673"/>
    <mergeCell ref="E674:E676"/>
    <mergeCell ref="H670:I670"/>
    <mergeCell ref="H671:I671"/>
    <mergeCell ref="H672:I672"/>
    <mergeCell ref="H673:I673"/>
    <mergeCell ref="H674:I674"/>
    <mergeCell ref="H675:I675"/>
    <mergeCell ref="H676:I676"/>
    <mergeCell ref="J694:Z694"/>
    <mergeCell ref="AA694:AF694"/>
    <mergeCell ref="B691:C691"/>
    <mergeCell ref="B692:C692"/>
    <mergeCell ref="E692:F692"/>
    <mergeCell ref="I692:O692"/>
    <mergeCell ref="P692:Q692"/>
    <mergeCell ref="R692:Z692"/>
    <mergeCell ref="AB692:AF692"/>
    <mergeCell ref="V680:W681"/>
    <mergeCell ref="X680:Y681"/>
    <mergeCell ref="Z680:Z682"/>
    <mergeCell ref="AA680:AA682"/>
    <mergeCell ref="AB680:AD681"/>
    <mergeCell ref="AE680:AF681"/>
    <mergeCell ref="I680:I681"/>
    <mergeCell ref="J680:K681"/>
    <mergeCell ref="L680:M681"/>
    <mergeCell ref="N680:O681"/>
    <mergeCell ref="P680:Q681"/>
    <mergeCell ref="R680:S681"/>
    <mergeCell ref="T680:U681"/>
    <mergeCell ref="B683:C683"/>
    <mergeCell ref="B684:C684"/>
    <mergeCell ref="E681:F681"/>
    <mergeCell ref="B682:D682"/>
    <mergeCell ref="E682:G682"/>
    <mergeCell ref="H682:I682"/>
    <mergeCell ref="E683:E685"/>
    <mergeCell ref="H683:I683"/>
    <mergeCell ref="H684:I684"/>
    <mergeCell ref="B689:C689"/>
    <mergeCell ref="B690:C690"/>
    <mergeCell ref="B694:C694"/>
    <mergeCell ref="D694:G694"/>
    <mergeCell ref="E695:F695"/>
    <mergeCell ref="B681:C681"/>
    <mergeCell ref="B685:C685"/>
    <mergeCell ref="B686:C686"/>
    <mergeCell ref="E686:E688"/>
    <mergeCell ref="B687:C687"/>
    <mergeCell ref="B688:D688"/>
    <mergeCell ref="E689:E691"/>
    <mergeCell ref="H685:I685"/>
    <mergeCell ref="H686:I686"/>
    <mergeCell ref="H687:I687"/>
    <mergeCell ref="H688:I688"/>
    <mergeCell ref="H689:I689"/>
    <mergeCell ref="H690:I690"/>
    <mergeCell ref="H691:I691"/>
    <mergeCell ref="J709:Z709"/>
    <mergeCell ref="AA709:AF709"/>
    <mergeCell ref="B706:C706"/>
    <mergeCell ref="B707:C707"/>
    <mergeCell ref="E707:F707"/>
    <mergeCell ref="I707:O707"/>
    <mergeCell ref="P707:Q707"/>
    <mergeCell ref="R707:Z707"/>
    <mergeCell ref="AB707:AF707"/>
    <mergeCell ref="V695:W696"/>
    <mergeCell ref="X695:Y696"/>
    <mergeCell ref="Z695:Z697"/>
    <mergeCell ref="AA695:AA697"/>
    <mergeCell ref="AB695:AD696"/>
    <mergeCell ref="AE695:AF696"/>
    <mergeCell ref="I695:I696"/>
    <mergeCell ref="J695:K696"/>
    <mergeCell ref="L695:M696"/>
    <mergeCell ref="N695:O696"/>
    <mergeCell ref="P695:Q696"/>
    <mergeCell ref="R695:S696"/>
    <mergeCell ref="T695:U696"/>
    <mergeCell ref="B698:C698"/>
    <mergeCell ref="B699:C699"/>
    <mergeCell ref="E696:F696"/>
    <mergeCell ref="B697:D697"/>
    <mergeCell ref="E697:G697"/>
    <mergeCell ref="H697:I697"/>
    <mergeCell ref="E698:E700"/>
    <mergeCell ref="H698:I698"/>
    <mergeCell ref="H699:I699"/>
    <mergeCell ref="B704:C704"/>
    <mergeCell ref="B705:C705"/>
    <mergeCell ref="B709:C709"/>
    <mergeCell ref="D709:G709"/>
    <mergeCell ref="E710:F710"/>
    <mergeCell ref="B696:C696"/>
    <mergeCell ref="B700:C700"/>
    <mergeCell ref="B701:C701"/>
    <mergeCell ref="E701:E703"/>
    <mergeCell ref="B702:C702"/>
    <mergeCell ref="B703:D703"/>
    <mergeCell ref="E704:E706"/>
    <mergeCell ref="H700:I700"/>
    <mergeCell ref="H701:I701"/>
    <mergeCell ref="H702:I702"/>
    <mergeCell ref="H703:I703"/>
    <mergeCell ref="H704:I704"/>
    <mergeCell ref="H705:I705"/>
    <mergeCell ref="H706:I706"/>
    <mergeCell ref="J724:Z724"/>
    <mergeCell ref="AA724:AF724"/>
    <mergeCell ref="B721:C721"/>
    <mergeCell ref="B722:C722"/>
    <mergeCell ref="E722:F722"/>
    <mergeCell ref="I722:O722"/>
    <mergeCell ref="P722:Q722"/>
    <mergeCell ref="R722:Z722"/>
    <mergeCell ref="AB722:AF722"/>
    <mergeCell ref="V710:W711"/>
    <mergeCell ref="X710:Y711"/>
    <mergeCell ref="Z710:Z712"/>
    <mergeCell ref="AA710:AA712"/>
    <mergeCell ref="AB710:AD711"/>
    <mergeCell ref="AE710:AF711"/>
    <mergeCell ref="I710:I711"/>
    <mergeCell ref="J710:K711"/>
    <mergeCell ref="L710:M711"/>
    <mergeCell ref="N710:O711"/>
    <mergeCell ref="P710:Q711"/>
    <mergeCell ref="R710:S711"/>
    <mergeCell ref="T710:U711"/>
    <mergeCell ref="B713:C713"/>
    <mergeCell ref="B714:C714"/>
    <mergeCell ref="E711:F711"/>
    <mergeCell ref="B712:D712"/>
    <mergeCell ref="E712:G712"/>
    <mergeCell ref="H712:I712"/>
    <mergeCell ref="E713:E715"/>
    <mergeCell ref="H713:I713"/>
    <mergeCell ref="H714:I714"/>
    <mergeCell ref="B719:C719"/>
    <mergeCell ref="B720:C720"/>
    <mergeCell ref="B724:C724"/>
    <mergeCell ref="D724:G724"/>
    <mergeCell ref="E725:F725"/>
    <mergeCell ref="B711:C711"/>
    <mergeCell ref="B715:C715"/>
    <mergeCell ref="B716:C716"/>
    <mergeCell ref="E716:E718"/>
    <mergeCell ref="B717:C717"/>
    <mergeCell ref="B718:D718"/>
    <mergeCell ref="E719:E721"/>
    <mergeCell ref="H715:I715"/>
    <mergeCell ref="H716:I716"/>
    <mergeCell ref="H717:I717"/>
    <mergeCell ref="H718:I718"/>
    <mergeCell ref="H719:I719"/>
    <mergeCell ref="H720:I720"/>
    <mergeCell ref="H721:I721"/>
    <mergeCell ref="J739:Z739"/>
    <mergeCell ref="AA739:AF739"/>
    <mergeCell ref="B736:C736"/>
    <mergeCell ref="B737:C737"/>
    <mergeCell ref="E737:F737"/>
    <mergeCell ref="I737:O737"/>
    <mergeCell ref="P737:Q737"/>
    <mergeCell ref="R737:Z737"/>
    <mergeCell ref="AB737:AF737"/>
    <mergeCell ref="V725:W726"/>
    <mergeCell ref="X725:Y726"/>
    <mergeCell ref="Z725:Z727"/>
    <mergeCell ref="AA725:AA727"/>
    <mergeCell ref="AB725:AD726"/>
    <mergeCell ref="AE725:AF726"/>
    <mergeCell ref="I725:I726"/>
    <mergeCell ref="J725:K726"/>
    <mergeCell ref="L725:M726"/>
    <mergeCell ref="N725:O726"/>
    <mergeCell ref="P725:Q726"/>
    <mergeCell ref="R725:S726"/>
    <mergeCell ref="T725:U726"/>
    <mergeCell ref="B728:C728"/>
    <mergeCell ref="B729:C729"/>
    <mergeCell ref="E726:F726"/>
    <mergeCell ref="B727:D727"/>
    <mergeCell ref="E727:G727"/>
    <mergeCell ref="H727:I727"/>
    <mergeCell ref="E728:E730"/>
    <mergeCell ref="H728:I728"/>
    <mergeCell ref="H729:I729"/>
    <mergeCell ref="B734:C734"/>
    <mergeCell ref="B735:C735"/>
    <mergeCell ref="B739:C739"/>
    <mergeCell ref="D739:G739"/>
    <mergeCell ref="E740:F740"/>
    <mergeCell ref="B726:C726"/>
    <mergeCell ref="B730:C730"/>
    <mergeCell ref="B731:C731"/>
    <mergeCell ref="E731:E733"/>
    <mergeCell ref="B732:C732"/>
    <mergeCell ref="B733:D733"/>
    <mergeCell ref="E734:E736"/>
    <mergeCell ref="H730:I730"/>
    <mergeCell ref="H731:I731"/>
    <mergeCell ref="H732:I732"/>
    <mergeCell ref="H733:I733"/>
    <mergeCell ref="H734:I734"/>
    <mergeCell ref="H735:I735"/>
    <mergeCell ref="H736:I736"/>
    <mergeCell ref="J754:Z754"/>
    <mergeCell ref="AA754:AF754"/>
    <mergeCell ref="B751:C751"/>
    <mergeCell ref="B752:C752"/>
    <mergeCell ref="E752:F752"/>
    <mergeCell ref="I752:O752"/>
    <mergeCell ref="P752:Q752"/>
    <mergeCell ref="R752:Z752"/>
    <mergeCell ref="AB752:AF752"/>
    <mergeCell ref="V740:W741"/>
    <mergeCell ref="X740:Y741"/>
    <mergeCell ref="Z740:Z742"/>
    <mergeCell ref="AA740:AA742"/>
    <mergeCell ref="AB740:AD741"/>
    <mergeCell ref="AE740:AF741"/>
    <mergeCell ref="I740:I741"/>
    <mergeCell ref="J740:K741"/>
    <mergeCell ref="L740:M741"/>
    <mergeCell ref="N740:O741"/>
    <mergeCell ref="P740:Q741"/>
    <mergeCell ref="R740:S741"/>
    <mergeCell ref="T740:U741"/>
    <mergeCell ref="B743:C743"/>
    <mergeCell ref="B744:C744"/>
    <mergeCell ref="E741:F741"/>
    <mergeCell ref="B742:D742"/>
    <mergeCell ref="E742:G742"/>
    <mergeCell ref="H742:I742"/>
    <mergeCell ref="E743:E745"/>
    <mergeCell ref="H743:I743"/>
    <mergeCell ref="H744:I744"/>
    <mergeCell ref="B749:C749"/>
    <mergeCell ref="B750:C750"/>
    <mergeCell ref="B754:C754"/>
    <mergeCell ref="D754:G754"/>
    <mergeCell ref="E755:F755"/>
    <mergeCell ref="B741:C741"/>
    <mergeCell ref="B745:C745"/>
    <mergeCell ref="B746:C746"/>
    <mergeCell ref="E746:E748"/>
    <mergeCell ref="B747:C747"/>
    <mergeCell ref="B748:D748"/>
    <mergeCell ref="E749:E751"/>
    <mergeCell ref="H745:I745"/>
    <mergeCell ref="H746:I746"/>
    <mergeCell ref="H747:I747"/>
    <mergeCell ref="H748:I748"/>
    <mergeCell ref="H749:I749"/>
    <mergeCell ref="H750:I750"/>
    <mergeCell ref="H751:I751"/>
    <mergeCell ref="J769:Z769"/>
    <mergeCell ref="AA769:AF769"/>
    <mergeCell ref="B766:C766"/>
    <mergeCell ref="B767:C767"/>
    <mergeCell ref="E767:F767"/>
    <mergeCell ref="I767:O767"/>
    <mergeCell ref="P767:Q767"/>
    <mergeCell ref="R767:Z767"/>
    <mergeCell ref="AB767:AF767"/>
    <mergeCell ref="V755:W756"/>
    <mergeCell ref="X755:Y756"/>
    <mergeCell ref="Z755:Z757"/>
    <mergeCell ref="AA755:AA757"/>
    <mergeCell ref="AB755:AD756"/>
    <mergeCell ref="AE755:AF756"/>
    <mergeCell ref="I755:I756"/>
    <mergeCell ref="J755:K756"/>
    <mergeCell ref="L755:M756"/>
    <mergeCell ref="N755:O756"/>
    <mergeCell ref="P755:Q756"/>
    <mergeCell ref="R755:S756"/>
    <mergeCell ref="T755:U756"/>
    <mergeCell ref="B758:C758"/>
    <mergeCell ref="B759:C759"/>
    <mergeCell ref="E756:F756"/>
    <mergeCell ref="B757:D757"/>
    <mergeCell ref="E757:G757"/>
    <mergeCell ref="H757:I757"/>
    <mergeCell ref="E758:E760"/>
    <mergeCell ref="H758:I758"/>
    <mergeCell ref="H759:I759"/>
    <mergeCell ref="B764:C764"/>
    <mergeCell ref="B765:C765"/>
    <mergeCell ref="B769:C769"/>
    <mergeCell ref="D769:G769"/>
    <mergeCell ref="E770:F770"/>
    <mergeCell ref="B756:C756"/>
    <mergeCell ref="B760:C760"/>
    <mergeCell ref="B761:C761"/>
    <mergeCell ref="E761:E763"/>
    <mergeCell ref="B762:C762"/>
    <mergeCell ref="B763:D763"/>
    <mergeCell ref="E764:E766"/>
    <mergeCell ref="H760:I760"/>
    <mergeCell ref="H761:I761"/>
    <mergeCell ref="H762:I762"/>
    <mergeCell ref="H763:I763"/>
    <mergeCell ref="H764:I764"/>
    <mergeCell ref="H765:I765"/>
    <mergeCell ref="H766:I766"/>
    <mergeCell ref="J784:Z784"/>
    <mergeCell ref="AA784:AF784"/>
    <mergeCell ref="B781:C781"/>
    <mergeCell ref="B782:C782"/>
    <mergeCell ref="E782:F782"/>
    <mergeCell ref="I782:O782"/>
    <mergeCell ref="P782:Q782"/>
    <mergeCell ref="R782:Z782"/>
    <mergeCell ref="AB782:AF782"/>
    <mergeCell ref="V770:W771"/>
    <mergeCell ref="X770:Y771"/>
    <mergeCell ref="Z770:Z772"/>
    <mergeCell ref="AA770:AA772"/>
    <mergeCell ref="AB770:AD771"/>
    <mergeCell ref="AE770:AF771"/>
    <mergeCell ref="I770:I771"/>
    <mergeCell ref="J770:K771"/>
    <mergeCell ref="L770:M771"/>
    <mergeCell ref="N770:O771"/>
    <mergeCell ref="P770:Q771"/>
    <mergeCell ref="R770:S771"/>
    <mergeCell ref="T770:U771"/>
    <mergeCell ref="B773:C773"/>
    <mergeCell ref="B774:C774"/>
    <mergeCell ref="E771:F771"/>
    <mergeCell ref="B772:D772"/>
    <mergeCell ref="E772:G772"/>
    <mergeCell ref="H772:I772"/>
    <mergeCell ref="E773:E775"/>
    <mergeCell ref="H773:I773"/>
    <mergeCell ref="H774:I774"/>
    <mergeCell ref="B779:C779"/>
    <mergeCell ref="B780:C780"/>
    <mergeCell ref="B784:C784"/>
    <mergeCell ref="D784:G784"/>
    <mergeCell ref="E785:F785"/>
    <mergeCell ref="B771:C771"/>
    <mergeCell ref="B775:C775"/>
    <mergeCell ref="B776:C776"/>
    <mergeCell ref="E776:E778"/>
    <mergeCell ref="B777:C777"/>
    <mergeCell ref="B778:D778"/>
    <mergeCell ref="E779:E781"/>
    <mergeCell ref="H775:I775"/>
    <mergeCell ref="H776:I776"/>
    <mergeCell ref="H777:I777"/>
    <mergeCell ref="H778:I778"/>
    <mergeCell ref="H779:I779"/>
    <mergeCell ref="H780:I780"/>
    <mergeCell ref="H781:I781"/>
    <mergeCell ref="J799:Z799"/>
    <mergeCell ref="AA799:AF799"/>
    <mergeCell ref="B796:C796"/>
    <mergeCell ref="B797:C797"/>
    <mergeCell ref="E797:F797"/>
    <mergeCell ref="I797:O797"/>
    <mergeCell ref="P797:Q797"/>
    <mergeCell ref="R797:Z797"/>
    <mergeCell ref="AB797:AF797"/>
    <mergeCell ref="V785:W786"/>
    <mergeCell ref="X785:Y786"/>
    <mergeCell ref="Z785:Z787"/>
    <mergeCell ref="AA785:AA787"/>
    <mergeCell ref="AB785:AD786"/>
    <mergeCell ref="AE785:AF786"/>
    <mergeCell ref="I785:I786"/>
    <mergeCell ref="J785:K786"/>
    <mergeCell ref="L785:M786"/>
    <mergeCell ref="N785:O786"/>
    <mergeCell ref="P785:Q786"/>
    <mergeCell ref="R785:S786"/>
    <mergeCell ref="T785:U786"/>
    <mergeCell ref="B788:C788"/>
    <mergeCell ref="B789:C789"/>
    <mergeCell ref="E786:F786"/>
    <mergeCell ref="B787:D787"/>
    <mergeCell ref="E787:G787"/>
    <mergeCell ref="H787:I787"/>
    <mergeCell ref="E788:E790"/>
    <mergeCell ref="H788:I788"/>
    <mergeCell ref="H789:I789"/>
    <mergeCell ref="B794:C794"/>
    <mergeCell ref="B795:C795"/>
    <mergeCell ref="B799:C799"/>
    <mergeCell ref="D799:G799"/>
    <mergeCell ref="E800:F800"/>
    <mergeCell ref="B786:C786"/>
    <mergeCell ref="B790:C790"/>
    <mergeCell ref="B791:C791"/>
    <mergeCell ref="E791:E793"/>
    <mergeCell ref="B792:C792"/>
    <mergeCell ref="B793:D793"/>
    <mergeCell ref="E794:E796"/>
    <mergeCell ref="H790:I790"/>
    <mergeCell ref="H791:I791"/>
    <mergeCell ref="H792:I792"/>
    <mergeCell ref="H793:I793"/>
    <mergeCell ref="H794:I794"/>
    <mergeCell ref="H795:I795"/>
    <mergeCell ref="H796:I796"/>
    <mergeCell ref="J814:Z814"/>
    <mergeCell ref="AA814:AF814"/>
    <mergeCell ref="B811:C811"/>
    <mergeCell ref="B812:C812"/>
    <mergeCell ref="E812:F812"/>
    <mergeCell ref="I812:O812"/>
    <mergeCell ref="P812:Q812"/>
    <mergeCell ref="R812:Z812"/>
    <mergeCell ref="AB812:AF812"/>
    <mergeCell ref="V800:W801"/>
    <mergeCell ref="X800:Y801"/>
    <mergeCell ref="Z800:Z802"/>
    <mergeCell ref="AA800:AA802"/>
    <mergeCell ref="AB800:AD801"/>
    <mergeCell ref="AE800:AF801"/>
    <mergeCell ref="I800:I801"/>
    <mergeCell ref="J800:K801"/>
    <mergeCell ref="L800:M801"/>
    <mergeCell ref="N800:O801"/>
    <mergeCell ref="P800:Q801"/>
    <mergeCell ref="R800:S801"/>
    <mergeCell ref="T800:U801"/>
    <mergeCell ref="B803:C803"/>
    <mergeCell ref="B804:C804"/>
    <mergeCell ref="E801:F801"/>
    <mergeCell ref="B802:D802"/>
    <mergeCell ref="E802:G802"/>
    <mergeCell ref="H802:I802"/>
    <mergeCell ref="E803:E805"/>
    <mergeCell ref="H803:I803"/>
    <mergeCell ref="H804:I804"/>
    <mergeCell ref="B809:C809"/>
    <mergeCell ref="B810:C810"/>
    <mergeCell ref="B814:C814"/>
    <mergeCell ref="D814:G814"/>
    <mergeCell ref="E815:F815"/>
    <mergeCell ref="B801:C801"/>
    <mergeCell ref="B805:C805"/>
    <mergeCell ref="B806:C806"/>
    <mergeCell ref="E806:E808"/>
    <mergeCell ref="B807:C807"/>
    <mergeCell ref="B808:D808"/>
    <mergeCell ref="E809:E811"/>
    <mergeCell ref="H805:I805"/>
    <mergeCell ref="H806:I806"/>
    <mergeCell ref="H807:I807"/>
    <mergeCell ref="H808:I808"/>
    <mergeCell ref="H809:I809"/>
    <mergeCell ref="H810:I810"/>
    <mergeCell ref="H811:I811"/>
    <mergeCell ref="J829:Z829"/>
    <mergeCell ref="AA829:AF829"/>
    <mergeCell ref="B826:C826"/>
    <mergeCell ref="B827:C827"/>
    <mergeCell ref="E827:F827"/>
    <mergeCell ref="I827:O827"/>
    <mergeCell ref="P827:Q827"/>
    <mergeCell ref="R827:Z827"/>
    <mergeCell ref="AB827:AF827"/>
    <mergeCell ref="V815:W816"/>
    <mergeCell ref="X815:Y816"/>
    <mergeCell ref="Z815:Z817"/>
    <mergeCell ref="AA815:AA817"/>
    <mergeCell ref="AB815:AD816"/>
    <mergeCell ref="AE815:AF816"/>
    <mergeCell ref="I815:I816"/>
    <mergeCell ref="J815:K816"/>
    <mergeCell ref="L815:M816"/>
    <mergeCell ref="N815:O816"/>
    <mergeCell ref="P815:Q816"/>
    <mergeCell ref="R815:S816"/>
    <mergeCell ref="T815:U816"/>
    <mergeCell ref="B818:C818"/>
    <mergeCell ref="B819:C819"/>
    <mergeCell ref="E816:F816"/>
    <mergeCell ref="B817:D817"/>
    <mergeCell ref="E817:G817"/>
    <mergeCell ref="H817:I817"/>
    <mergeCell ref="E818:E820"/>
    <mergeCell ref="H818:I818"/>
    <mergeCell ref="H819:I819"/>
    <mergeCell ref="B824:C824"/>
    <mergeCell ref="B825:C825"/>
    <mergeCell ref="B829:C829"/>
    <mergeCell ref="D829:G829"/>
    <mergeCell ref="E830:F830"/>
    <mergeCell ref="B816:C816"/>
    <mergeCell ref="B820:C820"/>
    <mergeCell ref="B821:C821"/>
    <mergeCell ref="E821:E823"/>
    <mergeCell ref="B822:C822"/>
    <mergeCell ref="B823:D823"/>
    <mergeCell ref="E824:E826"/>
    <mergeCell ref="H820:I820"/>
    <mergeCell ref="H821:I821"/>
    <mergeCell ref="H822:I822"/>
    <mergeCell ref="H823:I823"/>
    <mergeCell ref="H824:I824"/>
    <mergeCell ref="H825:I825"/>
    <mergeCell ref="H826:I826"/>
    <mergeCell ref="J844:Z844"/>
    <mergeCell ref="AA844:AF844"/>
    <mergeCell ref="B841:C841"/>
    <mergeCell ref="B842:C842"/>
    <mergeCell ref="E842:F842"/>
    <mergeCell ref="I842:O842"/>
    <mergeCell ref="P842:Q842"/>
    <mergeCell ref="R842:Z842"/>
    <mergeCell ref="AB842:AF842"/>
    <mergeCell ref="V830:W831"/>
    <mergeCell ref="X830:Y831"/>
    <mergeCell ref="Z830:Z832"/>
    <mergeCell ref="AA830:AA832"/>
    <mergeCell ref="AB830:AD831"/>
    <mergeCell ref="AE830:AF831"/>
    <mergeCell ref="I830:I831"/>
    <mergeCell ref="J830:K831"/>
    <mergeCell ref="L830:M831"/>
    <mergeCell ref="N830:O831"/>
    <mergeCell ref="P830:Q831"/>
    <mergeCell ref="R830:S831"/>
    <mergeCell ref="T830:U831"/>
    <mergeCell ref="B833:C833"/>
    <mergeCell ref="B834:C834"/>
    <mergeCell ref="E831:F831"/>
    <mergeCell ref="B832:D832"/>
    <mergeCell ref="E832:G832"/>
    <mergeCell ref="H832:I832"/>
    <mergeCell ref="E833:E835"/>
    <mergeCell ref="H833:I833"/>
    <mergeCell ref="H834:I834"/>
    <mergeCell ref="B839:C839"/>
    <mergeCell ref="B840:C840"/>
    <mergeCell ref="B844:C844"/>
    <mergeCell ref="D844:G844"/>
    <mergeCell ref="E845:F845"/>
    <mergeCell ref="B831:C831"/>
    <mergeCell ref="B835:C835"/>
    <mergeCell ref="B836:C836"/>
    <mergeCell ref="E836:E838"/>
    <mergeCell ref="B837:C837"/>
    <mergeCell ref="B838:D838"/>
    <mergeCell ref="E839:E841"/>
    <mergeCell ref="H835:I835"/>
    <mergeCell ref="H836:I836"/>
    <mergeCell ref="H837:I837"/>
    <mergeCell ref="H838:I838"/>
    <mergeCell ref="H839:I839"/>
    <mergeCell ref="H840:I840"/>
    <mergeCell ref="H841:I841"/>
    <mergeCell ref="J859:Z859"/>
    <mergeCell ref="AA859:AF859"/>
    <mergeCell ref="B856:C856"/>
    <mergeCell ref="B857:C857"/>
    <mergeCell ref="E857:F857"/>
    <mergeCell ref="I857:O857"/>
    <mergeCell ref="P857:Q857"/>
    <mergeCell ref="R857:Z857"/>
    <mergeCell ref="AB857:AF857"/>
    <mergeCell ref="V845:W846"/>
    <mergeCell ref="X845:Y846"/>
    <mergeCell ref="Z845:Z847"/>
    <mergeCell ref="AA845:AA847"/>
    <mergeCell ref="AB845:AD846"/>
    <mergeCell ref="AE845:AF846"/>
    <mergeCell ref="I845:I846"/>
    <mergeCell ref="J845:K846"/>
    <mergeCell ref="L845:M846"/>
    <mergeCell ref="N845:O846"/>
    <mergeCell ref="P845:Q846"/>
    <mergeCell ref="R845:S846"/>
    <mergeCell ref="T845:U846"/>
    <mergeCell ref="B848:C848"/>
    <mergeCell ref="B849:C849"/>
    <mergeCell ref="E846:F846"/>
    <mergeCell ref="B847:D847"/>
    <mergeCell ref="E847:G847"/>
    <mergeCell ref="H847:I847"/>
    <mergeCell ref="E848:E850"/>
    <mergeCell ref="H848:I848"/>
    <mergeCell ref="H849:I849"/>
    <mergeCell ref="B854:C854"/>
    <mergeCell ref="B855:C855"/>
    <mergeCell ref="B859:C859"/>
    <mergeCell ref="D859:G859"/>
    <mergeCell ref="E860:F860"/>
    <mergeCell ref="B846:C846"/>
    <mergeCell ref="B850:C850"/>
    <mergeCell ref="B851:C851"/>
    <mergeCell ref="E851:E853"/>
    <mergeCell ref="B852:C852"/>
    <mergeCell ref="B853:D853"/>
    <mergeCell ref="E854:E856"/>
    <mergeCell ref="H850:I850"/>
    <mergeCell ref="H851:I851"/>
    <mergeCell ref="H852:I852"/>
    <mergeCell ref="H853:I853"/>
    <mergeCell ref="H854:I854"/>
    <mergeCell ref="H855:I855"/>
    <mergeCell ref="H856:I856"/>
    <mergeCell ref="J874:Z874"/>
    <mergeCell ref="AA874:AF874"/>
    <mergeCell ref="B871:C871"/>
    <mergeCell ref="B872:C872"/>
    <mergeCell ref="E872:F872"/>
    <mergeCell ref="I872:O872"/>
    <mergeCell ref="P872:Q872"/>
    <mergeCell ref="R872:Z872"/>
    <mergeCell ref="AB872:AF872"/>
    <mergeCell ref="V860:W861"/>
    <mergeCell ref="X860:Y861"/>
    <mergeCell ref="Z860:Z862"/>
    <mergeCell ref="AA860:AA862"/>
    <mergeCell ref="AB860:AD861"/>
    <mergeCell ref="AE860:AF861"/>
    <mergeCell ref="I860:I861"/>
    <mergeCell ref="J860:K861"/>
    <mergeCell ref="L860:M861"/>
    <mergeCell ref="N860:O861"/>
    <mergeCell ref="P860:Q861"/>
    <mergeCell ref="R860:S861"/>
    <mergeCell ref="T860:U861"/>
    <mergeCell ref="B863:C863"/>
    <mergeCell ref="B864:C864"/>
    <mergeCell ref="E861:F861"/>
    <mergeCell ref="B862:D862"/>
    <mergeCell ref="E862:G862"/>
    <mergeCell ref="H862:I862"/>
    <mergeCell ref="E863:E865"/>
    <mergeCell ref="H863:I863"/>
    <mergeCell ref="H864:I864"/>
    <mergeCell ref="B869:C869"/>
    <mergeCell ref="B870:C870"/>
    <mergeCell ref="B874:C874"/>
    <mergeCell ref="D874:G874"/>
    <mergeCell ref="E875:F875"/>
    <mergeCell ref="B861:C861"/>
    <mergeCell ref="B865:C865"/>
    <mergeCell ref="B866:C866"/>
    <mergeCell ref="E866:E868"/>
    <mergeCell ref="B867:C867"/>
    <mergeCell ref="B868:D868"/>
    <mergeCell ref="E869:E871"/>
    <mergeCell ref="H865:I865"/>
    <mergeCell ref="H866:I866"/>
    <mergeCell ref="H867:I867"/>
    <mergeCell ref="H868:I868"/>
    <mergeCell ref="H869:I869"/>
    <mergeCell ref="H870:I870"/>
    <mergeCell ref="H871:I871"/>
    <mergeCell ref="J889:Z889"/>
    <mergeCell ref="AA889:AF889"/>
    <mergeCell ref="B886:C886"/>
    <mergeCell ref="B887:C887"/>
    <mergeCell ref="E887:F887"/>
    <mergeCell ref="I887:O887"/>
    <mergeCell ref="P887:Q887"/>
    <mergeCell ref="R887:Z887"/>
    <mergeCell ref="AB887:AF887"/>
    <mergeCell ref="V875:W876"/>
    <mergeCell ref="X875:Y876"/>
    <mergeCell ref="Z875:Z877"/>
    <mergeCell ref="AA875:AA877"/>
    <mergeCell ref="AB875:AD876"/>
    <mergeCell ref="AE875:AF876"/>
    <mergeCell ref="I875:I876"/>
    <mergeCell ref="J875:K876"/>
    <mergeCell ref="L875:M876"/>
    <mergeCell ref="N875:O876"/>
    <mergeCell ref="P875:Q876"/>
    <mergeCell ref="R875:S876"/>
    <mergeCell ref="T875:U876"/>
    <mergeCell ref="B878:C878"/>
    <mergeCell ref="B879:C879"/>
    <mergeCell ref="E876:F876"/>
    <mergeCell ref="B877:D877"/>
    <mergeCell ref="E877:G877"/>
    <mergeCell ref="H877:I877"/>
    <mergeCell ref="E878:E880"/>
    <mergeCell ref="H878:I878"/>
    <mergeCell ref="H879:I879"/>
    <mergeCell ref="B884:C884"/>
    <mergeCell ref="B885:C885"/>
    <mergeCell ref="B889:C889"/>
    <mergeCell ref="D889:G889"/>
    <mergeCell ref="E890:F890"/>
    <mergeCell ref="B876:C876"/>
    <mergeCell ref="B880:C880"/>
    <mergeCell ref="B881:C881"/>
    <mergeCell ref="E881:E883"/>
    <mergeCell ref="B882:C882"/>
    <mergeCell ref="B883:D883"/>
    <mergeCell ref="E884:E886"/>
    <mergeCell ref="H880:I880"/>
    <mergeCell ref="H881:I881"/>
    <mergeCell ref="H882:I882"/>
    <mergeCell ref="H883:I883"/>
    <mergeCell ref="H884:I884"/>
    <mergeCell ref="H885:I885"/>
    <mergeCell ref="H886:I886"/>
    <mergeCell ref="J904:Z904"/>
    <mergeCell ref="AA904:AF904"/>
    <mergeCell ref="B901:C901"/>
    <mergeCell ref="B902:C902"/>
    <mergeCell ref="E902:F902"/>
    <mergeCell ref="I902:O902"/>
    <mergeCell ref="P902:Q902"/>
    <mergeCell ref="R902:Z902"/>
    <mergeCell ref="AB902:AF902"/>
    <mergeCell ref="V890:W891"/>
    <mergeCell ref="X890:Y891"/>
    <mergeCell ref="Z890:Z892"/>
    <mergeCell ref="AA890:AA892"/>
    <mergeCell ref="AB890:AD891"/>
    <mergeCell ref="AE890:AF891"/>
    <mergeCell ref="I890:I891"/>
    <mergeCell ref="J890:K891"/>
    <mergeCell ref="L890:M891"/>
    <mergeCell ref="N890:O891"/>
    <mergeCell ref="P890:Q891"/>
    <mergeCell ref="R890:S891"/>
    <mergeCell ref="T890:U891"/>
    <mergeCell ref="B893:C893"/>
    <mergeCell ref="B894:C894"/>
    <mergeCell ref="E891:F891"/>
    <mergeCell ref="B892:D892"/>
    <mergeCell ref="E892:G892"/>
    <mergeCell ref="H892:I892"/>
    <mergeCell ref="E893:E895"/>
    <mergeCell ref="H893:I893"/>
    <mergeCell ref="H894:I894"/>
    <mergeCell ref="B899:C899"/>
    <mergeCell ref="B900:C900"/>
    <mergeCell ref="B904:C904"/>
    <mergeCell ref="D904:G904"/>
    <mergeCell ref="E905:F905"/>
    <mergeCell ref="B891:C891"/>
    <mergeCell ref="B895:C895"/>
    <mergeCell ref="B896:C896"/>
    <mergeCell ref="E896:E898"/>
    <mergeCell ref="B897:C897"/>
    <mergeCell ref="B898:D898"/>
    <mergeCell ref="E899:E901"/>
    <mergeCell ref="H895:I895"/>
    <mergeCell ref="H896:I896"/>
    <mergeCell ref="H897:I897"/>
    <mergeCell ref="H898:I898"/>
    <mergeCell ref="H899:I899"/>
    <mergeCell ref="H900:I900"/>
    <mergeCell ref="H901:I901"/>
    <mergeCell ref="J919:Z919"/>
    <mergeCell ref="AA919:AF919"/>
    <mergeCell ref="B916:C916"/>
    <mergeCell ref="B917:C917"/>
    <mergeCell ref="E917:F917"/>
    <mergeCell ref="I917:O917"/>
    <mergeCell ref="P917:Q917"/>
    <mergeCell ref="R917:Z917"/>
    <mergeCell ref="AB917:AF917"/>
    <mergeCell ref="V905:W906"/>
    <mergeCell ref="X905:Y906"/>
    <mergeCell ref="Z905:Z907"/>
    <mergeCell ref="AA905:AA907"/>
    <mergeCell ref="AB905:AD906"/>
    <mergeCell ref="AE905:AF906"/>
    <mergeCell ref="I905:I906"/>
    <mergeCell ref="J905:K906"/>
    <mergeCell ref="L905:M906"/>
    <mergeCell ref="N905:O906"/>
    <mergeCell ref="P905:Q906"/>
    <mergeCell ref="R905:S906"/>
    <mergeCell ref="T905:U906"/>
    <mergeCell ref="B908:C908"/>
    <mergeCell ref="B909:C909"/>
    <mergeCell ref="E906:F906"/>
    <mergeCell ref="B907:D907"/>
    <mergeCell ref="E907:G907"/>
    <mergeCell ref="H907:I907"/>
    <mergeCell ref="E908:E910"/>
    <mergeCell ref="H908:I908"/>
    <mergeCell ref="H909:I909"/>
    <mergeCell ref="B914:C914"/>
    <mergeCell ref="B915:C915"/>
    <mergeCell ref="B919:C919"/>
    <mergeCell ref="D919:G919"/>
    <mergeCell ref="E920:F920"/>
    <mergeCell ref="B906:C906"/>
    <mergeCell ref="B910:C910"/>
    <mergeCell ref="B911:C911"/>
    <mergeCell ref="E911:E913"/>
    <mergeCell ref="B912:C912"/>
    <mergeCell ref="B913:D913"/>
    <mergeCell ref="E914:E916"/>
    <mergeCell ref="H910:I910"/>
    <mergeCell ref="H911:I911"/>
    <mergeCell ref="H912:I912"/>
    <mergeCell ref="H913:I913"/>
    <mergeCell ref="H914:I914"/>
    <mergeCell ref="H915:I915"/>
    <mergeCell ref="H916:I916"/>
    <mergeCell ref="J934:Z934"/>
    <mergeCell ref="AA934:AF934"/>
    <mergeCell ref="B931:C931"/>
    <mergeCell ref="B932:C932"/>
    <mergeCell ref="E932:F932"/>
    <mergeCell ref="I932:O932"/>
    <mergeCell ref="P932:Q932"/>
    <mergeCell ref="R932:Z932"/>
    <mergeCell ref="AB932:AF932"/>
    <mergeCell ref="V920:W921"/>
    <mergeCell ref="X920:Y921"/>
    <mergeCell ref="Z920:Z922"/>
    <mergeCell ref="AA920:AA922"/>
    <mergeCell ref="AB920:AD921"/>
    <mergeCell ref="AE920:AF921"/>
    <mergeCell ref="I920:I921"/>
    <mergeCell ref="J920:K921"/>
    <mergeCell ref="L920:M921"/>
    <mergeCell ref="N920:O921"/>
    <mergeCell ref="P920:Q921"/>
    <mergeCell ref="R920:S921"/>
    <mergeCell ref="T920:U921"/>
    <mergeCell ref="B923:C923"/>
    <mergeCell ref="B924:C924"/>
    <mergeCell ref="E921:F921"/>
    <mergeCell ref="B922:D922"/>
    <mergeCell ref="E922:G922"/>
    <mergeCell ref="H922:I922"/>
    <mergeCell ref="E923:E925"/>
    <mergeCell ref="H923:I923"/>
    <mergeCell ref="H924:I924"/>
    <mergeCell ref="B929:C929"/>
    <mergeCell ref="B930:C930"/>
    <mergeCell ref="B934:C934"/>
    <mergeCell ref="D934:G934"/>
    <mergeCell ref="E935:F935"/>
    <mergeCell ref="B921:C921"/>
    <mergeCell ref="B925:C925"/>
    <mergeCell ref="B926:C926"/>
    <mergeCell ref="E926:E928"/>
    <mergeCell ref="B927:C927"/>
    <mergeCell ref="B928:D928"/>
    <mergeCell ref="E929:E931"/>
    <mergeCell ref="H925:I925"/>
    <mergeCell ref="H926:I926"/>
    <mergeCell ref="H927:I927"/>
    <mergeCell ref="H928:I928"/>
    <mergeCell ref="H929:I929"/>
    <mergeCell ref="H930:I930"/>
    <mergeCell ref="H931:I931"/>
    <mergeCell ref="J949:Z949"/>
    <mergeCell ref="AA949:AF949"/>
    <mergeCell ref="B946:C946"/>
    <mergeCell ref="B947:C947"/>
    <mergeCell ref="E947:F947"/>
    <mergeCell ref="I947:O947"/>
    <mergeCell ref="P947:Q947"/>
    <mergeCell ref="R947:Z947"/>
    <mergeCell ref="AB947:AF947"/>
    <mergeCell ref="V935:W936"/>
    <mergeCell ref="X935:Y936"/>
    <mergeCell ref="Z935:Z937"/>
    <mergeCell ref="AA935:AA937"/>
    <mergeCell ref="AB935:AD936"/>
    <mergeCell ref="AE935:AF936"/>
    <mergeCell ref="I935:I936"/>
    <mergeCell ref="J935:K936"/>
    <mergeCell ref="L935:M936"/>
    <mergeCell ref="N935:O936"/>
    <mergeCell ref="P935:Q936"/>
    <mergeCell ref="R935:S936"/>
    <mergeCell ref="T935:U936"/>
    <mergeCell ref="B938:C938"/>
    <mergeCell ref="B939:C939"/>
    <mergeCell ref="E936:F936"/>
    <mergeCell ref="B937:D937"/>
    <mergeCell ref="E937:G937"/>
    <mergeCell ref="H937:I937"/>
    <mergeCell ref="E938:E940"/>
    <mergeCell ref="H938:I938"/>
    <mergeCell ref="H939:I939"/>
    <mergeCell ref="B944:C944"/>
    <mergeCell ref="B945:C945"/>
    <mergeCell ref="B949:C949"/>
    <mergeCell ref="D949:G949"/>
    <mergeCell ref="E950:F950"/>
    <mergeCell ref="B936:C936"/>
    <mergeCell ref="B940:C940"/>
    <mergeCell ref="B941:C941"/>
    <mergeCell ref="E941:E943"/>
    <mergeCell ref="B942:C942"/>
    <mergeCell ref="B943:D943"/>
    <mergeCell ref="E944:E946"/>
    <mergeCell ref="H940:I940"/>
    <mergeCell ref="H941:I941"/>
    <mergeCell ref="H942:I942"/>
    <mergeCell ref="H943:I943"/>
    <mergeCell ref="H944:I944"/>
    <mergeCell ref="H945:I945"/>
    <mergeCell ref="H946:I946"/>
    <mergeCell ref="J964:Z964"/>
    <mergeCell ref="AA964:AF964"/>
    <mergeCell ref="B961:C961"/>
    <mergeCell ref="B962:C962"/>
    <mergeCell ref="E962:F962"/>
    <mergeCell ref="I962:O962"/>
    <mergeCell ref="P962:Q962"/>
    <mergeCell ref="R962:Z962"/>
    <mergeCell ref="AB962:AF962"/>
    <mergeCell ref="V950:W951"/>
    <mergeCell ref="X950:Y951"/>
    <mergeCell ref="Z950:Z952"/>
    <mergeCell ref="AA950:AA952"/>
    <mergeCell ref="AB950:AD951"/>
    <mergeCell ref="AE950:AF951"/>
    <mergeCell ref="I950:I951"/>
    <mergeCell ref="J950:K951"/>
    <mergeCell ref="L950:M951"/>
    <mergeCell ref="N950:O951"/>
    <mergeCell ref="P950:Q951"/>
    <mergeCell ref="R950:S951"/>
    <mergeCell ref="T950:U951"/>
    <mergeCell ref="B953:C953"/>
    <mergeCell ref="B954:C954"/>
    <mergeCell ref="E951:F951"/>
    <mergeCell ref="B952:D952"/>
    <mergeCell ref="E952:G952"/>
    <mergeCell ref="H952:I952"/>
    <mergeCell ref="E953:E955"/>
    <mergeCell ref="H953:I953"/>
    <mergeCell ref="H954:I954"/>
    <mergeCell ref="B959:C959"/>
    <mergeCell ref="B960:C960"/>
    <mergeCell ref="B964:C964"/>
    <mergeCell ref="D964:G964"/>
    <mergeCell ref="E965:F965"/>
    <mergeCell ref="B951:C951"/>
    <mergeCell ref="B955:C955"/>
    <mergeCell ref="B956:C956"/>
    <mergeCell ref="E956:E958"/>
    <mergeCell ref="B957:C957"/>
    <mergeCell ref="B958:D958"/>
    <mergeCell ref="E959:E961"/>
    <mergeCell ref="H955:I955"/>
    <mergeCell ref="H956:I956"/>
    <mergeCell ref="H957:I957"/>
    <mergeCell ref="H958:I958"/>
    <mergeCell ref="H959:I959"/>
    <mergeCell ref="H960:I960"/>
    <mergeCell ref="H961:I961"/>
    <mergeCell ref="J979:Z979"/>
    <mergeCell ref="AA979:AF979"/>
    <mergeCell ref="B976:C976"/>
    <mergeCell ref="B977:C977"/>
    <mergeCell ref="E977:F977"/>
    <mergeCell ref="I977:O977"/>
    <mergeCell ref="P977:Q977"/>
    <mergeCell ref="R977:Z977"/>
    <mergeCell ref="AB977:AF977"/>
    <mergeCell ref="V965:W966"/>
    <mergeCell ref="X965:Y966"/>
    <mergeCell ref="Z965:Z967"/>
    <mergeCell ref="AA965:AA967"/>
    <mergeCell ref="AB965:AD966"/>
    <mergeCell ref="AE965:AF966"/>
    <mergeCell ref="I965:I966"/>
    <mergeCell ref="J965:K966"/>
    <mergeCell ref="L965:M966"/>
    <mergeCell ref="N965:O966"/>
    <mergeCell ref="P965:Q966"/>
    <mergeCell ref="R965:S966"/>
    <mergeCell ref="T965:U966"/>
    <mergeCell ref="B968:C968"/>
    <mergeCell ref="B969:C969"/>
    <mergeCell ref="E966:F966"/>
    <mergeCell ref="B967:D967"/>
    <mergeCell ref="E967:G967"/>
    <mergeCell ref="H967:I967"/>
    <mergeCell ref="E968:E970"/>
    <mergeCell ref="H968:I968"/>
    <mergeCell ref="H969:I969"/>
    <mergeCell ref="B974:C974"/>
    <mergeCell ref="B975:C975"/>
    <mergeCell ref="B979:C979"/>
    <mergeCell ref="D979:G979"/>
    <mergeCell ref="E980:F980"/>
    <mergeCell ref="B966:C966"/>
    <mergeCell ref="B970:C970"/>
    <mergeCell ref="B971:C971"/>
    <mergeCell ref="E971:E973"/>
    <mergeCell ref="B972:C972"/>
    <mergeCell ref="B973:D973"/>
    <mergeCell ref="E974:E976"/>
    <mergeCell ref="H970:I970"/>
    <mergeCell ref="H971:I971"/>
    <mergeCell ref="H972:I972"/>
    <mergeCell ref="H973:I973"/>
    <mergeCell ref="H974:I974"/>
    <mergeCell ref="H975:I975"/>
    <mergeCell ref="H976:I976"/>
    <mergeCell ref="J994:Z994"/>
    <mergeCell ref="AA994:AF994"/>
    <mergeCell ref="B991:C991"/>
    <mergeCell ref="B992:C992"/>
    <mergeCell ref="E992:F992"/>
    <mergeCell ref="I992:O992"/>
    <mergeCell ref="P992:Q992"/>
    <mergeCell ref="R992:Z992"/>
    <mergeCell ref="AB992:AF992"/>
    <mergeCell ref="V980:W981"/>
    <mergeCell ref="X980:Y981"/>
    <mergeCell ref="Z980:Z982"/>
    <mergeCell ref="AA980:AA982"/>
    <mergeCell ref="AB980:AD981"/>
    <mergeCell ref="AE980:AF981"/>
    <mergeCell ref="I980:I981"/>
    <mergeCell ref="J980:K981"/>
    <mergeCell ref="L980:M981"/>
    <mergeCell ref="N980:O981"/>
    <mergeCell ref="P980:Q981"/>
    <mergeCell ref="R980:S981"/>
    <mergeCell ref="T980:U981"/>
    <mergeCell ref="B983:C983"/>
    <mergeCell ref="B984:C984"/>
    <mergeCell ref="E981:F981"/>
    <mergeCell ref="B982:D982"/>
    <mergeCell ref="E982:G982"/>
    <mergeCell ref="H982:I982"/>
    <mergeCell ref="E983:E985"/>
    <mergeCell ref="H983:I983"/>
    <mergeCell ref="H984:I984"/>
    <mergeCell ref="B989:C989"/>
    <mergeCell ref="B990:C990"/>
    <mergeCell ref="B994:C994"/>
    <mergeCell ref="D994:G994"/>
    <mergeCell ref="E995:F995"/>
    <mergeCell ref="B981:C981"/>
    <mergeCell ref="B985:C985"/>
    <mergeCell ref="B986:C986"/>
    <mergeCell ref="E986:E988"/>
    <mergeCell ref="B987:C987"/>
    <mergeCell ref="B988:D988"/>
    <mergeCell ref="E989:E991"/>
    <mergeCell ref="H985:I985"/>
    <mergeCell ref="H986:I986"/>
    <mergeCell ref="H987:I987"/>
    <mergeCell ref="H988:I988"/>
    <mergeCell ref="H989:I989"/>
    <mergeCell ref="H990:I990"/>
    <mergeCell ref="H991:I991"/>
    <mergeCell ref="J1009:Z1009"/>
    <mergeCell ref="AA1009:AF1009"/>
    <mergeCell ref="B1006:C1006"/>
    <mergeCell ref="B1007:C1007"/>
    <mergeCell ref="E1007:F1007"/>
    <mergeCell ref="I1007:O1007"/>
    <mergeCell ref="P1007:Q1007"/>
    <mergeCell ref="R1007:Z1007"/>
    <mergeCell ref="AB1007:AF1007"/>
    <mergeCell ref="V995:W996"/>
    <mergeCell ref="X995:Y996"/>
    <mergeCell ref="Z995:Z997"/>
    <mergeCell ref="AA995:AA997"/>
    <mergeCell ref="AB995:AD996"/>
    <mergeCell ref="AE995:AF996"/>
    <mergeCell ref="I995:I996"/>
    <mergeCell ref="J995:K996"/>
    <mergeCell ref="L995:M996"/>
    <mergeCell ref="N995:O996"/>
    <mergeCell ref="P995:Q996"/>
    <mergeCell ref="R995:S996"/>
    <mergeCell ref="T995:U996"/>
    <mergeCell ref="B998:C998"/>
    <mergeCell ref="B999:C999"/>
    <mergeCell ref="E996:F996"/>
    <mergeCell ref="B997:D997"/>
    <mergeCell ref="E997:G997"/>
    <mergeCell ref="H997:I997"/>
    <mergeCell ref="E998:E1000"/>
    <mergeCell ref="H998:I998"/>
    <mergeCell ref="H999:I999"/>
    <mergeCell ref="B1004:C1004"/>
    <mergeCell ref="B1005:C1005"/>
    <mergeCell ref="B1009:C1009"/>
    <mergeCell ref="D1009:G1009"/>
    <mergeCell ref="E1010:F1010"/>
    <mergeCell ref="B996:C996"/>
    <mergeCell ref="B1000:C1000"/>
    <mergeCell ref="B1001:C1001"/>
    <mergeCell ref="E1001:E1003"/>
    <mergeCell ref="B1002:C1002"/>
    <mergeCell ref="B1003:D1003"/>
    <mergeCell ref="E1004:E1006"/>
    <mergeCell ref="H1000:I1000"/>
    <mergeCell ref="H1001:I1001"/>
    <mergeCell ref="H1002:I1002"/>
    <mergeCell ref="H1003:I1003"/>
    <mergeCell ref="H1004:I1004"/>
    <mergeCell ref="H1005:I1005"/>
    <mergeCell ref="H1006:I1006"/>
    <mergeCell ref="J1024:Z1024"/>
    <mergeCell ref="AA1024:AF1024"/>
    <mergeCell ref="B1021:C1021"/>
    <mergeCell ref="B1022:C1022"/>
    <mergeCell ref="E1022:F1022"/>
    <mergeCell ref="I1022:O1022"/>
    <mergeCell ref="P1022:Q1022"/>
    <mergeCell ref="R1022:Z1022"/>
    <mergeCell ref="AB1022:AF1022"/>
    <mergeCell ref="V1010:W1011"/>
    <mergeCell ref="X1010:Y1011"/>
    <mergeCell ref="Z1010:Z1012"/>
    <mergeCell ref="AA1010:AA1012"/>
    <mergeCell ref="AB1010:AD1011"/>
    <mergeCell ref="AE1010:AF1011"/>
    <mergeCell ref="I1010:I1011"/>
    <mergeCell ref="J1010:K1011"/>
    <mergeCell ref="L1010:M1011"/>
    <mergeCell ref="N1010:O1011"/>
    <mergeCell ref="P1010:Q1011"/>
    <mergeCell ref="R1010:S1011"/>
    <mergeCell ref="T1010:U1011"/>
    <mergeCell ref="B1013:C1013"/>
    <mergeCell ref="B1014:C1014"/>
    <mergeCell ref="E1011:F1011"/>
    <mergeCell ref="B1012:D1012"/>
    <mergeCell ref="E1012:G1012"/>
    <mergeCell ref="H1012:I1012"/>
    <mergeCell ref="E1013:E1015"/>
    <mergeCell ref="H1013:I1013"/>
    <mergeCell ref="H1014:I1014"/>
    <mergeCell ref="B1019:C1019"/>
    <mergeCell ref="B1020:C1020"/>
    <mergeCell ref="B1024:C1024"/>
    <mergeCell ref="D1024:G1024"/>
    <mergeCell ref="E1025:F1025"/>
    <mergeCell ref="B1011:C1011"/>
    <mergeCell ref="B1015:C1015"/>
    <mergeCell ref="B1016:C1016"/>
    <mergeCell ref="E1016:E1018"/>
    <mergeCell ref="B1017:C1017"/>
    <mergeCell ref="B1018:D1018"/>
    <mergeCell ref="E1019:E1021"/>
    <mergeCell ref="H1015:I1015"/>
    <mergeCell ref="H1016:I1016"/>
    <mergeCell ref="H1017:I1017"/>
    <mergeCell ref="H1018:I1018"/>
    <mergeCell ref="H1019:I1019"/>
    <mergeCell ref="H1020:I1020"/>
    <mergeCell ref="H1021:I1021"/>
    <mergeCell ref="J1039:Z1039"/>
    <mergeCell ref="AA1039:AF1039"/>
    <mergeCell ref="B1036:C1036"/>
    <mergeCell ref="B1037:C1037"/>
    <mergeCell ref="E1037:F1037"/>
    <mergeCell ref="I1037:O1037"/>
    <mergeCell ref="P1037:Q1037"/>
    <mergeCell ref="R1037:Z1037"/>
    <mergeCell ref="AB1037:AF1037"/>
    <mergeCell ref="V1025:W1026"/>
    <mergeCell ref="X1025:Y1026"/>
    <mergeCell ref="Z1025:Z1027"/>
    <mergeCell ref="AA1025:AA1027"/>
    <mergeCell ref="AB1025:AD1026"/>
    <mergeCell ref="AE1025:AF1026"/>
    <mergeCell ref="I1025:I1026"/>
    <mergeCell ref="J1025:K1026"/>
    <mergeCell ref="L1025:M1026"/>
    <mergeCell ref="N1025:O1026"/>
    <mergeCell ref="P1025:Q1026"/>
    <mergeCell ref="R1025:S1026"/>
    <mergeCell ref="T1025:U1026"/>
    <mergeCell ref="B1028:C1028"/>
    <mergeCell ref="B1029:C1029"/>
    <mergeCell ref="E1026:F1026"/>
    <mergeCell ref="B1027:D1027"/>
    <mergeCell ref="E1027:G1027"/>
    <mergeCell ref="H1027:I1027"/>
    <mergeCell ref="E1028:E1030"/>
    <mergeCell ref="H1028:I1028"/>
    <mergeCell ref="H1029:I1029"/>
    <mergeCell ref="B1034:C1034"/>
    <mergeCell ref="B1035:C1035"/>
    <mergeCell ref="B1039:C1039"/>
    <mergeCell ref="D1039:G1039"/>
    <mergeCell ref="E1040:F1040"/>
    <mergeCell ref="B1026:C1026"/>
    <mergeCell ref="B1030:C1030"/>
    <mergeCell ref="B1031:C1031"/>
    <mergeCell ref="E1031:E1033"/>
    <mergeCell ref="B1032:C1032"/>
    <mergeCell ref="B1033:D1033"/>
    <mergeCell ref="E1034:E1036"/>
    <mergeCell ref="H1030:I1030"/>
    <mergeCell ref="H1031:I1031"/>
    <mergeCell ref="H1032:I1032"/>
    <mergeCell ref="H1033:I1033"/>
    <mergeCell ref="H1034:I1034"/>
    <mergeCell ref="H1035:I1035"/>
    <mergeCell ref="H1036:I1036"/>
    <mergeCell ref="J1054:Z1054"/>
    <mergeCell ref="AA1054:AF1054"/>
    <mergeCell ref="B1051:C1051"/>
    <mergeCell ref="B1052:C1052"/>
    <mergeCell ref="E1052:F1052"/>
    <mergeCell ref="I1052:O1052"/>
    <mergeCell ref="P1052:Q1052"/>
    <mergeCell ref="R1052:Z1052"/>
    <mergeCell ref="AB1052:AF1052"/>
    <mergeCell ref="V1040:W1041"/>
    <mergeCell ref="X1040:Y1041"/>
    <mergeCell ref="Z1040:Z1042"/>
    <mergeCell ref="AA1040:AA1042"/>
    <mergeCell ref="AB1040:AD1041"/>
    <mergeCell ref="AE1040:AF1041"/>
    <mergeCell ref="I1040:I1041"/>
    <mergeCell ref="J1040:K1041"/>
    <mergeCell ref="L1040:M1041"/>
    <mergeCell ref="N1040:O1041"/>
    <mergeCell ref="P1040:Q1041"/>
    <mergeCell ref="R1040:S1041"/>
    <mergeCell ref="T1040:U1041"/>
    <mergeCell ref="B1043:C1043"/>
    <mergeCell ref="B1044:C1044"/>
    <mergeCell ref="E1041:F1041"/>
    <mergeCell ref="B1042:D1042"/>
    <mergeCell ref="E1042:G1042"/>
    <mergeCell ref="H1042:I1042"/>
    <mergeCell ref="E1043:E1045"/>
    <mergeCell ref="H1043:I1043"/>
    <mergeCell ref="H1044:I1044"/>
    <mergeCell ref="B1049:C1049"/>
    <mergeCell ref="B1050:C1050"/>
    <mergeCell ref="B1054:C1054"/>
    <mergeCell ref="D1054:G1054"/>
    <mergeCell ref="E1055:F1055"/>
    <mergeCell ref="B1041:C1041"/>
    <mergeCell ref="B1045:C1045"/>
    <mergeCell ref="B1046:C1046"/>
    <mergeCell ref="E1046:E1048"/>
    <mergeCell ref="B1047:C1047"/>
    <mergeCell ref="B1048:D1048"/>
    <mergeCell ref="E1049:E1051"/>
    <mergeCell ref="H1045:I1045"/>
    <mergeCell ref="H1046:I1046"/>
    <mergeCell ref="H1047:I1047"/>
    <mergeCell ref="H1048:I1048"/>
    <mergeCell ref="H1049:I1049"/>
    <mergeCell ref="H1050:I1050"/>
    <mergeCell ref="H1051:I1051"/>
    <mergeCell ref="J1069:Z1069"/>
    <mergeCell ref="AA1069:AF1069"/>
    <mergeCell ref="B1066:C1066"/>
    <mergeCell ref="B1067:C1067"/>
    <mergeCell ref="E1067:F1067"/>
    <mergeCell ref="I1067:O1067"/>
    <mergeCell ref="P1067:Q1067"/>
    <mergeCell ref="R1067:Z1067"/>
    <mergeCell ref="AB1067:AF1067"/>
    <mergeCell ref="V1055:W1056"/>
    <mergeCell ref="X1055:Y1056"/>
    <mergeCell ref="Z1055:Z1057"/>
    <mergeCell ref="AA1055:AA1057"/>
    <mergeCell ref="AB1055:AD1056"/>
    <mergeCell ref="AE1055:AF1056"/>
    <mergeCell ref="I1055:I1056"/>
    <mergeCell ref="J1055:K1056"/>
    <mergeCell ref="L1055:M1056"/>
    <mergeCell ref="N1055:O1056"/>
    <mergeCell ref="P1055:Q1056"/>
    <mergeCell ref="R1055:S1056"/>
    <mergeCell ref="T1055:U1056"/>
    <mergeCell ref="B1058:C1058"/>
    <mergeCell ref="B1059:C1059"/>
    <mergeCell ref="E1056:F1056"/>
    <mergeCell ref="B1057:D1057"/>
    <mergeCell ref="E1057:G1057"/>
    <mergeCell ref="H1057:I1057"/>
    <mergeCell ref="E1058:E1060"/>
    <mergeCell ref="H1058:I1058"/>
    <mergeCell ref="H1059:I1059"/>
    <mergeCell ref="B1064:C1064"/>
    <mergeCell ref="B1065:C1065"/>
    <mergeCell ref="B1069:C1069"/>
    <mergeCell ref="D1069:G1069"/>
    <mergeCell ref="E1070:F1070"/>
    <mergeCell ref="B1056:C1056"/>
    <mergeCell ref="B1060:C1060"/>
    <mergeCell ref="B1061:C1061"/>
    <mergeCell ref="E1061:E1063"/>
    <mergeCell ref="B1062:C1062"/>
    <mergeCell ref="B1063:D1063"/>
    <mergeCell ref="E1064:E1066"/>
    <mergeCell ref="H1060:I1060"/>
    <mergeCell ref="H1061:I1061"/>
    <mergeCell ref="H1062:I1062"/>
    <mergeCell ref="H1063:I1063"/>
    <mergeCell ref="H1064:I1064"/>
    <mergeCell ref="H1065:I1065"/>
    <mergeCell ref="H1066:I1066"/>
    <mergeCell ref="J1084:Z1084"/>
    <mergeCell ref="AA1084:AF1084"/>
    <mergeCell ref="B1081:C1081"/>
    <mergeCell ref="B1082:C1082"/>
    <mergeCell ref="E1082:F1082"/>
    <mergeCell ref="I1082:O1082"/>
    <mergeCell ref="P1082:Q1082"/>
    <mergeCell ref="R1082:Z1082"/>
    <mergeCell ref="AB1082:AF1082"/>
    <mergeCell ref="V1070:W1071"/>
    <mergeCell ref="X1070:Y1071"/>
    <mergeCell ref="Z1070:Z1072"/>
    <mergeCell ref="AA1070:AA1072"/>
    <mergeCell ref="AB1070:AD1071"/>
    <mergeCell ref="AE1070:AF1071"/>
    <mergeCell ref="I1070:I1071"/>
    <mergeCell ref="J1070:K1071"/>
    <mergeCell ref="L1070:M1071"/>
    <mergeCell ref="N1070:O1071"/>
    <mergeCell ref="P1070:Q1071"/>
    <mergeCell ref="R1070:S1071"/>
    <mergeCell ref="T1070:U1071"/>
    <mergeCell ref="B1073:C1073"/>
    <mergeCell ref="B1074:C1074"/>
    <mergeCell ref="E1071:F1071"/>
    <mergeCell ref="B1072:D1072"/>
    <mergeCell ref="E1072:G1072"/>
    <mergeCell ref="H1072:I1072"/>
    <mergeCell ref="E1073:E1075"/>
    <mergeCell ref="H1073:I1073"/>
    <mergeCell ref="H1074:I1074"/>
    <mergeCell ref="B1079:C1079"/>
    <mergeCell ref="B1080:C1080"/>
    <mergeCell ref="B1084:C1084"/>
    <mergeCell ref="D1084:G1084"/>
    <mergeCell ref="E1085:F1085"/>
    <mergeCell ref="B1071:C1071"/>
    <mergeCell ref="B1075:C1075"/>
    <mergeCell ref="B1076:C1076"/>
    <mergeCell ref="E1076:E1078"/>
    <mergeCell ref="B1077:C1077"/>
    <mergeCell ref="B1078:D1078"/>
    <mergeCell ref="E1079:E1081"/>
    <mergeCell ref="H1075:I1075"/>
    <mergeCell ref="H1076:I1076"/>
    <mergeCell ref="H1077:I1077"/>
    <mergeCell ref="H1078:I1078"/>
    <mergeCell ref="H1079:I1079"/>
    <mergeCell ref="H1080:I1080"/>
    <mergeCell ref="H1081:I1081"/>
    <mergeCell ref="J1099:Z1099"/>
    <mergeCell ref="AA1099:AF1099"/>
    <mergeCell ref="B1096:C1096"/>
    <mergeCell ref="B1097:C1097"/>
    <mergeCell ref="E1097:F1097"/>
    <mergeCell ref="I1097:O1097"/>
    <mergeCell ref="P1097:Q1097"/>
    <mergeCell ref="R1097:Z1097"/>
    <mergeCell ref="AB1097:AF1097"/>
    <mergeCell ref="V1085:W1086"/>
    <mergeCell ref="X1085:Y1086"/>
    <mergeCell ref="Z1085:Z1087"/>
    <mergeCell ref="AA1085:AA1087"/>
    <mergeCell ref="AB1085:AD1086"/>
    <mergeCell ref="AE1085:AF1086"/>
    <mergeCell ref="I1085:I1086"/>
    <mergeCell ref="J1085:K1086"/>
    <mergeCell ref="L1085:M1086"/>
    <mergeCell ref="N1085:O1086"/>
    <mergeCell ref="P1085:Q1086"/>
    <mergeCell ref="R1085:S1086"/>
    <mergeCell ref="T1085:U1086"/>
    <mergeCell ref="B1088:C1088"/>
    <mergeCell ref="B1089:C1089"/>
    <mergeCell ref="E1086:F1086"/>
    <mergeCell ref="B1087:D1087"/>
    <mergeCell ref="E1087:G1087"/>
    <mergeCell ref="H1087:I1087"/>
    <mergeCell ref="E1088:E1090"/>
    <mergeCell ref="H1088:I1088"/>
    <mergeCell ref="H1089:I1089"/>
    <mergeCell ref="B1094:C1094"/>
    <mergeCell ref="B1095:C1095"/>
    <mergeCell ref="B1099:C1099"/>
    <mergeCell ref="D1099:G1099"/>
    <mergeCell ref="E1100:F1100"/>
    <mergeCell ref="B1086:C1086"/>
    <mergeCell ref="B1090:C1090"/>
    <mergeCell ref="B1091:C1091"/>
    <mergeCell ref="E1091:E1093"/>
    <mergeCell ref="B1092:C1092"/>
    <mergeCell ref="B1093:D1093"/>
    <mergeCell ref="E1094:E1096"/>
    <mergeCell ref="H1090:I1090"/>
    <mergeCell ref="H1091:I1091"/>
    <mergeCell ref="H1092:I1092"/>
    <mergeCell ref="H1093:I1093"/>
    <mergeCell ref="H1094:I1094"/>
    <mergeCell ref="H1095:I1095"/>
    <mergeCell ref="H1096:I1096"/>
    <mergeCell ref="J1114:Z1114"/>
    <mergeCell ref="AA1114:AF1114"/>
    <mergeCell ref="B1111:C1111"/>
    <mergeCell ref="B1112:C1112"/>
    <mergeCell ref="E1112:F1112"/>
    <mergeCell ref="I1112:O1112"/>
    <mergeCell ref="P1112:Q1112"/>
    <mergeCell ref="R1112:Z1112"/>
    <mergeCell ref="AB1112:AF1112"/>
    <mergeCell ref="V1100:W1101"/>
    <mergeCell ref="X1100:Y1101"/>
    <mergeCell ref="Z1100:Z1102"/>
    <mergeCell ref="AA1100:AA1102"/>
    <mergeCell ref="AB1100:AD1101"/>
    <mergeCell ref="AE1100:AF1101"/>
    <mergeCell ref="I1100:I1101"/>
    <mergeCell ref="J1100:K1101"/>
    <mergeCell ref="L1100:M1101"/>
    <mergeCell ref="N1100:O1101"/>
    <mergeCell ref="P1100:Q1101"/>
    <mergeCell ref="R1100:S1101"/>
    <mergeCell ref="T1100:U1101"/>
    <mergeCell ref="B1103:C1103"/>
    <mergeCell ref="B1104:C1104"/>
    <mergeCell ref="E1101:F1101"/>
    <mergeCell ref="B1102:D1102"/>
    <mergeCell ref="E1102:G1102"/>
    <mergeCell ref="H1102:I1102"/>
    <mergeCell ref="E1103:E1105"/>
    <mergeCell ref="H1103:I1103"/>
    <mergeCell ref="H1104:I1104"/>
    <mergeCell ref="B1109:C1109"/>
    <mergeCell ref="B1110:C1110"/>
    <mergeCell ref="B1114:C1114"/>
    <mergeCell ref="D1114:G1114"/>
    <mergeCell ref="E1115:F1115"/>
    <mergeCell ref="B1101:C1101"/>
    <mergeCell ref="B1105:C1105"/>
    <mergeCell ref="B1106:C1106"/>
    <mergeCell ref="E1106:E1108"/>
    <mergeCell ref="B1107:C1107"/>
    <mergeCell ref="B1108:D1108"/>
    <mergeCell ref="E1109:E1111"/>
    <mergeCell ref="H1105:I1105"/>
    <mergeCell ref="H1106:I1106"/>
    <mergeCell ref="H1107:I1107"/>
    <mergeCell ref="H1108:I1108"/>
    <mergeCell ref="H1109:I1109"/>
    <mergeCell ref="H1110:I1110"/>
    <mergeCell ref="H1111:I1111"/>
    <mergeCell ref="J1129:Z1129"/>
    <mergeCell ref="AA1129:AF1129"/>
    <mergeCell ref="B1126:C1126"/>
    <mergeCell ref="B1127:C1127"/>
    <mergeCell ref="E1127:F1127"/>
    <mergeCell ref="I1127:O1127"/>
    <mergeCell ref="P1127:Q1127"/>
    <mergeCell ref="R1127:Z1127"/>
    <mergeCell ref="AB1127:AF1127"/>
    <mergeCell ref="V1115:W1116"/>
    <mergeCell ref="X1115:Y1116"/>
    <mergeCell ref="Z1115:Z1117"/>
    <mergeCell ref="AA1115:AA1117"/>
    <mergeCell ref="AB1115:AD1116"/>
    <mergeCell ref="AE1115:AF1116"/>
    <mergeCell ref="I1115:I1116"/>
    <mergeCell ref="J1115:K1116"/>
    <mergeCell ref="L1115:M1116"/>
    <mergeCell ref="N1115:O1116"/>
    <mergeCell ref="P1115:Q1116"/>
    <mergeCell ref="R1115:S1116"/>
    <mergeCell ref="T1115:U1116"/>
    <mergeCell ref="B1118:C1118"/>
    <mergeCell ref="B1119:C1119"/>
    <mergeCell ref="E1116:F1116"/>
    <mergeCell ref="B1117:D1117"/>
    <mergeCell ref="E1117:G1117"/>
    <mergeCell ref="H1117:I1117"/>
    <mergeCell ref="E1118:E1120"/>
    <mergeCell ref="H1118:I1118"/>
    <mergeCell ref="H1119:I1119"/>
    <mergeCell ref="B1124:C1124"/>
    <mergeCell ref="B1125:C1125"/>
    <mergeCell ref="B1129:C1129"/>
    <mergeCell ref="D1129:G1129"/>
    <mergeCell ref="E1130:F1130"/>
    <mergeCell ref="B1116:C1116"/>
    <mergeCell ref="B1120:C1120"/>
    <mergeCell ref="B1121:C1121"/>
    <mergeCell ref="E1121:E1123"/>
    <mergeCell ref="B1122:C1122"/>
    <mergeCell ref="B1123:D1123"/>
    <mergeCell ref="E1124:E1126"/>
    <mergeCell ref="H1120:I1120"/>
    <mergeCell ref="H1121:I1121"/>
    <mergeCell ref="H1122:I1122"/>
    <mergeCell ref="H1123:I1123"/>
    <mergeCell ref="H1124:I1124"/>
    <mergeCell ref="H1125:I1125"/>
    <mergeCell ref="H1126:I1126"/>
    <mergeCell ref="J1144:Z1144"/>
    <mergeCell ref="AA1144:AF1144"/>
    <mergeCell ref="B1141:C1141"/>
    <mergeCell ref="B1142:C1142"/>
    <mergeCell ref="E1142:F1142"/>
    <mergeCell ref="I1142:O1142"/>
    <mergeCell ref="P1142:Q1142"/>
    <mergeCell ref="R1142:Z1142"/>
    <mergeCell ref="AB1142:AF1142"/>
    <mergeCell ref="V1130:W1131"/>
    <mergeCell ref="X1130:Y1131"/>
    <mergeCell ref="Z1130:Z1132"/>
    <mergeCell ref="AA1130:AA1132"/>
    <mergeCell ref="AB1130:AD1131"/>
    <mergeCell ref="AE1130:AF1131"/>
    <mergeCell ref="I1130:I1131"/>
    <mergeCell ref="J1130:K1131"/>
    <mergeCell ref="L1130:M1131"/>
    <mergeCell ref="N1130:O1131"/>
    <mergeCell ref="P1130:Q1131"/>
    <mergeCell ref="R1130:S1131"/>
    <mergeCell ref="T1130:U1131"/>
    <mergeCell ref="B1133:C1133"/>
    <mergeCell ref="B1134:C1134"/>
    <mergeCell ref="E1131:F1131"/>
    <mergeCell ref="B1132:D1132"/>
    <mergeCell ref="E1132:G1132"/>
    <mergeCell ref="H1132:I1132"/>
    <mergeCell ref="E1133:E1135"/>
    <mergeCell ref="H1133:I1133"/>
    <mergeCell ref="H1134:I1134"/>
    <mergeCell ref="B1139:C1139"/>
    <mergeCell ref="B1140:C1140"/>
    <mergeCell ref="B1144:C1144"/>
    <mergeCell ref="D1144:G1144"/>
    <mergeCell ref="E1145:F1145"/>
    <mergeCell ref="B1131:C1131"/>
    <mergeCell ref="B1135:C1135"/>
    <mergeCell ref="B1136:C1136"/>
    <mergeCell ref="E1136:E1138"/>
    <mergeCell ref="B1137:C1137"/>
    <mergeCell ref="B1138:D1138"/>
    <mergeCell ref="E1139:E1141"/>
    <mergeCell ref="H1135:I1135"/>
    <mergeCell ref="H1136:I1136"/>
    <mergeCell ref="H1137:I1137"/>
    <mergeCell ref="H1138:I1138"/>
    <mergeCell ref="H1139:I1139"/>
    <mergeCell ref="H1140:I1140"/>
    <mergeCell ref="H1141:I1141"/>
    <mergeCell ref="J1159:Z1159"/>
    <mergeCell ref="AA1159:AF1159"/>
    <mergeCell ref="B1156:C1156"/>
    <mergeCell ref="B1157:C1157"/>
    <mergeCell ref="E1157:F1157"/>
    <mergeCell ref="I1157:O1157"/>
    <mergeCell ref="P1157:Q1157"/>
    <mergeCell ref="R1157:Z1157"/>
    <mergeCell ref="AB1157:AF1157"/>
    <mergeCell ref="V1145:W1146"/>
    <mergeCell ref="X1145:Y1146"/>
    <mergeCell ref="Z1145:Z1147"/>
    <mergeCell ref="AA1145:AA1147"/>
    <mergeCell ref="AB1145:AD1146"/>
    <mergeCell ref="AE1145:AF1146"/>
    <mergeCell ref="I1145:I1146"/>
    <mergeCell ref="J1145:K1146"/>
    <mergeCell ref="L1145:M1146"/>
    <mergeCell ref="N1145:O1146"/>
    <mergeCell ref="P1145:Q1146"/>
    <mergeCell ref="R1145:S1146"/>
    <mergeCell ref="T1145:U1146"/>
    <mergeCell ref="B1148:C1148"/>
    <mergeCell ref="B1149:C1149"/>
    <mergeCell ref="E1146:F1146"/>
    <mergeCell ref="B1147:D1147"/>
    <mergeCell ref="E1147:G1147"/>
    <mergeCell ref="H1147:I1147"/>
    <mergeCell ref="E1148:E1150"/>
    <mergeCell ref="H1148:I1148"/>
    <mergeCell ref="H1149:I1149"/>
    <mergeCell ref="B1154:C1154"/>
    <mergeCell ref="B1155:C1155"/>
    <mergeCell ref="B1159:C1159"/>
    <mergeCell ref="D1159:G1159"/>
    <mergeCell ref="E1160:F1160"/>
    <mergeCell ref="B1146:C1146"/>
    <mergeCell ref="B1150:C1150"/>
    <mergeCell ref="B1151:C1151"/>
    <mergeCell ref="E1151:E1153"/>
    <mergeCell ref="B1152:C1152"/>
    <mergeCell ref="B1153:D1153"/>
    <mergeCell ref="E1154:E1156"/>
    <mergeCell ref="H1150:I1150"/>
    <mergeCell ref="H1151:I1151"/>
    <mergeCell ref="H1152:I1152"/>
    <mergeCell ref="H1153:I1153"/>
    <mergeCell ref="H1154:I1154"/>
    <mergeCell ref="H1155:I1155"/>
    <mergeCell ref="H1156:I1156"/>
    <mergeCell ref="J1174:Z1174"/>
    <mergeCell ref="AA1174:AF1174"/>
    <mergeCell ref="B1171:C1171"/>
    <mergeCell ref="B1172:C1172"/>
    <mergeCell ref="E1172:F1172"/>
    <mergeCell ref="I1172:O1172"/>
    <mergeCell ref="P1172:Q1172"/>
    <mergeCell ref="R1172:Z1172"/>
    <mergeCell ref="AB1172:AF1172"/>
    <mergeCell ref="V1160:W1161"/>
    <mergeCell ref="X1160:Y1161"/>
    <mergeCell ref="Z1160:Z1162"/>
    <mergeCell ref="AA1160:AA1162"/>
    <mergeCell ref="AB1160:AD1161"/>
    <mergeCell ref="AE1160:AF1161"/>
    <mergeCell ref="I1160:I1161"/>
    <mergeCell ref="J1160:K1161"/>
    <mergeCell ref="L1160:M1161"/>
    <mergeCell ref="N1160:O1161"/>
    <mergeCell ref="P1160:Q1161"/>
    <mergeCell ref="R1160:S1161"/>
    <mergeCell ref="T1160:U1161"/>
    <mergeCell ref="B1163:C1163"/>
    <mergeCell ref="B1164:C1164"/>
    <mergeCell ref="E1161:F1161"/>
    <mergeCell ref="B1162:D1162"/>
    <mergeCell ref="E1162:G1162"/>
    <mergeCell ref="H1162:I1162"/>
    <mergeCell ref="E1163:E1165"/>
    <mergeCell ref="H1163:I1163"/>
    <mergeCell ref="H1164:I1164"/>
    <mergeCell ref="B1169:C1169"/>
    <mergeCell ref="B1170:C1170"/>
    <mergeCell ref="B1174:C1174"/>
    <mergeCell ref="D1174:G1174"/>
    <mergeCell ref="E1175:F1175"/>
    <mergeCell ref="B1161:C1161"/>
    <mergeCell ref="B1165:C1165"/>
    <mergeCell ref="B1166:C1166"/>
    <mergeCell ref="E1166:E1168"/>
    <mergeCell ref="B1167:C1167"/>
    <mergeCell ref="B1168:D1168"/>
    <mergeCell ref="E1169:E1171"/>
    <mergeCell ref="H1165:I1165"/>
    <mergeCell ref="H1166:I1166"/>
    <mergeCell ref="H1167:I1167"/>
    <mergeCell ref="H1168:I1168"/>
    <mergeCell ref="H1169:I1169"/>
    <mergeCell ref="H1170:I1170"/>
    <mergeCell ref="H1171:I1171"/>
    <mergeCell ref="J1189:Z1189"/>
    <mergeCell ref="AA1189:AF1189"/>
    <mergeCell ref="B1186:C1186"/>
    <mergeCell ref="B1187:C1187"/>
    <mergeCell ref="E1187:F1187"/>
    <mergeCell ref="I1187:O1187"/>
    <mergeCell ref="P1187:Q1187"/>
    <mergeCell ref="R1187:Z1187"/>
    <mergeCell ref="AB1187:AF1187"/>
    <mergeCell ref="V1175:W1176"/>
    <mergeCell ref="X1175:Y1176"/>
    <mergeCell ref="Z1175:Z1177"/>
    <mergeCell ref="AA1175:AA1177"/>
    <mergeCell ref="AB1175:AD1176"/>
    <mergeCell ref="AE1175:AF1176"/>
    <mergeCell ref="I1175:I1176"/>
    <mergeCell ref="J1175:K1176"/>
    <mergeCell ref="L1175:M1176"/>
    <mergeCell ref="N1175:O1176"/>
    <mergeCell ref="P1175:Q1176"/>
    <mergeCell ref="R1175:S1176"/>
    <mergeCell ref="T1175:U1176"/>
    <mergeCell ref="B1178:C1178"/>
    <mergeCell ref="B1179:C1179"/>
    <mergeCell ref="E1176:F1176"/>
    <mergeCell ref="B1177:D1177"/>
    <mergeCell ref="E1177:G1177"/>
    <mergeCell ref="H1177:I1177"/>
    <mergeCell ref="E1178:E1180"/>
    <mergeCell ref="H1178:I1178"/>
    <mergeCell ref="H1179:I1179"/>
    <mergeCell ref="B1184:C1184"/>
    <mergeCell ref="B1185:C1185"/>
    <mergeCell ref="B1189:C1189"/>
    <mergeCell ref="D1189:G1189"/>
    <mergeCell ref="E1190:F1190"/>
    <mergeCell ref="B1176:C1176"/>
    <mergeCell ref="B1180:C1180"/>
    <mergeCell ref="B1181:C1181"/>
    <mergeCell ref="E1181:E1183"/>
    <mergeCell ref="B1182:C1182"/>
    <mergeCell ref="B1183:D1183"/>
    <mergeCell ref="E1184:E1186"/>
    <mergeCell ref="H1180:I1180"/>
    <mergeCell ref="H1181:I1181"/>
    <mergeCell ref="H1182:I1182"/>
    <mergeCell ref="H1183:I1183"/>
    <mergeCell ref="H1184:I1184"/>
    <mergeCell ref="H1185:I1185"/>
    <mergeCell ref="H1186:I1186"/>
    <mergeCell ref="J1204:Z1204"/>
    <mergeCell ref="AA1204:AF1204"/>
    <mergeCell ref="B1201:C1201"/>
    <mergeCell ref="B1202:C1202"/>
    <mergeCell ref="E1202:F1202"/>
    <mergeCell ref="I1202:O1202"/>
    <mergeCell ref="P1202:Q1202"/>
    <mergeCell ref="R1202:Z1202"/>
    <mergeCell ref="AB1202:AF1202"/>
    <mergeCell ref="V1190:W1191"/>
    <mergeCell ref="X1190:Y1191"/>
    <mergeCell ref="Z1190:Z1192"/>
    <mergeCell ref="AA1190:AA1192"/>
    <mergeCell ref="AB1190:AD1191"/>
    <mergeCell ref="AE1190:AF1191"/>
    <mergeCell ref="I1190:I1191"/>
    <mergeCell ref="J1190:K1191"/>
    <mergeCell ref="L1190:M1191"/>
    <mergeCell ref="N1190:O1191"/>
    <mergeCell ref="P1190:Q1191"/>
    <mergeCell ref="R1190:S1191"/>
    <mergeCell ref="T1190:U1191"/>
    <mergeCell ref="B1193:C1193"/>
    <mergeCell ref="B1194:C1194"/>
    <mergeCell ref="E1191:F1191"/>
    <mergeCell ref="B1192:D1192"/>
    <mergeCell ref="E1192:G1192"/>
    <mergeCell ref="H1192:I1192"/>
    <mergeCell ref="E1193:E1195"/>
    <mergeCell ref="H1193:I1193"/>
    <mergeCell ref="H1194:I1194"/>
    <mergeCell ref="B1199:C1199"/>
    <mergeCell ref="B1200:C1200"/>
    <mergeCell ref="B1204:C1204"/>
    <mergeCell ref="D1204:G1204"/>
    <mergeCell ref="E1205:F1205"/>
    <mergeCell ref="B1191:C1191"/>
    <mergeCell ref="B1195:C1195"/>
    <mergeCell ref="B1196:C1196"/>
    <mergeCell ref="E1196:E1198"/>
    <mergeCell ref="B1197:C1197"/>
    <mergeCell ref="B1198:D1198"/>
    <mergeCell ref="E1199:E1201"/>
    <mergeCell ref="H1195:I1195"/>
    <mergeCell ref="H1196:I1196"/>
    <mergeCell ref="H1197:I1197"/>
    <mergeCell ref="H1198:I1198"/>
    <mergeCell ref="H1199:I1199"/>
    <mergeCell ref="H1200:I1200"/>
    <mergeCell ref="H1201:I1201"/>
    <mergeCell ref="J1219:Z1219"/>
    <mergeCell ref="AA1219:AF1219"/>
    <mergeCell ref="B1216:C1216"/>
    <mergeCell ref="B1217:C1217"/>
    <mergeCell ref="E1217:F1217"/>
    <mergeCell ref="I1217:O1217"/>
    <mergeCell ref="P1217:Q1217"/>
    <mergeCell ref="R1217:Z1217"/>
    <mergeCell ref="AB1217:AF1217"/>
    <mergeCell ref="V1205:W1206"/>
    <mergeCell ref="X1205:Y1206"/>
    <mergeCell ref="Z1205:Z1207"/>
    <mergeCell ref="AA1205:AA1207"/>
    <mergeCell ref="AB1205:AD1206"/>
    <mergeCell ref="AE1205:AF1206"/>
    <mergeCell ref="I1205:I1206"/>
    <mergeCell ref="J1205:K1206"/>
    <mergeCell ref="L1205:M1206"/>
    <mergeCell ref="N1205:O1206"/>
    <mergeCell ref="P1205:Q1206"/>
    <mergeCell ref="R1205:S1206"/>
    <mergeCell ref="T1205:U1206"/>
    <mergeCell ref="B1208:C1208"/>
    <mergeCell ref="B1209:C1209"/>
    <mergeCell ref="E1206:F1206"/>
    <mergeCell ref="B1207:D1207"/>
    <mergeCell ref="E1207:G1207"/>
    <mergeCell ref="H1207:I1207"/>
    <mergeCell ref="E1208:E1210"/>
    <mergeCell ref="H1208:I1208"/>
    <mergeCell ref="H1209:I1209"/>
    <mergeCell ref="B1214:C1214"/>
    <mergeCell ref="B1215:C1215"/>
    <mergeCell ref="B1219:C1219"/>
    <mergeCell ref="D1219:G1219"/>
    <mergeCell ref="E1220:F1220"/>
    <mergeCell ref="B1206:C1206"/>
    <mergeCell ref="B1210:C1210"/>
    <mergeCell ref="B1211:C1211"/>
    <mergeCell ref="E1211:E1213"/>
    <mergeCell ref="B1212:C1212"/>
    <mergeCell ref="B1213:D1213"/>
    <mergeCell ref="E1214:E1216"/>
    <mergeCell ref="H1210:I1210"/>
    <mergeCell ref="H1211:I1211"/>
    <mergeCell ref="H1212:I1212"/>
    <mergeCell ref="H1213:I1213"/>
    <mergeCell ref="H1214:I1214"/>
    <mergeCell ref="H1215:I1215"/>
    <mergeCell ref="H1216:I1216"/>
    <mergeCell ref="J1234:Z1234"/>
    <mergeCell ref="AA1234:AF1234"/>
    <mergeCell ref="B1231:C1231"/>
    <mergeCell ref="B1232:C1232"/>
    <mergeCell ref="E1232:F1232"/>
    <mergeCell ref="I1232:O1232"/>
    <mergeCell ref="P1232:Q1232"/>
    <mergeCell ref="R1232:Z1232"/>
    <mergeCell ref="AB1232:AF1232"/>
    <mergeCell ref="V1220:W1221"/>
    <mergeCell ref="X1220:Y1221"/>
    <mergeCell ref="Z1220:Z1222"/>
    <mergeCell ref="AA1220:AA1222"/>
    <mergeCell ref="AB1220:AD1221"/>
    <mergeCell ref="AE1220:AF1221"/>
    <mergeCell ref="I1220:I1221"/>
    <mergeCell ref="J1220:K1221"/>
    <mergeCell ref="L1220:M1221"/>
    <mergeCell ref="N1220:O1221"/>
    <mergeCell ref="P1220:Q1221"/>
    <mergeCell ref="R1220:S1221"/>
    <mergeCell ref="T1220:U1221"/>
    <mergeCell ref="B1223:C1223"/>
    <mergeCell ref="B1224:C1224"/>
    <mergeCell ref="E1221:F1221"/>
    <mergeCell ref="B1222:D1222"/>
    <mergeCell ref="E1222:G1222"/>
    <mergeCell ref="H1222:I1222"/>
    <mergeCell ref="E1223:E1225"/>
    <mergeCell ref="H1223:I1223"/>
    <mergeCell ref="H1224:I1224"/>
    <mergeCell ref="B1229:C1229"/>
    <mergeCell ref="B1230:C1230"/>
    <mergeCell ref="B1234:C1234"/>
    <mergeCell ref="D1234:G1234"/>
    <mergeCell ref="E1235:F1235"/>
    <mergeCell ref="B1221:C1221"/>
    <mergeCell ref="B1225:C1225"/>
    <mergeCell ref="B1226:C1226"/>
    <mergeCell ref="E1226:E1228"/>
    <mergeCell ref="B1227:C1227"/>
    <mergeCell ref="B1228:D1228"/>
    <mergeCell ref="E1229:E1231"/>
    <mergeCell ref="H1225:I1225"/>
    <mergeCell ref="H1226:I1226"/>
    <mergeCell ref="H1227:I1227"/>
    <mergeCell ref="H1228:I1228"/>
    <mergeCell ref="H1229:I1229"/>
    <mergeCell ref="H1230:I1230"/>
    <mergeCell ref="H1231:I1231"/>
    <mergeCell ref="J1249:Z1249"/>
    <mergeCell ref="AA1249:AF1249"/>
    <mergeCell ref="B1246:C1246"/>
    <mergeCell ref="B1247:C1247"/>
    <mergeCell ref="E1247:F1247"/>
    <mergeCell ref="I1247:O1247"/>
    <mergeCell ref="P1247:Q1247"/>
    <mergeCell ref="R1247:Z1247"/>
    <mergeCell ref="AB1247:AF1247"/>
    <mergeCell ref="V1235:W1236"/>
    <mergeCell ref="X1235:Y1236"/>
    <mergeCell ref="Z1235:Z1237"/>
    <mergeCell ref="AA1235:AA1237"/>
    <mergeCell ref="AB1235:AD1236"/>
    <mergeCell ref="AE1235:AF1236"/>
    <mergeCell ref="I1235:I1236"/>
    <mergeCell ref="J1235:K1236"/>
    <mergeCell ref="L1235:M1236"/>
    <mergeCell ref="N1235:O1236"/>
    <mergeCell ref="P1235:Q1236"/>
    <mergeCell ref="R1235:S1236"/>
    <mergeCell ref="T1235:U1236"/>
    <mergeCell ref="B1238:C1238"/>
    <mergeCell ref="B1239:C1239"/>
    <mergeCell ref="E1236:F1236"/>
    <mergeCell ref="B1237:D1237"/>
    <mergeCell ref="E1237:G1237"/>
    <mergeCell ref="H1237:I1237"/>
    <mergeCell ref="E1238:E1240"/>
    <mergeCell ref="H1238:I1238"/>
    <mergeCell ref="H1239:I1239"/>
    <mergeCell ref="B1244:C1244"/>
    <mergeCell ref="B1245:C1245"/>
    <mergeCell ref="B1249:C1249"/>
    <mergeCell ref="D1249:G1249"/>
    <mergeCell ref="E1250:F1250"/>
    <mergeCell ref="B1236:C1236"/>
    <mergeCell ref="B1240:C1240"/>
    <mergeCell ref="B1241:C1241"/>
    <mergeCell ref="E1241:E1243"/>
    <mergeCell ref="B1242:C1242"/>
    <mergeCell ref="B1243:D1243"/>
    <mergeCell ref="E1244:E1246"/>
    <mergeCell ref="H1240:I1240"/>
    <mergeCell ref="H1241:I1241"/>
    <mergeCell ref="H1242:I1242"/>
    <mergeCell ref="H1243:I1243"/>
    <mergeCell ref="H1244:I1244"/>
    <mergeCell ref="H1245:I1245"/>
    <mergeCell ref="H1246:I1246"/>
    <mergeCell ref="J1264:Z1264"/>
    <mergeCell ref="AA1264:AF1264"/>
    <mergeCell ref="B1261:C1261"/>
    <mergeCell ref="B1262:C1262"/>
    <mergeCell ref="E1262:F1262"/>
    <mergeCell ref="I1262:O1262"/>
    <mergeCell ref="P1262:Q1262"/>
    <mergeCell ref="R1262:Z1262"/>
    <mergeCell ref="AB1262:AF1262"/>
    <mergeCell ref="V1250:W1251"/>
    <mergeCell ref="X1250:Y1251"/>
    <mergeCell ref="Z1250:Z1252"/>
    <mergeCell ref="AA1250:AA1252"/>
    <mergeCell ref="AB1250:AD1251"/>
    <mergeCell ref="AE1250:AF1251"/>
    <mergeCell ref="I1250:I1251"/>
    <mergeCell ref="J1250:K1251"/>
    <mergeCell ref="L1250:M1251"/>
    <mergeCell ref="N1250:O1251"/>
    <mergeCell ref="P1250:Q1251"/>
    <mergeCell ref="R1250:S1251"/>
    <mergeCell ref="T1250:U1251"/>
    <mergeCell ref="B1253:C1253"/>
    <mergeCell ref="B1254:C1254"/>
    <mergeCell ref="E1251:F1251"/>
    <mergeCell ref="B1252:D1252"/>
    <mergeCell ref="E1252:G1252"/>
    <mergeCell ref="H1252:I1252"/>
    <mergeCell ref="E1253:E1255"/>
    <mergeCell ref="H1253:I1253"/>
    <mergeCell ref="H1254:I1254"/>
    <mergeCell ref="B1259:C1259"/>
    <mergeCell ref="B1260:C1260"/>
    <mergeCell ref="B1264:C1264"/>
    <mergeCell ref="D1264:G1264"/>
    <mergeCell ref="E1265:F1265"/>
    <mergeCell ref="B1251:C1251"/>
    <mergeCell ref="B1255:C1255"/>
    <mergeCell ref="B1256:C1256"/>
    <mergeCell ref="E1256:E1258"/>
    <mergeCell ref="B1257:C1257"/>
    <mergeCell ref="B1258:D1258"/>
    <mergeCell ref="E1259:E1261"/>
    <mergeCell ref="H1255:I1255"/>
    <mergeCell ref="H1256:I1256"/>
    <mergeCell ref="H1257:I1257"/>
    <mergeCell ref="H1258:I1258"/>
    <mergeCell ref="H1259:I1259"/>
    <mergeCell ref="H1260:I1260"/>
    <mergeCell ref="H1261:I1261"/>
    <mergeCell ref="J1279:Z1279"/>
    <mergeCell ref="AA1279:AF1279"/>
    <mergeCell ref="B1276:C1276"/>
    <mergeCell ref="B1277:C1277"/>
    <mergeCell ref="E1277:F1277"/>
    <mergeCell ref="I1277:O1277"/>
    <mergeCell ref="P1277:Q1277"/>
    <mergeCell ref="R1277:Z1277"/>
    <mergeCell ref="AB1277:AF1277"/>
    <mergeCell ref="V1265:W1266"/>
    <mergeCell ref="X1265:Y1266"/>
    <mergeCell ref="Z1265:Z1267"/>
    <mergeCell ref="AA1265:AA1267"/>
    <mergeCell ref="AB1265:AD1266"/>
    <mergeCell ref="AE1265:AF1266"/>
    <mergeCell ref="I1265:I1266"/>
    <mergeCell ref="J1265:K1266"/>
    <mergeCell ref="L1265:M1266"/>
    <mergeCell ref="N1265:O1266"/>
    <mergeCell ref="P1265:Q1266"/>
    <mergeCell ref="R1265:S1266"/>
    <mergeCell ref="T1265:U1266"/>
    <mergeCell ref="B1268:C1268"/>
    <mergeCell ref="B1269:C1269"/>
    <mergeCell ref="E1266:F1266"/>
    <mergeCell ref="B1267:D1267"/>
    <mergeCell ref="E1267:G1267"/>
    <mergeCell ref="H1267:I1267"/>
    <mergeCell ref="E1268:E1270"/>
    <mergeCell ref="H1268:I1268"/>
    <mergeCell ref="H1269:I1269"/>
    <mergeCell ref="B1274:C1274"/>
    <mergeCell ref="B1275:C1275"/>
    <mergeCell ref="B1279:C1279"/>
    <mergeCell ref="D1279:G1279"/>
    <mergeCell ref="E1280:F1280"/>
    <mergeCell ref="B1266:C1266"/>
    <mergeCell ref="B1270:C1270"/>
    <mergeCell ref="B1271:C1271"/>
    <mergeCell ref="E1271:E1273"/>
    <mergeCell ref="B1272:C1272"/>
    <mergeCell ref="B1273:D1273"/>
    <mergeCell ref="E1274:E1276"/>
    <mergeCell ref="H1270:I1270"/>
    <mergeCell ref="H1271:I1271"/>
    <mergeCell ref="H1272:I1272"/>
    <mergeCell ref="H1273:I1273"/>
    <mergeCell ref="H1274:I1274"/>
    <mergeCell ref="H1275:I1275"/>
    <mergeCell ref="H1276:I1276"/>
    <mergeCell ref="J1294:Z1294"/>
    <mergeCell ref="AA1294:AF1294"/>
    <mergeCell ref="B1291:C1291"/>
    <mergeCell ref="B1292:C1292"/>
    <mergeCell ref="E1292:F1292"/>
    <mergeCell ref="I1292:O1292"/>
    <mergeCell ref="P1292:Q1292"/>
    <mergeCell ref="R1292:Z1292"/>
    <mergeCell ref="AB1292:AF1292"/>
    <mergeCell ref="V1280:W1281"/>
    <mergeCell ref="X1280:Y1281"/>
    <mergeCell ref="Z1280:Z1282"/>
    <mergeCell ref="AA1280:AA1282"/>
    <mergeCell ref="AB1280:AD1281"/>
    <mergeCell ref="AE1280:AF1281"/>
    <mergeCell ref="I1280:I1281"/>
    <mergeCell ref="J1280:K1281"/>
    <mergeCell ref="L1280:M1281"/>
    <mergeCell ref="N1280:O1281"/>
    <mergeCell ref="P1280:Q1281"/>
    <mergeCell ref="R1280:S1281"/>
    <mergeCell ref="T1280:U1281"/>
    <mergeCell ref="B1283:C1283"/>
    <mergeCell ref="B1284:C1284"/>
    <mergeCell ref="E1281:F1281"/>
    <mergeCell ref="B1282:D1282"/>
    <mergeCell ref="E1282:G1282"/>
    <mergeCell ref="H1282:I1282"/>
    <mergeCell ref="E1283:E1285"/>
    <mergeCell ref="H1283:I1283"/>
    <mergeCell ref="H1284:I1284"/>
    <mergeCell ref="B1289:C1289"/>
    <mergeCell ref="B1290:C1290"/>
    <mergeCell ref="B1294:C1294"/>
    <mergeCell ref="D1294:G1294"/>
    <mergeCell ref="E1295:F1295"/>
    <mergeCell ref="B1281:C1281"/>
    <mergeCell ref="B1285:C1285"/>
    <mergeCell ref="B1286:C1286"/>
    <mergeCell ref="E1286:E1288"/>
    <mergeCell ref="B1287:C1287"/>
    <mergeCell ref="B1288:D1288"/>
    <mergeCell ref="E1289:E1291"/>
    <mergeCell ref="H1285:I1285"/>
    <mergeCell ref="H1286:I1286"/>
    <mergeCell ref="H1287:I1287"/>
    <mergeCell ref="H1288:I1288"/>
    <mergeCell ref="H1289:I1289"/>
    <mergeCell ref="H1290:I1290"/>
    <mergeCell ref="H1291:I1291"/>
    <mergeCell ref="J1309:Z1309"/>
    <mergeCell ref="AA1309:AF1309"/>
    <mergeCell ref="B1306:C1306"/>
    <mergeCell ref="B1307:C1307"/>
    <mergeCell ref="E1307:F1307"/>
    <mergeCell ref="I1307:O1307"/>
    <mergeCell ref="P1307:Q1307"/>
    <mergeCell ref="R1307:Z1307"/>
    <mergeCell ref="AB1307:AF1307"/>
    <mergeCell ref="V1295:W1296"/>
    <mergeCell ref="X1295:Y1296"/>
    <mergeCell ref="Z1295:Z1297"/>
    <mergeCell ref="AA1295:AA1297"/>
    <mergeCell ref="AB1295:AD1296"/>
    <mergeCell ref="AE1295:AF1296"/>
    <mergeCell ref="I1295:I1296"/>
    <mergeCell ref="J1295:K1296"/>
    <mergeCell ref="L1295:M1296"/>
    <mergeCell ref="N1295:O1296"/>
    <mergeCell ref="P1295:Q1296"/>
    <mergeCell ref="R1295:S1296"/>
    <mergeCell ref="T1295:U1296"/>
    <mergeCell ref="B1298:C1298"/>
    <mergeCell ref="B1299:C1299"/>
    <mergeCell ref="E1296:F1296"/>
    <mergeCell ref="B1297:D1297"/>
    <mergeCell ref="E1297:G1297"/>
    <mergeCell ref="H1297:I1297"/>
    <mergeCell ref="E1298:E1300"/>
    <mergeCell ref="H1298:I1298"/>
    <mergeCell ref="H1299:I1299"/>
    <mergeCell ref="B1304:C1304"/>
    <mergeCell ref="B1305:C1305"/>
    <mergeCell ref="B1309:C1309"/>
    <mergeCell ref="D1309:G1309"/>
    <mergeCell ref="E1310:F1310"/>
    <mergeCell ref="B1296:C1296"/>
    <mergeCell ref="B1300:C1300"/>
    <mergeCell ref="B1301:C1301"/>
    <mergeCell ref="E1301:E1303"/>
    <mergeCell ref="B1302:C1302"/>
    <mergeCell ref="B1303:D1303"/>
    <mergeCell ref="E1304:E1306"/>
    <mergeCell ref="H1300:I1300"/>
    <mergeCell ref="H1301:I1301"/>
    <mergeCell ref="H1302:I1302"/>
    <mergeCell ref="H1303:I1303"/>
    <mergeCell ref="H1304:I1304"/>
    <mergeCell ref="H1305:I1305"/>
    <mergeCell ref="H1306:I1306"/>
    <mergeCell ref="J1324:Z1324"/>
    <mergeCell ref="AA1324:AF1324"/>
    <mergeCell ref="B1321:C1321"/>
    <mergeCell ref="B1322:C1322"/>
    <mergeCell ref="E1322:F1322"/>
    <mergeCell ref="I1322:O1322"/>
    <mergeCell ref="P1322:Q1322"/>
    <mergeCell ref="R1322:Z1322"/>
    <mergeCell ref="AB1322:AF1322"/>
    <mergeCell ref="V1310:W1311"/>
    <mergeCell ref="X1310:Y1311"/>
    <mergeCell ref="Z1310:Z1312"/>
    <mergeCell ref="AA1310:AA1312"/>
    <mergeCell ref="AB1310:AD1311"/>
    <mergeCell ref="AE1310:AF1311"/>
    <mergeCell ref="I1310:I1311"/>
    <mergeCell ref="J1310:K1311"/>
    <mergeCell ref="L1310:M1311"/>
    <mergeCell ref="N1310:O1311"/>
    <mergeCell ref="P1310:Q1311"/>
    <mergeCell ref="R1310:S1311"/>
    <mergeCell ref="T1310:U1311"/>
    <mergeCell ref="B1313:C1313"/>
    <mergeCell ref="B1314:C1314"/>
    <mergeCell ref="E1311:F1311"/>
    <mergeCell ref="B1312:D1312"/>
    <mergeCell ref="E1312:G1312"/>
    <mergeCell ref="H1312:I1312"/>
    <mergeCell ref="E1313:E1315"/>
    <mergeCell ref="H1313:I1313"/>
    <mergeCell ref="H1314:I1314"/>
    <mergeCell ref="B1319:C1319"/>
    <mergeCell ref="B1320:C1320"/>
    <mergeCell ref="B1324:C1324"/>
    <mergeCell ref="D1324:G1324"/>
    <mergeCell ref="E1325:F1325"/>
    <mergeCell ref="B1311:C1311"/>
    <mergeCell ref="B1315:C1315"/>
    <mergeCell ref="B1316:C1316"/>
    <mergeCell ref="E1316:E1318"/>
    <mergeCell ref="B1317:C1317"/>
    <mergeCell ref="B1318:D1318"/>
    <mergeCell ref="E1319:E1321"/>
    <mergeCell ref="H1315:I1315"/>
    <mergeCell ref="H1316:I1316"/>
    <mergeCell ref="H1317:I1317"/>
    <mergeCell ref="H1318:I1318"/>
    <mergeCell ref="H1319:I1319"/>
    <mergeCell ref="H1320:I1320"/>
    <mergeCell ref="H1321:I1321"/>
    <mergeCell ref="J1339:Z1339"/>
    <mergeCell ref="AA1339:AF1339"/>
    <mergeCell ref="B1336:C1336"/>
    <mergeCell ref="B1337:C1337"/>
    <mergeCell ref="E1337:F1337"/>
    <mergeCell ref="I1337:O1337"/>
    <mergeCell ref="P1337:Q1337"/>
    <mergeCell ref="R1337:Z1337"/>
    <mergeCell ref="AB1337:AF1337"/>
    <mergeCell ref="V1325:W1326"/>
    <mergeCell ref="X1325:Y1326"/>
    <mergeCell ref="Z1325:Z1327"/>
    <mergeCell ref="AA1325:AA1327"/>
    <mergeCell ref="AB1325:AD1326"/>
    <mergeCell ref="AE1325:AF1326"/>
    <mergeCell ref="I1325:I1326"/>
    <mergeCell ref="J1325:K1326"/>
    <mergeCell ref="L1325:M1326"/>
    <mergeCell ref="N1325:O1326"/>
    <mergeCell ref="P1325:Q1326"/>
    <mergeCell ref="R1325:S1326"/>
    <mergeCell ref="T1325:U1326"/>
    <mergeCell ref="B1328:C1328"/>
    <mergeCell ref="B1329:C1329"/>
    <mergeCell ref="E1326:F1326"/>
    <mergeCell ref="B1327:D1327"/>
    <mergeCell ref="E1327:G1327"/>
    <mergeCell ref="H1327:I1327"/>
    <mergeCell ref="E1328:E1330"/>
    <mergeCell ref="H1328:I1328"/>
    <mergeCell ref="H1329:I1329"/>
    <mergeCell ref="B1334:C1334"/>
    <mergeCell ref="B1335:C1335"/>
    <mergeCell ref="B1339:C1339"/>
    <mergeCell ref="D1339:G1339"/>
    <mergeCell ref="E1340:F1340"/>
    <mergeCell ref="B1326:C1326"/>
    <mergeCell ref="B1330:C1330"/>
    <mergeCell ref="B1331:C1331"/>
    <mergeCell ref="E1331:E1333"/>
    <mergeCell ref="B1332:C1332"/>
    <mergeCell ref="B1333:D1333"/>
    <mergeCell ref="E1334:E1336"/>
    <mergeCell ref="H1330:I1330"/>
    <mergeCell ref="H1331:I1331"/>
    <mergeCell ref="H1332:I1332"/>
    <mergeCell ref="H1333:I1333"/>
    <mergeCell ref="H1334:I1334"/>
    <mergeCell ref="H1335:I1335"/>
    <mergeCell ref="H1336:I1336"/>
    <mergeCell ref="J1354:Z1354"/>
    <mergeCell ref="AA1354:AF1354"/>
    <mergeCell ref="B1351:C1351"/>
    <mergeCell ref="B1352:C1352"/>
    <mergeCell ref="E1352:F1352"/>
    <mergeCell ref="I1352:O1352"/>
    <mergeCell ref="P1352:Q1352"/>
    <mergeCell ref="R1352:Z1352"/>
    <mergeCell ref="AB1352:AF1352"/>
    <mergeCell ref="V1340:W1341"/>
    <mergeCell ref="X1340:Y1341"/>
    <mergeCell ref="Z1340:Z1342"/>
    <mergeCell ref="AA1340:AA1342"/>
    <mergeCell ref="AB1340:AD1341"/>
    <mergeCell ref="AE1340:AF1341"/>
    <mergeCell ref="I1340:I1341"/>
    <mergeCell ref="J1340:K1341"/>
    <mergeCell ref="L1340:M1341"/>
    <mergeCell ref="N1340:O1341"/>
    <mergeCell ref="P1340:Q1341"/>
    <mergeCell ref="R1340:S1341"/>
    <mergeCell ref="T1340:U1341"/>
    <mergeCell ref="B1343:C1343"/>
    <mergeCell ref="B1344:C1344"/>
    <mergeCell ref="E1341:F1341"/>
    <mergeCell ref="B1342:D1342"/>
    <mergeCell ref="E1342:G1342"/>
    <mergeCell ref="H1342:I1342"/>
    <mergeCell ref="E1343:E1345"/>
    <mergeCell ref="H1343:I1343"/>
    <mergeCell ref="H1344:I1344"/>
    <mergeCell ref="B1349:C1349"/>
    <mergeCell ref="B1350:C1350"/>
    <mergeCell ref="B1354:C1354"/>
    <mergeCell ref="D1354:G1354"/>
    <mergeCell ref="E1355:F1355"/>
    <mergeCell ref="B1341:C1341"/>
    <mergeCell ref="B1345:C1345"/>
    <mergeCell ref="B1346:C1346"/>
    <mergeCell ref="E1346:E1348"/>
    <mergeCell ref="B1347:C1347"/>
    <mergeCell ref="B1348:D1348"/>
    <mergeCell ref="E1349:E1351"/>
    <mergeCell ref="H1345:I1345"/>
    <mergeCell ref="H1346:I1346"/>
    <mergeCell ref="H1347:I1347"/>
    <mergeCell ref="H1348:I1348"/>
    <mergeCell ref="H1349:I1349"/>
    <mergeCell ref="H1350:I1350"/>
    <mergeCell ref="H1351:I1351"/>
    <mergeCell ref="J1369:Z1369"/>
    <mergeCell ref="AA1369:AF1369"/>
    <mergeCell ref="B1366:C1366"/>
    <mergeCell ref="B1367:C1367"/>
    <mergeCell ref="E1367:F1367"/>
    <mergeCell ref="I1367:O1367"/>
    <mergeCell ref="P1367:Q1367"/>
    <mergeCell ref="R1367:Z1367"/>
    <mergeCell ref="AB1367:AF1367"/>
    <mergeCell ref="V1355:W1356"/>
    <mergeCell ref="X1355:Y1356"/>
    <mergeCell ref="Z1355:Z1357"/>
    <mergeCell ref="AA1355:AA1357"/>
    <mergeCell ref="AB1355:AD1356"/>
    <mergeCell ref="AE1355:AF1356"/>
    <mergeCell ref="I1355:I1356"/>
    <mergeCell ref="J1355:K1356"/>
    <mergeCell ref="L1355:M1356"/>
    <mergeCell ref="N1355:O1356"/>
    <mergeCell ref="P1355:Q1356"/>
    <mergeCell ref="R1355:S1356"/>
    <mergeCell ref="T1355:U1356"/>
    <mergeCell ref="B1358:C1358"/>
    <mergeCell ref="B1359:C1359"/>
    <mergeCell ref="E1356:F1356"/>
    <mergeCell ref="B1357:D1357"/>
    <mergeCell ref="E1357:G1357"/>
    <mergeCell ref="H1357:I1357"/>
    <mergeCell ref="E1358:E1360"/>
    <mergeCell ref="H1358:I1358"/>
    <mergeCell ref="H1359:I1359"/>
    <mergeCell ref="B1364:C1364"/>
    <mergeCell ref="B1365:C1365"/>
    <mergeCell ref="B1369:C1369"/>
    <mergeCell ref="D1369:G1369"/>
    <mergeCell ref="E1370:F1370"/>
    <mergeCell ref="B1356:C1356"/>
    <mergeCell ref="B1360:C1360"/>
    <mergeCell ref="B1361:C1361"/>
    <mergeCell ref="E1361:E1363"/>
    <mergeCell ref="B1362:C1362"/>
    <mergeCell ref="B1363:D1363"/>
    <mergeCell ref="E1364:E1366"/>
    <mergeCell ref="H1360:I1360"/>
    <mergeCell ref="H1361:I1361"/>
    <mergeCell ref="H1362:I1362"/>
    <mergeCell ref="H1363:I1363"/>
    <mergeCell ref="H1364:I1364"/>
    <mergeCell ref="H1365:I1365"/>
    <mergeCell ref="H1366:I1366"/>
    <mergeCell ref="J1384:Z1384"/>
    <mergeCell ref="AA1384:AF1384"/>
    <mergeCell ref="B1381:C1381"/>
    <mergeCell ref="B1382:C1382"/>
    <mergeCell ref="E1382:F1382"/>
    <mergeCell ref="I1382:O1382"/>
    <mergeCell ref="P1382:Q1382"/>
    <mergeCell ref="R1382:Z1382"/>
    <mergeCell ref="AB1382:AF1382"/>
    <mergeCell ref="V1370:W1371"/>
    <mergeCell ref="X1370:Y1371"/>
    <mergeCell ref="Z1370:Z1372"/>
    <mergeCell ref="AA1370:AA1372"/>
    <mergeCell ref="AB1370:AD1371"/>
    <mergeCell ref="AE1370:AF1371"/>
    <mergeCell ref="I1370:I1371"/>
    <mergeCell ref="J1370:K1371"/>
    <mergeCell ref="L1370:M1371"/>
    <mergeCell ref="N1370:O1371"/>
    <mergeCell ref="P1370:Q1371"/>
    <mergeCell ref="R1370:S1371"/>
    <mergeCell ref="T1370:U1371"/>
    <mergeCell ref="B1373:C1373"/>
    <mergeCell ref="B1374:C1374"/>
    <mergeCell ref="E1371:F1371"/>
    <mergeCell ref="B1372:D1372"/>
    <mergeCell ref="E1372:G1372"/>
    <mergeCell ref="H1372:I1372"/>
    <mergeCell ref="E1373:E1375"/>
    <mergeCell ref="H1373:I1373"/>
    <mergeCell ref="H1374:I1374"/>
    <mergeCell ref="B1379:C1379"/>
    <mergeCell ref="B1380:C1380"/>
    <mergeCell ref="B1384:C1384"/>
    <mergeCell ref="D1384:G1384"/>
    <mergeCell ref="E1385:F1385"/>
    <mergeCell ref="B1371:C1371"/>
    <mergeCell ref="B1375:C1375"/>
    <mergeCell ref="B1376:C1376"/>
    <mergeCell ref="E1376:E1378"/>
    <mergeCell ref="B1377:C1377"/>
    <mergeCell ref="B1378:D1378"/>
    <mergeCell ref="E1379:E1381"/>
    <mergeCell ref="H1375:I1375"/>
    <mergeCell ref="H1376:I1376"/>
    <mergeCell ref="H1377:I1377"/>
    <mergeCell ref="H1378:I1378"/>
    <mergeCell ref="H1379:I1379"/>
    <mergeCell ref="H1380:I1380"/>
    <mergeCell ref="H1381:I1381"/>
    <mergeCell ref="J1399:Z1399"/>
    <mergeCell ref="AA1399:AF1399"/>
    <mergeCell ref="B1396:C1396"/>
    <mergeCell ref="B1397:C1397"/>
    <mergeCell ref="E1397:F1397"/>
    <mergeCell ref="I1397:O1397"/>
    <mergeCell ref="P1397:Q1397"/>
    <mergeCell ref="R1397:Z1397"/>
    <mergeCell ref="AB1397:AF1397"/>
    <mergeCell ref="V1385:W1386"/>
    <mergeCell ref="X1385:Y1386"/>
    <mergeCell ref="Z1385:Z1387"/>
    <mergeCell ref="AA1385:AA1387"/>
    <mergeCell ref="AB1385:AD1386"/>
    <mergeCell ref="AE1385:AF1386"/>
    <mergeCell ref="I1385:I1386"/>
    <mergeCell ref="J1385:K1386"/>
    <mergeCell ref="L1385:M1386"/>
    <mergeCell ref="N1385:O1386"/>
    <mergeCell ref="P1385:Q1386"/>
    <mergeCell ref="R1385:S1386"/>
    <mergeCell ref="T1385:U1386"/>
    <mergeCell ref="B1388:C1388"/>
    <mergeCell ref="B1389:C1389"/>
    <mergeCell ref="E1386:F1386"/>
    <mergeCell ref="B1387:D1387"/>
    <mergeCell ref="E1387:G1387"/>
    <mergeCell ref="H1387:I1387"/>
    <mergeCell ref="E1388:E1390"/>
    <mergeCell ref="H1388:I1388"/>
    <mergeCell ref="H1389:I1389"/>
    <mergeCell ref="B1394:C1394"/>
    <mergeCell ref="B1395:C1395"/>
    <mergeCell ref="B1399:C1399"/>
    <mergeCell ref="D1399:G1399"/>
    <mergeCell ref="E1400:F1400"/>
    <mergeCell ref="B1386:C1386"/>
    <mergeCell ref="B1390:C1390"/>
    <mergeCell ref="B1391:C1391"/>
    <mergeCell ref="E1391:E1393"/>
    <mergeCell ref="B1392:C1392"/>
    <mergeCell ref="B1393:D1393"/>
    <mergeCell ref="E1394:E1396"/>
    <mergeCell ref="H1390:I1390"/>
    <mergeCell ref="H1391:I1391"/>
    <mergeCell ref="H1392:I1392"/>
    <mergeCell ref="H1393:I1393"/>
    <mergeCell ref="H1394:I1394"/>
    <mergeCell ref="H1395:I1395"/>
    <mergeCell ref="H1396:I1396"/>
    <mergeCell ref="J1414:Z1414"/>
    <mergeCell ref="AA1414:AF1414"/>
    <mergeCell ref="B1411:C1411"/>
    <mergeCell ref="B1412:C1412"/>
    <mergeCell ref="E1412:F1412"/>
    <mergeCell ref="I1412:O1412"/>
    <mergeCell ref="P1412:Q1412"/>
    <mergeCell ref="R1412:Z1412"/>
    <mergeCell ref="AB1412:AF1412"/>
    <mergeCell ref="V1400:W1401"/>
    <mergeCell ref="X1400:Y1401"/>
    <mergeCell ref="Z1400:Z1402"/>
    <mergeCell ref="AA1400:AA1402"/>
    <mergeCell ref="AB1400:AD1401"/>
    <mergeCell ref="AE1400:AF1401"/>
    <mergeCell ref="I1400:I1401"/>
    <mergeCell ref="J1400:K1401"/>
    <mergeCell ref="L1400:M1401"/>
    <mergeCell ref="N1400:O1401"/>
    <mergeCell ref="P1400:Q1401"/>
    <mergeCell ref="R1400:S1401"/>
    <mergeCell ref="T1400:U1401"/>
    <mergeCell ref="B1403:C1403"/>
    <mergeCell ref="B1404:C1404"/>
    <mergeCell ref="E1401:F1401"/>
    <mergeCell ref="B1402:D1402"/>
    <mergeCell ref="E1402:G1402"/>
    <mergeCell ref="H1402:I1402"/>
    <mergeCell ref="E1403:E1405"/>
    <mergeCell ref="H1403:I1403"/>
    <mergeCell ref="H1404:I1404"/>
    <mergeCell ref="B1409:C1409"/>
    <mergeCell ref="B1410:C1410"/>
    <mergeCell ref="B1414:C1414"/>
    <mergeCell ref="D1414:G1414"/>
    <mergeCell ref="E1415:F1415"/>
    <mergeCell ref="B1401:C1401"/>
    <mergeCell ref="B1405:C1405"/>
    <mergeCell ref="B1406:C1406"/>
    <mergeCell ref="E1406:E1408"/>
    <mergeCell ref="B1407:C1407"/>
    <mergeCell ref="B1408:D1408"/>
    <mergeCell ref="E1409:E1411"/>
    <mergeCell ref="H1405:I1405"/>
    <mergeCell ref="H1406:I1406"/>
    <mergeCell ref="H1407:I1407"/>
    <mergeCell ref="H1408:I1408"/>
    <mergeCell ref="H1409:I1409"/>
    <mergeCell ref="H1410:I1410"/>
    <mergeCell ref="H1411:I1411"/>
    <mergeCell ref="J1429:Z1429"/>
    <mergeCell ref="AA1429:AF1429"/>
    <mergeCell ref="B1426:C1426"/>
    <mergeCell ref="B1427:C1427"/>
    <mergeCell ref="E1427:F1427"/>
    <mergeCell ref="I1427:O1427"/>
    <mergeCell ref="P1427:Q1427"/>
    <mergeCell ref="R1427:Z1427"/>
    <mergeCell ref="AB1427:AF1427"/>
    <mergeCell ref="V1415:W1416"/>
    <mergeCell ref="X1415:Y1416"/>
    <mergeCell ref="Z1415:Z1417"/>
    <mergeCell ref="AA1415:AA1417"/>
    <mergeCell ref="AB1415:AD1416"/>
    <mergeCell ref="AE1415:AF1416"/>
    <mergeCell ref="I1415:I1416"/>
    <mergeCell ref="J1415:K1416"/>
    <mergeCell ref="L1415:M1416"/>
    <mergeCell ref="N1415:O1416"/>
    <mergeCell ref="P1415:Q1416"/>
    <mergeCell ref="R1415:S1416"/>
    <mergeCell ref="T1415:U1416"/>
    <mergeCell ref="B1418:C1418"/>
    <mergeCell ref="B1419:C1419"/>
    <mergeCell ref="E1416:F1416"/>
    <mergeCell ref="B1417:D1417"/>
    <mergeCell ref="E1417:G1417"/>
    <mergeCell ref="H1417:I1417"/>
    <mergeCell ref="E1418:E1420"/>
    <mergeCell ref="H1418:I1418"/>
    <mergeCell ref="H1419:I1419"/>
    <mergeCell ref="B1424:C1424"/>
    <mergeCell ref="B1425:C1425"/>
    <mergeCell ref="B1429:C1429"/>
    <mergeCell ref="D1429:G1429"/>
    <mergeCell ref="E1430:F1430"/>
    <mergeCell ref="B1416:C1416"/>
    <mergeCell ref="B1420:C1420"/>
    <mergeCell ref="B1421:C1421"/>
    <mergeCell ref="E1421:E1423"/>
    <mergeCell ref="B1422:C1422"/>
    <mergeCell ref="B1423:D1423"/>
    <mergeCell ref="E1424:E1426"/>
    <mergeCell ref="H1420:I1420"/>
    <mergeCell ref="H1421:I1421"/>
    <mergeCell ref="H1422:I1422"/>
    <mergeCell ref="H1423:I1423"/>
    <mergeCell ref="H1424:I1424"/>
    <mergeCell ref="H1425:I1425"/>
    <mergeCell ref="H1426:I1426"/>
    <mergeCell ref="J1444:Z1444"/>
    <mergeCell ref="AA1444:AF1444"/>
    <mergeCell ref="B1441:C1441"/>
    <mergeCell ref="B1442:C1442"/>
    <mergeCell ref="E1442:F1442"/>
    <mergeCell ref="I1442:O1442"/>
    <mergeCell ref="P1442:Q1442"/>
    <mergeCell ref="R1442:Z1442"/>
    <mergeCell ref="AB1442:AF1442"/>
    <mergeCell ref="V1430:W1431"/>
    <mergeCell ref="X1430:Y1431"/>
    <mergeCell ref="Z1430:Z1432"/>
    <mergeCell ref="AA1430:AA1432"/>
    <mergeCell ref="AB1430:AD1431"/>
    <mergeCell ref="AE1430:AF1431"/>
    <mergeCell ref="I1430:I1431"/>
    <mergeCell ref="J1430:K1431"/>
    <mergeCell ref="L1430:M1431"/>
    <mergeCell ref="N1430:O1431"/>
    <mergeCell ref="P1430:Q1431"/>
    <mergeCell ref="R1430:S1431"/>
    <mergeCell ref="T1430:U1431"/>
    <mergeCell ref="B1433:C1433"/>
    <mergeCell ref="B1434:C1434"/>
    <mergeCell ref="E1431:F1431"/>
    <mergeCell ref="B1432:D1432"/>
    <mergeCell ref="E1432:G1432"/>
    <mergeCell ref="H1432:I1432"/>
    <mergeCell ref="E1433:E1435"/>
    <mergeCell ref="H1433:I1433"/>
    <mergeCell ref="H1434:I1434"/>
    <mergeCell ref="B1439:C1439"/>
    <mergeCell ref="B1440:C1440"/>
    <mergeCell ref="B1444:C1444"/>
    <mergeCell ref="D1444:G1444"/>
    <mergeCell ref="E1445:F1445"/>
    <mergeCell ref="B1431:C1431"/>
    <mergeCell ref="B1435:C1435"/>
    <mergeCell ref="B1436:C1436"/>
    <mergeCell ref="E1436:E1438"/>
    <mergeCell ref="B1437:C1437"/>
    <mergeCell ref="B1438:D1438"/>
    <mergeCell ref="E1439:E1441"/>
    <mergeCell ref="H1435:I1435"/>
    <mergeCell ref="H1436:I1436"/>
    <mergeCell ref="H1437:I1437"/>
    <mergeCell ref="H1438:I1438"/>
    <mergeCell ref="H1439:I1439"/>
    <mergeCell ref="H1440:I1440"/>
    <mergeCell ref="H1441:I1441"/>
    <mergeCell ref="J1459:Z1459"/>
    <mergeCell ref="AA1459:AF1459"/>
    <mergeCell ref="B1456:C1456"/>
    <mergeCell ref="B1457:C1457"/>
    <mergeCell ref="E1457:F1457"/>
    <mergeCell ref="I1457:O1457"/>
    <mergeCell ref="P1457:Q1457"/>
    <mergeCell ref="R1457:Z1457"/>
    <mergeCell ref="AB1457:AF1457"/>
    <mergeCell ref="V1445:W1446"/>
    <mergeCell ref="X1445:Y1446"/>
    <mergeCell ref="Z1445:Z1447"/>
    <mergeCell ref="AA1445:AA1447"/>
    <mergeCell ref="AB1445:AD1446"/>
    <mergeCell ref="AE1445:AF1446"/>
    <mergeCell ref="I1445:I1446"/>
    <mergeCell ref="J1445:K1446"/>
    <mergeCell ref="L1445:M1446"/>
    <mergeCell ref="N1445:O1446"/>
    <mergeCell ref="P1445:Q1446"/>
    <mergeCell ref="R1445:S1446"/>
    <mergeCell ref="T1445:U1446"/>
    <mergeCell ref="B1448:C1448"/>
    <mergeCell ref="B1449:C1449"/>
    <mergeCell ref="E1446:F1446"/>
    <mergeCell ref="B1447:D1447"/>
    <mergeCell ref="E1447:G1447"/>
    <mergeCell ref="H1447:I1447"/>
    <mergeCell ref="E1448:E1450"/>
    <mergeCell ref="H1448:I1448"/>
    <mergeCell ref="H1449:I1449"/>
    <mergeCell ref="B1454:C1454"/>
    <mergeCell ref="B1455:C1455"/>
    <mergeCell ref="B1459:C1459"/>
    <mergeCell ref="D1459:G1459"/>
    <mergeCell ref="E1460:F1460"/>
    <mergeCell ref="B1446:C1446"/>
    <mergeCell ref="B1450:C1450"/>
    <mergeCell ref="B1451:C1451"/>
    <mergeCell ref="E1451:E1453"/>
    <mergeCell ref="B1452:C1452"/>
    <mergeCell ref="B1453:D1453"/>
    <mergeCell ref="E1454:E1456"/>
    <mergeCell ref="H1450:I1450"/>
    <mergeCell ref="H1451:I1451"/>
    <mergeCell ref="H1452:I1452"/>
    <mergeCell ref="H1453:I1453"/>
    <mergeCell ref="H1454:I1454"/>
    <mergeCell ref="H1455:I1455"/>
    <mergeCell ref="H1456:I1456"/>
    <mergeCell ref="J1474:Z1474"/>
    <mergeCell ref="AA1474:AF1474"/>
    <mergeCell ref="B1471:C1471"/>
    <mergeCell ref="B1472:C1472"/>
    <mergeCell ref="E1472:F1472"/>
    <mergeCell ref="I1472:O1472"/>
    <mergeCell ref="P1472:Q1472"/>
    <mergeCell ref="R1472:Z1472"/>
    <mergeCell ref="AB1472:AF1472"/>
    <mergeCell ref="V1460:W1461"/>
    <mergeCell ref="X1460:Y1461"/>
    <mergeCell ref="Z1460:Z1462"/>
    <mergeCell ref="AA1460:AA1462"/>
    <mergeCell ref="AB1460:AD1461"/>
    <mergeCell ref="AE1460:AF1461"/>
    <mergeCell ref="I1460:I1461"/>
    <mergeCell ref="J1460:K1461"/>
    <mergeCell ref="L1460:M1461"/>
    <mergeCell ref="N1460:O1461"/>
    <mergeCell ref="P1460:Q1461"/>
    <mergeCell ref="R1460:S1461"/>
    <mergeCell ref="T1460:U1461"/>
    <mergeCell ref="B1463:C1463"/>
    <mergeCell ref="B1464:C1464"/>
    <mergeCell ref="E1461:F1461"/>
    <mergeCell ref="B1462:D1462"/>
    <mergeCell ref="E1462:G1462"/>
    <mergeCell ref="H1462:I1462"/>
    <mergeCell ref="E1463:E1465"/>
    <mergeCell ref="H1463:I1463"/>
    <mergeCell ref="H1464:I1464"/>
    <mergeCell ref="B1469:C1469"/>
    <mergeCell ref="B1470:C1470"/>
    <mergeCell ref="B1474:C1474"/>
    <mergeCell ref="D1474:G1474"/>
    <mergeCell ref="E1475:F1475"/>
    <mergeCell ref="B1461:C1461"/>
    <mergeCell ref="B1465:C1465"/>
    <mergeCell ref="B1466:C1466"/>
    <mergeCell ref="E1466:E1468"/>
    <mergeCell ref="B1467:C1467"/>
    <mergeCell ref="B1468:D1468"/>
    <mergeCell ref="E1469:E1471"/>
    <mergeCell ref="H1465:I1465"/>
    <mergeCell ref="H1466:I1466"/>
    <mergeCell ref="H1467:I1467"/>
    <mergeCell ref="H1468:I1468"/>
    <mergeCell ref="H1469:I1469"/>
    <mergeCell ref="H1470:I1470"/>
    <mergeCell ref="H1471:I1471"/>
    <mergeCell ref="J1489:Z1489"/>
    <mergeCell ref="AA1489:AF1489"/>
    <mergeCell ref="B1486:C1486"/>
    <mergeCell ref="B1487:C1487"/>
    <mergeCell ref="E1487:F1487"/>
    <mergeCell ref="I1487:O1487"/>
    <mergeCell ref="P1487:Q1487"/>
    <mergeCell ref="R1487:Z1487"/>
    <mergeCell ref="AB1487:AF1487"/>
    <mergeCell ref="V1475:W1476"/>
    <mergeCell ref="X1475:Y1476"/>
    <mergeCell ref="Z1475:Z1477"/>
    <mergeCell ref="AA1475:AA1477"/>
    <mergeCell ref="AB1475:AD1476"/>
    <mergeCell ref="AE1475:AF1476"/>
    <mergeCell ref="I1475:I1476"/>
    <mergeCell ref="J1475:K1476"/>
    <mergeCell ref="L1475:M1476"/>
    <mergeCell ref="N1475:O1476"/>
    <mergeCell ref="P1475:Q1476"/>
    <mergeCell ref="R1475:S1476"/>
    <mergeCell ref="T1475:U1476"/>
    <mergeCell ref="B1478:C1478"/>
    <mergeCell ref="B1479:C1479"/>
    <mergeCell ref="E1476:F1476"/>
    <mergeCell ref="B1477:D1477"/>
    <mergeCell ref="E1477:G1477"/>
    <mergeCell ref="H1477:I1477"/>
    <mergeCell ref="E1478:E1480"/>
    <mergeCell ref="H1478:I1478"/>
    <mergeCell ref="H1479:I1479"/>
    <mergeCell ref="B1484:C1484"/>
    <mergeCell ref="B1485:C1485"/>
    <mergeCell ref="B1489:C1489"/>
    <mergeCell ref="D1489:G1489"/>
    <mergeCell ref="E1490:F1490"/>
    <mergeCell ref="B1476:C1476"/>
    <mergeCell ref="B1480:C1480"/>
    <mergeCell ref="B1481:C1481"/>
    <mergeCell ref="E1481:E1483"/>
    <mergeCell ref="B1482:C1482"/>
    <mergeCell ref="B1483:D1483"/>
    <mergeCell ref="E1484:E1486"/>
    <mergeCell ref="H1480:I1480"/>
    <mergeCell ref="H1481:I1481"/>
    <mergeCell ref="H1482:I1482"/>
    <mergeCell ref="H1483:I1483"/>
    <mergeCell ref="H1484:I1484"/>
    <mergeCell ref="H1485:I1485"/>
    <mergeCell ref="H1486:I1486"/>
    <mergeCell ref="J1504:Z1504"/>
    <mergeCell ref="AA1504:AF1504"/>
    <mergeCell ref="B1501:C1501"/>
    <mergeCell ref="B1502:C1502"/>
    <mergeCell ref="E1502:F1502"/>
    <mergeCell ref="I1502:O1502"/>
    <mergeCell ref="P1502:Q1502"/>
    <mergeCell ref="R1502:Z1502"/>
    <mergeCell ref="AB1502:AF1502"/>
    <mergeCell ref="V1490:W1491"/>
    <mergeCell ref="X1490:Y1491"/>
    <mergeCell ref="Z1490:Z1492"/>
    <mergeCell ref="AA1490:AA1492"/>
    <mergeCell ref="AB1490:AD1491"/>
    <mergeCell ref="AE1490:AF1491"/>
    <mergeCell ref="I1490:I1491"/>
    <mergeCell ref="J1490:K1491"/>
    <mergeCell ref="L1490:M1491"/>
    <mergeCell ref="N1490:O1491"/>
    <mergeCell ref="P1490:Q1491"/>
    <mergeCell ref="R1490:S1491"/>
    <mergeCell ref="T1490:U1491"/>
    <mergeCell ref="B1493:C1493"/>
    <mergeCell ref="B1494:C1494"/>
    <mergeCell ref="E1491:F1491"/>
    <mergeCell ref="B1492:D1492"/>
    <mergeCell ref="E1492:G1492"/>
    <mergeCell ref="H1492:I1492"/>
    <mergeCell ref="E1493:E1495"/>
    <mergeCell ref="H1493:I1493"/>
    <mergeCell ref="H1494:I1494"/>
    <mergeCell ref="B1499:C1499"/>
    <mergeCell ref="B1500:C1500"/>
    <mergeCell ref="B1504:C1504"/>
    <mergeCell ref="D1504:G1504"/>
    <mergeCell ref="E1505:F1505"/>
    <mergeCell ref="B1491:C1491"/>
    <mergeCell ref="B1495:C1495"/>
    <mergeCell ref="B1496:C1496"/>
    <mergeCell ref="E1496:E1498"/>
    <mergeCell ref="B1497:C1497"/>
    <mergeCell ref="B1498:D1498"/>
    <mergeCell ref="E1499:E1501"/>
    <mergeCell ref="H1495:I1495"/>
    <mergeCell ref="H1496:I1496"/>
    <mergeCell ref="H1497:I1497"/>
    <mergeCell ref="H1498:I1498"/>
    <mergeCell ref="H1499:I1499"/>
    <mergeCell ref="H1500:I1500"/>
    <mergeCell ref="H1501:I1501"/>
    <mergeCell ref="J1519:Z1519"/>
    <mergeCell ref="AA1519:AF1519"/>
    <mergeCell ref="B1516:C1516"/>
    <mergeCell ref="B1517:C1517"/>
    <mergeCell ref="E1517:F1517"/>
    <mergeCell ref="I1517:O1517"/>
    <mergeCell ref="P1517:Q1517"/>
    <mergeCell ref="R1517:Z1517"/>
    <mergeCell ref="AB1517:AF1517"/>
    <mergeCell ref="V1505:W1506"/>
    <mergeCell ref="X1505:Y1506"/>
    <mergeCell ref="Z1505:Z1507"/>
    <mergeCell ref="AA1505:AA1507"/>
    <mergeCell ref="AB1505:AD1506"/>
    <mergeCell ref="AE1505:AF1506"/>
    <mergeCell ref="I1505:I1506"/>
    <mergeCell ref="J1505:K1506"/>
    <mergeCell ref="L1505:M1506"/>
    <mergeCell ref="N1505:O1506"/>
    <mergeCell ref="P1505:Q1506"/>
    <mergeCell ref="R1505:S1506"/>
    <mergeCell ref="T1505:U1506"/>
    <mergeCell ref="B1508:C1508"/>
    <mergeCell ref="B1509:C1509"/>
    <mergeCell ref="E1506:F1506"/>
    <mergeCell ref="B1507:D1507"/>
    <mergeCell ref="E1507:G1507"/>
    <mergeCell ref="H1507:I1507"/>
    <mergeCell ref="E1508:E1510"/>
    <mergeCell ref="H1508:I1508"/>
    <mergeCell ref="H1509:I1509"/>
    <mergeCell ref="B1514:C1514"/>
    <mergeCell ref="B1515:C1515"/>
    <mergeCell ref="B1519:C1519"/>
    <mergeCell ref="D1519:G1519"/>
    <mergeCell ref="E1520:F1520"/>
    <mergeCell ref="B1506:C1506"/>
    <mergeCell ref="B1510:C1510"/>
    <mergeCell ref="B1511:C1511"/>
    <mergeCell ref="E1511:E1513"/>
    <mergeCell ref="B1512:C1512"/>
    <mergeCell ref="B1513:D1513"/>
    <mergeCell ref="E1514:E1516"/>
    <mergeCell ref="H1510:I1510"/>
    <mergeCell ref="H1511:I1511"/>
    <mergeCell ref="H1512:I1512"/>
    <mergeCell ref="H1513:I1513"/>
    <mergeCell ref="H1514:I1514"/>
    <mergeCell ref="H1515:I1515"/>
    <mergeCell ref="H1516:I1516"/>
    <mergeCell ref="J1534:Z1534"/>
    <mergeCell ref="AA1534:AF1534"/>
    <mergeCell ref="B1531:C1531"/>
    <mergeCell ref="B1532:C1532"/>
    <mergeCell ref="E1532:F1532"/>
    <mergeCell ref="I1532:O1532"/>
    <mergeCell ref="P1532:Q1532"/>
    <mergeCell ref="R1532:Z1532"/>
    <mergeCell ref="AB1532:AF1532"/>
    <mergeCell ref="V1520:W1521"/>
    <mergeCell ref="X1520:Y1521"/>
    <mergeCell ref="Z1520:Z1522"/>
    <mergeCell ref="AA1520:AA1522"/>
    <mergeCell ref="AB1520:AD1521"/>
    <mergeCell ref="AE1520:AF1521"/>
    <mergeCell ref="I1520:I1521"/>
    <mergeCell ref="J1520:K1521"/>
    <mergeCell ref="L1520:M1521"/>
    <mergeCell ref="N1520:O1521"/>
    <mergeCell ref="P1520:Q1521"/>
    <mergeCell ref="R1520:S1521"/>
    <mergeCell ref="T1520:U1521"/>
    <mergeCell ref="B1523:C1523"/>
    <mergeCell ref="B1524:C1524"/>
    <mergeCell ref="E1521:F1521"/>
    <mergeCell ref="B1522:D1522"/>
    <mergeCell ref="E1522:G1522"/>
    <mergeCell ref="H1522:I1522"/>
    <mergeCell ref="E1523:E1525"/>
    <mergeCell ref="H1523:I1523"/>
    <mergeCell ref="H1524:I1524"/>
    <mergeCell ref="B1529:C1529"/>
    <mergeCell ref="B1530:C1530"/>
    <mergeCell ref="B1534:C1534"/>
    <mergeCell ref="D1534:G1534"/>
    <mergeCell ref="E1535:F1535"/>
    <mergeCell ref="B1521:C1521"/>
    <mergeCell ref="B1525:C1525"/>
    <mergeCell ref="B1526:C1526"/>
    <mergeCell ref="E1526:E1528"/>
    <mergeCell ref="B1527:C1527"/>
    <mergeCell ref="B1528:D1528"/>
    <mergeCell ref="E1529:E1531"/>
    <mergeCell ref="H1525:I1525"/>
    <mergeCell ref="H1526:I1526"/>
    <mergeCell ref="H1527:I1527"/>
    <mergeCell ref="H1528:I1528"/>
    <mergeCell ref="H1529:I1529"/>
    <mergeCell ref="H1530:I1530"/>
    <mergeCell ref="H1531:I1531"/>
    <mergeCell ref="J1549:Z1549"/>
    <mergeCell ref="AA1549:AF1549"/>
    <mergeCell ref="B1546:C1546"/>
    <mergeCell ref="B1547:C1547"/>
    <mergeCell ref="E1547:F1547"/>
    <mergeCell ref="I1547:O1547"/>
    <mergeCell ref="P1547:Q1547"/>
    <mergeCell ref="R1547:Z1547"/>
    <mergeCell ref="AB1547:AF1547"/>
    <mergeCell ref="V1535:W1536"/>
    <mergeCell ref="X1535:Y1536"/>
    <mergeCell ref="Z1535:Z1537"/>
    <mergeCell ref="AA1535:AA1537"/>
    <mergeCell ref="AB1535:AD1536"/>
    <mergeCell ref="AE1535:AF1536"/>
    <mergeCell ref="I1535:I1536"/>
    <mergeCell ref="J1535:K1536"/>
    <mergeCell ref="L1535:M1536"/>
    <mergeCell ref="N1535:O1536"/>
    <mergeCell ref="P1535:Q1536"/>
    <mergeCell ref="R1535:S1536"/>
    <mergeCell ref="T1535:U1536"/>
    <mergeCell ref="B1538:C1538"/>
    <mergeCell ref="B1539:C1539"/>
    <mergeCell ref="E1536:F1536"/>
    <mergeCell ref="B1537:D1537"/>
    <mergeCell ref="E1537:G1537"/>
    <mergeCell ref="H1537:I1537"/>
    <mergeCell ref="E1538:E1540"/>
    <mergeCell ref="H1538:I1538"/>
    <mergeCell ref="H1539:I1539"/>
    <mergeCell ref="B1544:C1544"/>
    <mergeCell ref="B1545:C1545"/>
    <mergeCell ref="B1549:C1549"/>
    <mergeCell ref="D1549:G1549"/>
    <mergeCell ref="E1550:F1550"/>
    <mergeCell ref="B1536:C1536"/>
    <mergeCell ref="B1540:C1540"/>
    <mergeCell ref="B1541:C1541"/>
    <mergeCell ref="E1541:E1543"/>
    <mergeCell ref="B1542:C1542"/>
    <mergeCell ref="B1543:D1543"/>
    <mergeCell ref="E1544:E1546"/>
    <mergeCell ref="H1540:I1540"/>
    <mergeCell ref="H1541:I1541"/>
    <mergeCell ref="H1542:I1542"/>
    <mergeCell ref="H1543:I1543"/>
    <mergeCell ref="H1544:I1544"/>
    <mergeCell ref="H1545:I1545"/>
    <mergeCell ref="H1546:I1546"/>
    <mergeCell ref="J1564:Z1564"/>
    <mergeCell ref="AA1564:AF1564"/>
    <mergeCell ref="B1561:C1561"/>
    <mergeCell ref="B1562:C1562"/>
    <mergeCell ref="E1562:F1562"/>
    <mergeCell ref="I1562:O1562"/>
    <mergeCell ref="P1562:Q1562"/>
    <mergeCell ref="R1562:Z1562"/>
    <mergeCell ref="AB1562:AF1562"/>
    <mergeCell ref="V1550:W1551"/>
    <mergeCell ref="X1550:Y1551"/>
    <mergeCell ref="Z1550:Z1552"/>
    <mergeCell ref="AA1550:AA1552"/>
    <mergeCell ref="AB1550:AD1551"/>
    <mergeCell ref="AE1550:AF1551"/>
    <mergeCell ref="I1550:I1551"/>
    <mergeCell ref="J1550:K1551"/>
    <mergeCell ref="L1550:M1551"/>
    <mergeCell ref="N1550:O1551"/>
    <mergeCell ref="P1550:Q1551"/>
    <mergeCell ref="R1550:S1551"/>
    <mergeCell ref="T1550:U1551"/>
    <mergeCell ref="B1553:C1553"/>
    <mergeCell ref="B1554:C1554"/>
    <mergeCell ref="E1551:F1551"/>
    <mergeCell ref="B1552:D1552"/>
    <mergeCell ref="E1552:G1552"/>
    <mergeCell ref="H1552:I1552"/>
    <mergeCell ref="E1553:E1555"/>
    <mergeCell ref="H1553:I1553"/>
    <mergeCell ref="H1554:I1554"/>
    <mergeCell ref="B1559:C1559"/>
    <mergeCell ref="B1560:C1560"/>
    <mergeCell ref="B1564:C1564"/>
    <mergeCell ref="D1564:G1564"/>
    <mergeCell ref="E1565:F1565"/>
    <mergeCell ref="B1551:C1551"/>
    <mergeCell ref="B1555:C1555"/>
    <mergeCell ref="B1556:C1556"/>
    <mergeCell ref="E1556:E1558"/>
    <mergeCell ref="B1557:C1557"/>
    <mergeCell ref="B1558:D1558"/>
    <mergeCell ref="E1559:E1561"/>
    <mergeCell ref="H1555:I1555"/>
    <mergeCell ref="H1556:I1556"/>
    <mergeCell ref="H1557:I1557"/>
    <mergeCell ref="H1558:I1558"/>
    <mergeCell ref="H1559:I1559"/>
    <mergeCell ref="H1560:I1560"/>
    <mergeCell ref="H1561:I1561"/>
    <mergeCell ref="J2314:Z2314"/>
    <mergeCell ref="AA2314:AF2314"/>
    <mergeCell ref="B2311:C2311"/>
    <mergeCell ref="B2312:C2312"/>
    <mergeCell ref="E2312:F2312"/>
    <mergeCell ref="I2312:O2312"/>
    <mergeCell ref="P2312:Q2312"/>
    <mergeCell ref="R2312:Z2312"/>
    <mergeCell ref="AB2312:AF2312"/>
    <mergeCell ref="V2300:W2301"/>
    <mergeCell ref="X2300:Y2301"/>
    <mergeCell ref="Z2300:Z2302"/>
    <mergeCell ref="AA2300:AA2302"/>
    <mergeCell ref="AB2300:AD2301"/>
    <mergeCell ref="AE2300:AF2301"/>
    <mergeCell ref="I2300:I2301"/>
    <mergeCell ref="J2300:K2301"/>
    <mergeCell ref="L2300:M2301"/>
    <mergeCell ref="N2300:O2301"/>
    <mergeCell ref="P2300:Q2301"/>
    <mergeCell ref="R2300:S2301"/>
    <mergeCell ref="T2300:U2301"/>
    <mergeCell ref="B2303:C2303"/>
    <mergeCell ref="B2304:C2304"/>
    <mergeCell ref="E2301:F2301"/>
    <mergeCell ref="B2302:D2302"/>
    <mergeCell ref="E2302:G2302"/>
    <mergeCell ref="H2302:I2302"/>
    <mergeCell ref="E2303:E2305"/>
    <mergeCell ref="H2303:I2303"/>
    <mergeCell ref="H2304:I2304"/>
    <mergeCell ref="B2309:C2309"/>
    <mergeCell ref="B2310:C2310"/>
    <mergeCell ref="B2314:C2314"/>
    <mergeCell ref="D2314:G2314"/>
    <mergeCell ref="E2315:F2315"/>
    <mergeCell ref="B2301:C2301"/>
    <mergeCell ref="B2305:C2305"/>
    <mergeCell ref="B2306:C2306"/>
    <mergeCell ref="E2306:E2308"/>
    <mergeCell ref="B2307:C2307"/>
    <mergeCell ref="B2308:D2308"/>
    <mergeCell ref="E2309:E2311"/>
    <mergeCell ref="H2305:I2305"/>
    <mergeCell ref="H2306:I2306"/>
    <mergeCell ref="H2307:I2307"/>
    <mergeCell ref="H2308:I2308"/>
    <mergeCell ref="H2309:I2309"/>
    <mergeCell ref="H2310:I2310"/>
    <mergeCell ref="H2311:I2311"/>
    <mergeCell ref="J2329:Z2329"/>
    <mergeCell ref="AA2329:AF2329"/>
    <mergeCell ref="B2326:C2326"/>
    <mergeCell ref="B2327:C2327"/>
    <mergeCell ref="E2327:F2327"/>
    <mergeCell ref="I2327:O2327"/>
    <mergeCell ref="P2327:Q2327"/>
    <mergeCell ref="R2327:Z2327"/>
    <mergeCell ref="AB2327:AF2327"/>
    <mergeCell ref="V2315:W2316"/>
    <mergeCell ref="X2315:Y2316"/>
    <mergeCell ref="Z2315:Z2317"/>
    <mergeCell ref="AA2315:AA2317"/>
    <mergeCell ref="AB2315:AD2316"/>
    <mergeCell ref="AE2315:AF2316"/>
    <mergeCell ref="I2315:I2316"/>
    <mergeCell ref="J2315:K2316"/>
    <mergeCell ref="L2315:M2316"/>
    <mergeCell ref="N2315:O2316"/>
    <mergeCell ref="P2315:Q2316"/>
    <mergeCell ref="R2315:S2316"/>
    <mergeCell ref="T2315:U2316"/>
    <mergeCell ref="B2318:C2318"/>
    <mergeCell ref="B2319:C2319"/>
    <mergeCell ref="E2316:F2316"/>
    <mergeCell ref="B2317:D2317"/>
    <mergeCell ref="E2317:G2317"/>
    <mergeCell ref="H2317:I2317"/>
    <mergeCell ref="E2318:E2320"/>
    <mergeCell ref="H2318:I2318"/>
    <mergeCell ref="H2319:I2319"/>
    <mergeCell ref="B2324:C2324"/>
    <mergeCell ref="B2325:C2325"/>
    <mergeCell ref="B2329:C2329"/>
    <mergeCell ref="D2329:G2329"/>
    <mergeCell ref="E2330:F2330"/>
    <mergeCell ref="B2316:C2316"/>
    <mergeCell ref="B2320:C2320"/>
    <mergeCell ref="B2321:C2321"/>
    <mergeCell ref="E2321:E2323"/>
    <mergeCell ref="B2322:C2322"/>
    <mergeCell ref="B2323:D2323"/>
    <mergeCell ref="E2324:E2326"/>
    <mergeCell ref="H2320:I2320"/>
    <mergeCell ref="H2321:I2321"/>
    <mergeCell ref="H2322:I2322"/>
    <mergeCell ref="H2323:I2323"/>
    <mergeCell ref="H2324:I2324"/>
    <mergeCell ref="H2325:I2325"/>
    <mergeCell ref="H2326:I2326"/>
    <mergeCell ref="J2344:Z2344"/>
    <mergeCell ref="AA2344:AF2344"/>
    <mergeCell ref="B2341:C2341"/>
    <mergeCell ref="B2342:C2342"/>
    <mergeCell ref="E2342:F2342"/>
    <mergeCell ref="I2342:O2342"/>
    <mergeCell ref="P2342:Q2342"/>
    <mergeCell ref="R2342:Z2342"/>
    <mergeCell ref="AB2342:AF2342"/>
    <mergeCell ref="V2330:W2331"/>
    <mergeCell ref="X2330:Y2331"/>
    <mergeCell ref="Z2330:Z2332"/>
    <mergeCell ref="AA2330:AA2332"/>
    <mergeCell ref="AB2330:AD2331"/>
    <mergeCell ref="AE2330:AF2331"/>
    <mergeCell ref="I2330:I2331"/>
    <mergeCell ref="J2330:K2331"/>
    <mergeCell ref="L2330:M2331"/>
    <mergeCell ref="N2330:O2331"/>
    <mergeCell ref="P2330:Q2331"/>
    <mergeCell ref="R2330:S2331"/>
    <mergeCell ref="T2330:U2331"/>
    <mergeCell ref="B2333:C2333"/>
    <mergeCell ref="B2334:C2334"/>
    <mergeCell ref="E2331:F2331"/>
    <mergeCell ref="B2332:D2332"/>
    <mergeCell ref="E2332:G2332"/>
    <mergeCell ref="H2332:I2332"/>
    <mergeCell ref="E2333:E2335"/>
    <mergeCell ref="H2333:I2333"/>
    <mergeCell ref="H2334:I2334"/>
    <mergeCell ref="B2339:C2339"/>
    <mergeCell ref="B2340:C2340"/>
    <mergeCell ref="B2344:C2344"/>
    <mergeCell ref="D2344:G2344"/>
    <mergeCell ref="E2345:F2345"/>
    <mergeCell ref="B2331:C2331"/>
    <mergeCell ref="B2335:C2335"/>
    <mergeCell ref="B2336:C2336"/>
    <mergeCell ref="E2336:E2338"/>
    <mergeCell ref="B2337:C2337"/>
    <mergeCell ref="B2338:D2338"/>
    <mergeCell ref="E2339:E2341"/>
    <mergeCell ref="H2335:I2335"/>
    <mergeCell ref="H2336:I2336"/>
    <mergeCell ref="H2337:I2337"/>
    <mergeCell ref="H2338:I2338"/>
    <mergeCell ref="H2339:I2339"/>
    <mergeCell ref="H2340:I2340"/>
    <mergeCell ref="H2341:I2341"/>
    <mergeCell ref="J2359:Z2359"/>
    <mergeCell ref="AA2359:AF2359"/>
    <mergeCell ref="B2356:C2356"/>
    <mergeCell ref="B2357:C2357"/>
    <mergeCell ref="E2357:F2357"/>
    <mergeCell ref="I2357:O2357"/>
    <mergeCell ref="P2357:Q2357"/>
    <mergeCell ref="R2357:Z2357"/>
    <mergeCell ref="AB2357:AF2357"/>
    <mergeCell ref="V2345:W2346"/>
    <mergeCell ref="X2345:Y2346"/>
    <mergeCell ref="Z2345:Z2347"/>
    <mergeCell ref="AA2345:AA2347"/>
    <mergeCell ref="AB2345:AD2346"/>
    <mergeCell ref="AE2345:AF2346"/>
    <mergeCell ref="I2345:I2346"/>
    <mergeCell ref="J2345:K2346"/>
    <mergeCell ref="L2345:M2346"/>
    <mergeCell ref="N2345:O2346"/>
    <mergeCell ref="P2345:Q2346"/>
    <mergeCell ref="R2345:S2346"/>
    <mergeCell ref="T2345:U2346"/>
    <mergeCell ref="B2348:C2348"/>
    <mergeCell ref="B2349:C2349"/>
    <mergeCell ref="E2346:F2346"/>
    <mergeCell ref="B2347:D2347"/>
    <mergeCell ref="E2347:G2347"/>
    <mergeCell ref="H2347:I2347"/>
    <mergeCell ref="E2348:E2350"/>
    <mergeCell ref="H2348:I2348"/>
    <mergeCell ref="H2349:I2349"/>
    <mergeCell ref="B2354:C2354"/>
    <mergeCell ref="B2355:C2355"/>
    <mergeCell ref="B2359:C2359"/>
    <mergeCell ref="D2359:G2359"/>
    <mergeCell ref="E2360:F2360"/>
    <mergeCell ref="B2346:C2346"/>
    <mergeCell ref="B2350:C2350"/>
    <mergeCell ref="B2351:C2351"/>
    <mergeCell ref="E2351:E2353"/>
    <mergeCell ref="B2352:C2352"/>
    <mergeCell ref="B2353:D2353"/>
    <mergeCell ref="E2354:E2356"/>
    <mergeCell ref="H2350:I2350"/>
    <mergeCell ref="H2351:I2351"/>
    <mergeCell ref="H2352:I2352"/>
    <mergeCell ref="H2353:I2353"/>
    <mergeCell ref="H2354:I2354"/>
    <mergeCell ref="H2355:I2355"/>
    <mergeCell ref="H2356:I2356"/>
    <mergeCell ref="J2374:Z2374"/>
    <mergeCell ref="AA2374:AF2374"/>
    <mergeCell ref="B2371:C2371"/>
    <mergeCell ref="B2372:C2372"/>
    <mergeCell ref="E2372:F2372"/>
    <mergeCell ref="I2372:O2372"/>
    <mergeCell ref="P2372:Q2372"/>
    <mergeCell ref="R2372:Z2372"/>
    <mergeCell ref="AB2372:AF2372"/>
    <mergeCell ref="V2360:W2361"/>
    <mergeCell ref="X2360:Y2361"/>
    <mergeCell ref="Z2360:Z2362"/>
    <mergeCell ref="AA2360:AA2362"/>
    <mergeCell ref="AB2360:AD2361"/>
    <mergeCell ref="AE2360:AF2361"/>
    <mergeCell ref="I2360:I2361"/>
    <mergeCell ref="J2360:K2361"/>
    <mergeCell ref="L2360:M2361"/>
    <mergeCell ref="N2360:O2361"/>
    <mergeCell ref="P2360:Q2361"/>
    <mergeCell ref="R2360:S2361"/>
    <mergeCell ref="T2360:U2361"/>
    <mergeCell ref="B2363:C2363"/>
    <mergeCell ref="B2364:C2364"/>
    <mergeCell ref="E2361:F2361"/>
    <mergeCell ref="B2362:D2362"/>
    <mergeCell ref="E2362:G2362"/>
    <mergeCell ref="H2362:I2362"/>
    <mergeCell ref="E2363:E2365"/>
    <mergeCell ref="H2363:I2363"/>
    <mergeCell ref="H2364:I2364"/>
    <mergeCell ref="B2369:C2369"/>
    <mergeCell ref="B2370:C2370"/>
    <mergeCell ref="B2374:C2374"/>
    <mergeCell ref="D2374:G2374"/>
    <mergeCell ref="E2375:F2375"/>
    <mergeCell ref="B2361:C2361"/>
    <mergeCell ref="B2365:C2365"/>
    <mergeCell ref="B2366:C2366"/>
    <mergeCell ref="E2366:E2368"/>
    <mergeCell ref="B2367:C2367"/>
    <mergeCell ref="B2368:D2368"/>
    <mergeCell ref="E2369:E2371"/>
    <mergeCell ref="H2365:I2365"/>
    <mergeCell ref="H2366:I2366"/>
    <mergeCell ref="H2367:I2367"/>
    <mergeCell ref="H2368:I2368"/>
    <mergeCell ref="H2369:I2369"/>
    <mergeCell ref="H2370:I2370"/>
    <mergeCell ref="H2371:I2371"/>
    <mergeCell ref="J2389:Z2389"/>
    <mergeCell ref="AA2389:AF2389"/>
    <mergeCell ref="B2386:C2386"/>
    <mergeCell ref="B2387:C2387"/>
    <mergeCell ref="E2387:F2387"/>
    <mergeCell ref="I2387:O2387"/>
    <mergeCell ref="P2387:Q2387"/>
    <mergeCell ref="R2387:Z2387"/>
    <mergeCell ref="AB2387:AF2387"/>
    <mergeCell ref="V2375:W2376"/>
    <mergeCell ref="X2375:Y2376"/>
    <mergeCell ref="Z2375:Z2377"/>
    <mergeCell ref="AA2375:AA2377"/>
    <mergeCell ref="AB2375:AD2376"/>
    <mergeCell ref="AE2375:AF2376"/>
    <mergeCell ref="I2375:I2376"/>
    <mergeCell ref="J2375:K2376"/>
    <mergeCell ref="L2375:M2376"/>
    <mergeCell ref="N2375:O2376"/>
    <mergeCell ref="P2375:Q2376"/>
    <mergeCell ref="R2375:S2376"/>
    <mergeCell ref="T2375:U2376"/>
    <mergeCell ref="B2378:C2378"/>
    <mergeCell ref="B2379:C2379"/>
    <mergeCell ref="E2376:F2376"/>
    <mergeCell ref="B2377:D2377"/>
    <mergeCell ref="E2377:G2377"/>
    <mergeCell ref="H2377:I2377"/>
    <mergeCell ref="E2378:E2380"/>
    <mergeCell ref="H2378:I2378"/>
    <mergeCell ref="H2379:I2379"/>
    <mergeCell ref="B2384:C2384"/>
    <mergeCell ref="B2385:C2385"/>
    <mergeCell ref="B2389:C2389"/>
    <mergeCell ref="D2389:G2389"/>
    <mergeCell ref="E2390:F2390"/>
    <mergeCell ref="B2376:C2376"/>
    <mergeCell ref="B2380:C2380"/>
    <mergeCell ref="B2381:C2381"/>
    <mergeCell ref="E2381:E2383"/>
    <mergeCell ref="B2382:C2382"/>
    <mergeCell ref="B2383:D2383"/>
    <mergeCell ref="E2384:E2386"/>
    <mergeCell ref="H2380:I2380"/>
    <mergeCell ref="H2381:I2381"/>
    <mergeCell ref="H2382:I2382"/>
    <mergeCell ref="H2383:I2383"/>
    <mergeCell ref="H2384:I2384"/>
    <mergeCell ref="H2385:I2385"/>
    <mergeCell ref="H2386:I2386"/>
    <mergeCell ref="J2404:Z2404"/>
    <mergeCell ref="AA2404:AF2404"/>
    <mergeCell ref="B2401:C2401"/>
    <mergeCell ref="B2402:C2402"/>
    <mergeCell ref="E2402:F2402"/>
    <mergeCell ref="I2402:O2402"/>
    <mergeCell ref="P2402:Q2402"/>
    <mergeCell ref="R2402:Z2402"/>
    <mergeCell ref="AB2402:AF2402"/>
    <mergeCell ref="V2390:W2391"/>
    <mergeCell ref="X2390:Y2391"/>
    <mergeCell ref="Z2390:Z2392"/>
    <mergeCell ref="AA2390:AA2392"/>
    <mergeCell ref="AB2390:AD2391"/>
    <mergeCell ref="AE2390:AF2391"/>
    <mergeCell ref="I2390:I2391"/>
    <mergeCell ref="J2390:K2391"/>
    <mergeCell ref="L2390:M2391"/>
    <mergeCell ref="N2390:O2391"/>
    <mergeCell ref="P2390:Q2391"/>
    <mergeCell ref="R2390:S2391"/>
    <mergeCell ref="T2390:U2391"/>
    <mergeCell ref="B2393:C2393"/>
    <mergeCell ref="B2394:C2394"/>
    <mergeCell ref="E2391:F2391"/>
    <mergeCell ref="B2392:D2392"/>
    <mergeCell ref="E2392:G2392"/>
    <mergeCell ref="H2392:I2392"/>
    <mergeCell ref="E2393:E2395"/>
    <mergeCell ref="H2393:I2393"/>
    <mergeCell ref="H2394:I2394"/>
    <mergeCell ref="B2399:C2399"/>
    <mergeCell ref="B2400:C2400"/>
    <mergeCell ref="B2404:C2404"/>
    <mergeCell ref="D2404:G2404"/>
    <mergeCell ref="E2405:F2405"/>
    <mergeCell ref="B2391:C2391"/>
    <mergeCell ref="B2395:C2395"/>
    <mergeCell ref="B2396:C2396"/>
    <mergeCell ref="E2396:E2398"/>
    <mergeCell ref="B2397:C2397"/>
    <mergeCell ref="B2398:D2398"/>
    <mergeCell ref="E2399:E2401"/>
    <mergeCell ref="H2395:I2395"/>
    <mergeCell ref="H2396:I2396"/>
    <mergeCell ref="H2397:I2397"/>
    <mergeCell ref="H2398:I2398"/>
    <mergeCell ref="H2399:I2399"/>
    <mergeCell ref="H2400:I2400"/>
    <mergeCell ref="H2401:I2401"/>
    <mergeCell ref="J2419:Z2419"/>
    <mergeCell ref="AA2419:AF2419"/>
    <mergeCell ref="B2416:C2416"/>
    <mergeCell ref="B2417:C2417"/>
    <mergeCell ref="E2417:F2417"/>
    <mergeCell ref="I2417:O2417"/>
    <mergeCell ref="P2417:Q2417"/>
    <mergeCell ref="R2417:Z2417"/>
    <mergeCell ref="AB2417:AF2417"/>
    <mergeCell ref="V2405:W2406"/>
    <mergeCell ref="X2405:Y2406"/>
    <mergeCell ref="Z2405:Z2407"/>
    <mergeCell ref="AA2405:AA2407"/>
    <mergeCell ref="AB2405:AD2406"/>
    <mergeCell ref="AE2405:AF2406"/>
    <mergeCell ref="I2405:I2406"/>
    <mergeCell ref="J2405:K2406"/>
    <mergeCell ref="L2405:M2406"/>
    <mergeCell ref="N2405:O2406"/>
    <mergeCell ref="P2405:Q2406"/>
    <mergeCell ref="R2405:S2406"/>
    <mergeCell ref="T2405:U2406"/>
    <mergeCell ref="B2408:C2408"/>
    <mergeCell ref="B2409:C2409"/>
    <mergeCell ref="E2406:F2406"/>
    <mergeCell ref="B2407:D2407"/>
    <mergeCell ref="E2407:G2407"/>
    <mergeCell ref="H2407:I2407"/>
    <mergeCell ref="E2408:E2410"/>
    <mergeCell ref="H2408:I2408"/>
    <mergeCell ref="H2409:I2409"/>
    <mergeCell ref="B2414:C2414"/>
    <mergeCell ref="B2415:C2415"/>
    <mergeCell ref="B2419:C2419"/>
    <mergeCell ref="D2419:G2419"/>
    <mergeCell ref="E2420:F2420"/>
    <mergeCell ref="B2406:C2406"/>
    <mergeCell ref="B2410:C2410"/>
    <mergeCell ref="B2411:C2411"/>
    <mergeCell ref="E2411:E2413"/>
    <mergeCell ref="B2412:C2412"/>
    <mergeCell ref="B2413:D2413"/>
    <mergeCell ref="E2414:E2416"/>
    <mergeCell ref="H2410:I2410"/>
    <mergeCell ref="H2411:I2411"/>
    <mergeCell ref="H2412:I2412"/>
    <mergeCell ref="H2413:I2413"/>
    <mergeCell ref="H2414:I2414"/>
    <mergeCell ref="H2415:I2415"/>
    <mergeCell ref="H2416:I2416"/>
    <mergeCell ref="J2434:Z2434"/>
    <mergeCell ref="AA2434:AF2434"/>
    <mergeCell ref="B2431:C2431"/>
    <mergeCell ref="B2432:C2432"/>
    <mergeCell ref="E2432:F2432"/>
    <mergeCell ref="I2432:O2432"/>
    <mergeCell ref="P2432:Q2432"/>
    <mergeCell ref="R2432:Z2432"/>
    <mergeCell ref="AB2432:AF2432"/>
    <mergeCell ref="V2420:W2421"/>
    <mergeCell ref="X2420:Y2421"/>
    <mergeCell ref="Z2420:Z2422"/>
    <mergeCell ref="AA2420:AA2422"/>
    <mergeCell ref="AB2420:AD2421"/>
    <mergeCell ref="AE2420:AF2421"/>
    <mergeCell ref="I2420:I2421"/>
    <mergeCell ref="J2420:K2421"/>
    <mergeCell ref="L2420:M2421"/>
    <mergeCell ref="N2420:O2421"/>
    <mergeCell ref="P2420:Q2421"/>
    <mergeCell ref="R2420:S2421"/>
    <mergeCell ref="T2420:U2421"/>
    <mergeCell ref="B2423:C2423"/>
    <mergeCell ref="B2424:C2424"/>
    <mergeCell ref="E2421:F2421"/>
    <mergeCell ref="B2422:D2422"/>
    <mergeCell ref="E2422:G2422"/>
    <mergeCell ref="H2422:I2422"/>
    <mergeCell ref="E2423:E2425"/>
    <mergeCell ref="H2423:I2423"/>
    <mergeCell ref="H2424:I2424"/>
    <mergeCell ref="B2429:C2429"/>
    <mergeCell ref="B2430:C2430"/>
    <mergeCell ref="B2434:C2434"/>
    <mergeCell ref="D2434:G2434"/>
    <mergeCell ref="E2435:F2435"/>
    <mergeCell ref="B2421:C2421"/>
    <mergeCell ref="B2425:C2425"/>
    <mergeCell ref="B2426:C2426"/>
    <mergeCell ref="E2426:E2428"/>
    <mergeCell ref="B2427:C2427"/>
    <mergeCell ref="B2428:D2428"/>
    <mergeCell ref="E2429:E2431"/>
    <mergeCell ref="H2425:I2425"/>
    <mergeCell ref="H2426:I2426"/>
    <mergeCell ref="H2427:I2427"/>
    <mergeCell ref="H2428:I2428"/>
    <mergeCell ref="H2429:I2429"/>
    <mergeCell ref="H2430:I2430"/>
    <mergeCell ref="H2431:I2431"/>
    <mergeCell ref="J2449:Z2449"/>
    <mergeCell ref="AA2449:AF2449"/>
    <mergeCell ref="B2446:C2446"/>
    <mergeCell ref="B2447:C2447"/>
    <mergeCell ref="E2447:F2447"/>
    <mergeCell ref="I2447:O2447"/>
    <mergeCell ref="P2447:Q2447"/>
    <mergeCell ref="R2447:Z2447"/>
    <mergeCell ref="AB2447:AF2447"/>
    <mergeCell ref="V2435:W2436"/>
    <mergeCell ref="X2435:Y2436"/>
    <mergeCell ref="Z2435:Z2437"/>
    <mergeCell ref="AA2435:AA2437"/>
    <mergeCell ref="AB2435:AD2436"/>
    <mergeCell ref="AE2435:AF2436"/>
    <mergeCell ref="I2435:I2436"/>
    <mergeCell ref="J2435:K2436"/>
    <mergeCell ref="L2435:M2436"/>
    <mergeCell ref="N2435:O2436"/>
    <mergeCell ref="P2435:Q2436"/>
    <mergeCell ref="R2435:S2436"/>
    <mergeCell ref="T2435:U2436"/>
    <mergeCell ref="B2438:C2438"/>
    <mergeCell ref="B2439:C2439"/>
    <mergeCell ref="E2436:F2436"/>
    <mergeCell ref="B2437:D2437"/>
    <mergeCell ref="E2437:G2437"/>
    <mergeCell ref="H2437:I2437"/>
    <mergeCell ref="E2438:E2440"/>
    <mergeCell ref="H2438:I2438"/>
    <mergeCell ref="H2439:I2439"/>
    <mergeCell ref="B2444:C2444"/>
    <mergeCell ref="B2445:C2445"/>
    <mergeCell ref="B2449:C2449"/>
    <mergeCell ref="D2449:G2449"/>
    <mergeCell ref="E2450:F2450"/>
    <mergeCell ref="B2436:C2436"/>
    <mergeCell ref="B2440:C2440"/>
    <mergeCell ref="B2441:C2441"/>
    <mergeCell ref="E2441:E2443"/>
    <mergeCell ref="B2442:C2442"/>
    <mergeCell ref="B2443:D2443"/>
    <mergeCell ref="E2444:E2446"/>
    <mergeCell ref="H2440:I2440"/>
    <mergeCell ref="H2441:I2441"/>
    <mergeCell ref="H2442:I2442"/>
    <mergeCell ref="H2443:I2443"/>
    <mergeCell ref="H2444:I2444"/>
    <mergeCell ref="H2445:I2445"/>
    <mergeCell ref="H2446:I2446"/>
    <mergeCell ref="J2464:Z2464"/>
    <mergeCell ref="AA2464:AF2464"/>
    <mergeCell ref="B2461:C2461"/>
    <mergeCell ref="B2462:C2462"/>
    <mergeCell ref="E2462:F2462"/>
    <mergeCell ref="I2462:O2462"/>
    <mergeCell ref="P2462:Q2462"/>
    <mergeCell ref="R2462:Z2462"/>
    <mergeCell ref="AB2462:AF2462"/>
    <mergeCell ref="V2450:W2451"/>
    <mergeCell ref="X2450:Y2451"/>
    <mergeCell ref="Z2450:Z2452"/>
    <mergeCell ref="AA2450:AA2452"/>
    <mergeCell ref="AB2450:AD2451"/>
    <mergeCell ref="AE2450:AF2451"/>
    <mergeCell ref="I2450:I2451"/>
    <mergeCell ref="J2450:K2451"/>
    <mergeCell ref="L2450:M2451"/>
    <mergeCell ref="N2450:O2451"/>
    <mergeCell ref="P2450:Q2451"/>
    <mergeCell ref="R2450:S2451"/>
    <mergeCell ref="T2450:U2451"/>
    <mergeCell ref="B2453:C2453"/>
    <mergeCell ref="B2454:C2454"/>
    <mergeCell ref="E2451:F2451"/>
    <mergeCell ref="B2452:D2452"/>
    <mergeCell ref="E2452:G2452"/>
    <mergeCell ref="H2452:I2452"/>
    <mergeCell ref="E2453:E2455"/>
    <mergeCell ref="H2453:I2453"/>
    <mergeCell ref="H2454:I2454"/>
    <mergeCell ref="B2459:C2459"/>
    <mergeCell ref="B2460:C2460"/>
    <mergeCell ref="B2464:C2464"/>
    <mergeCell ref="D2464:G2464"/>
    <mergeCell ref="E2465:F2465"/>
    <mergeCell ref="B2451:C2451"/>
    <mergeCell ref="B2455:C2455"/>
    <mergeCell ref="B2456:C2456"/>
    <mergeCell ref="E2456:E2458"/>
    <mergeCell ref="B2457:C2457"/>
    <mergeCell ref="B2458:D2458"/>
    <mergeCell ref="E2459:E2461"/>
    <mergeCell ref="H2455:I2455"/>
    <mergeCell ref="H2456:I2456"/>
    <mergeCell ref="H2457:I2457"/>
    <mergeCell ref="H2458:I2458"/>
    <mergeCell ref="H2459:I2459"/>
    <mergeCell ref="H2460:I2460"/>
    <mergeCell ref="H2461:I2461"/>
    <mergeCell ref="J2479:Z2479"/>
    <mergeCell ref="AA2479:AF2479"/>
    <mergeCell ref="B2476:C2476"/>
    <mergeCell ref="B2477:C2477"/>
    <mergeCell ref="E2477:F2477"/>
    <mergeCell ref="I2477:O2477"/>
    <mergeCell ref="P2477:Q2477"/>
    <mergeCell ref="R2477:Z2477"/>
    <mergeCell ref="AB2477:AF2477"/>
    <mergeCell ref="V2465:W2466"/>
    <mergeCell ref="X2465:Y2466"/>
    <mergeCell ref="Z2465:Z2467"/>
    <mergeCell ref="AA2465:AA2467"/>
    <mergeCell ref="AB2465:AD2466"/>
    <mergeCell ref="AE2465:AF2466"/>
    <mergeCell ref="I2465:I2466"/>
    <mergeCell ref="J2465:K2466"/>
    <mergeCell ref="L2465:M2466"/>
    <mergeCell ref="N2465:O2466"/>
    <mergeCell ref="P2465:Q2466"/>
    <mergeCell ref="R2465:S2466"/>
    <mergeCell ref="T2465:U2466"/>
    <mergeCell ref="B2468:C2468"/>
    <mergeCell ref="B2469:C2469"/>
    <mergeCell ref="E2466:F2466"/>
    <mergeCell ref="B2467:D2467"/>
    <mergeCell ref="E2467:G2467"/>
    <mergeCell ref="H2467:I2467"/>
    <mergeCell ref="E2468:E2470"/>
    <mergeCell ref="H2468:I2468"/>
    <mergeCell ref="H2469:I2469"/>
    <mergeCell ref="B2474:C2474"/>
    <mergeCell ref="B2475:C2475"/>
    <mergeCell ref="B2479:C2479"/>
    <mergeCell ref="D2479:G2479"/>
    <mergeCell ref="E2480:F2480"/>
    <mergeCell ref="B2466:C2466"/>
    <mergeCell ref="B2470:C2470"/>
    <mergeCell ref="B2471:C2471"/>
    <mergeCell ref="E2471:E2473"/>
    <mergeCell ref="B2472:C2472"/>
    <mergeCell ref="B2473:D2473"/>
    <mergeCell ref="E2474:E2476"/>
    <mergeCell ref="H2470:I2470"/>
    <mergeCell ref="H2471:I2471"/>
    <mergeCell ref="H2472:I2472"/>
    <mergeCell ref="H2473:I2473"/>
    <mergeCell ref="H2474:I2474"/>
    <mergeCell ref="H2475:I2475"/>
    <mergeCell ref="H2476:I2476"/>
    <mergeCell ref="J2494:Z2494"/>
    <mergeCell ref="AA2494:AF2494"/>
    <mergeCell ref="B2491:C2491"/>
    <mergeCell ref="B2492:C2492"/>
    <mergeCell ref="E2492:F2492"/>
    <mergeCell ref="I2492:O2492"/>
    <mergeCell ref="P2492:Q2492"/>
    <mergeCell ref="R2492:Z2492"/>
    <mergeCell ref="AB2492:AF2492"/>
    <mergeCell ref="V2480:W2481"/>
    <mergeCell ref="X2480:Y2481"/>
    <mergeCell ref="Z2480:Z2482"/>
    <mergeCell ref="AA2480:AA2482"/>
    <mergeCell ref="AB2480:AD2481"/>
    <mergeCell ref="AE2480:AF2481"/>
    <mergeCell ref="I2480:I2481"/>
    <mergeCell ref="J2480:K2481"/>
    <mergeCell ref="L2480:M2481"/>
    <mergeCell ref="N2480:O2481"/>
    <mergeCell ref="P2480:Q2481"/>
    <mergeCell ref="R2480:S2481"/>
    <mergeCell ref="T2480:U2481"/>
    <mergeCell ref="B2483:C2483"/>
    <mergeCell ref="B2484:C2484"/>
    <mergeCell ref="E2481:F2481"/>
    <mergeCell ref="B2482:D2482"/>
    <mergeCell ref="E2482:G2482"/>
    <mergeCell ref="H2482:I2482"/>
    <mergeCell ref="E2483:E2485"/>
    <mergeCell ref="H2483:I2483"/>
    <mergeCell ref="H2484:I2484"/>
    <mergeCell ref="B2489:C2489"/>
    <mergeCell ref="B2490:C2490"/>
    <mergeCell ref="B2494:C2494"/>
    <mergeCell ref="D2494:G2494"/>
    <mergeCell ref="E2495:F2495"/>
    <mergeCell ref="B2481:C2481"/>
    <mergeCell ref="B2485:C2485"/>
    <mergeCell ref="B2486:C2486"/>
    <mergeCell ref="E2486:E2488"/>
    <mergeCell ref="B2487:C2487"/>
    <mergeCell ref="B2488:D2488"/>
    <mergeCell ref="E2489:E2491"/>
    <mergeCell ref="H2485:I2485"/>
    <mergeCell ref="H2486:I2486"/>
    <mergeCell ref="H2487:I2487"/>
    <mergeCell ref="H2488:I2488"/>
    <mergeCell ref="H2489:I2489"/>
    <mergeCell ref="H2490:I2490"/>
    <mergeCell ref="H2491:I2491"/>
    <mergeCell ref="J2509:Z2509"/>
    <mergeCell ref="AA2509:AF2509"/>
    <mergeCell ref="B2506:C2506"/>
    <mergeCell ref="B2507:C2507"/>
    <mergeCell ref="E2507:F2507"/>
    <mergeCell ref="I2507:O2507"/>
    <mergeCell ref="P2507:Q2507"/>
    <mergeCell ref="R2507:Z2507"/>
    <mergeCell ref="AB2507:AF2507"/>
    <mergeCell ref="V2495:W2496"/>
    <mergeCell ref="X2495:Y2496"/>
    <mergeCell ref="Z2495:Z2497"/>
    <mergeCell ref="AA2495:AA2497"/>
    <mergeCell ref="AB2495:AD2496"/>
    <mergeCell ref="AE2495:AF2496"/>
    <mergeCell ref="I2495:I2496"/>
    <mergeCell ref="J2495:K2496"/>
    <mergeCell ref="L2495:M2496"/>
    <mergeCell ref="N2495:O2496"/>
    <mergeCell ref="P2495:Q2496"/>
    <mergeCell ref="R2495:S2496"/>
    <mergeCell ref="T2495:U2496"/>
    <mergeCell ref="B2498:C2498"/>
    <mergeCell ref="B2499:C2499"/>
    <mergeCell ref="E2496:F2496"/>
    <mergeCell ref="B2497:D2497"/>
    <mergeCell ref="E2497:G2497"/>
    <mergeCell ref="H2497:I2497"/>
    <mergeCell ref="E2498:E2500"/>
    <mergeCell ref="H2498:I2498"/>
    <mergeCell ref="H2499:I2499"/>
    <mergeCell ref="B2504:C2504"/>
    <mergeCell ref="B2505:C2505"/>
    <mergeCell ref="B2509:C2509"/>
    <mergeCell ref="D2509:G2509"/>
    <mergeCell ref="E2510:F2510"/>
    <mergeCell ref="B2496:C2496"/>
    <mergeCell ref="B2500:C2500"/>
    <mergeCell ref="B2501:C2501"/>
    <mergeCell ref="E2501:E2503"/>
    <mergeCell ref="B2502:C2502"/>
    <mergeCell ref="B2503:D2503"/>
    <mergeCell ref="E2504:E2506"/>
    <mergeCell ref="H2500:I2500"/>
    <mergeCell ref="H2501:I2501"/>
    <mergeCell ref="H2502:I2502"/>
    <mergeCell ref="H2503:I2503"/>
    <mergeCell ref="H2504:I2504"/>
    <mergeCell ref="H2505:I2505"/>
    <mergeCell ref="H2506:I2506"/>
    <mergeCell ref="J2524:Z2524"/>
    <mergeCell ref="AA2524:AF2524"/>
    <mergeCell ref="B2521:C2521"/>
    <mergeCell ref="B2522:C2522"/>
    <mergeCell ref="E2522:F2522"/>
    <mergeCell ref="I2522:O2522"/>
    <mergeCell ref="P2522:Q2522"/>
    <mergeCell ref="R2522:Z2522"/>
    <mergeCell ref="AB2522:AF2522"/>
    <mergeCell ref="V2510:W2511"/>
    <mergeCell ref="X2510:Y2511"/>
    <mergeCell ref="Z2510:Z2512"/>
    <mergeCell ref="AA2510:AA2512"/>
    <mergeCell ref="AB2510:AD2511"/>
    <mergeCell ref="AE2510:AF2511"/>
    <mergeCell ref="I2510:I2511"/>
    <mergeCell ref="J2510:K2511"/>
    <mergeCell ref="L2510:M2511"/>
    <mergeCell ref="N2510:O2511"/>
    <mergeCell ref="P2510:Q2511"/>
    <mergeCell ref="R2510:S2511"/>
    <mergeCell ref="T2510:U2511"/>
    <mergeCell ref="B2513:C2513"/>
    <mergeCell ref="B2514:C2514"/>
    <mergeCell ref="E2511:F2511"/>
    <mergeCell ref="B2512:D2512"/>
    <mergeCell ref="E2512:G2512"/>
    <mergeCell ref="H2512:I2512"/>
    <mergeCell ref="E2513:E2515"/>
    <mergeCell ref="H2513:I2513"/>
    <mergeCell ref="H2514:I2514"/>
    <mergeCell ref="B2519:C2519"/>
    <mergeCell ref="B2520:C2520"/>
    <mergeCell ref="B2524:C2524"/>
    <mergeCell ref="D2524:G2524"/>
    <mergeCell ref="E2525:F2525"/>
    <mergeCell ref="B2511:C2511"/>
    <mergeCell ref="B2515:C2515"/>
    <mergeCell ref="B2516:C2516"/>
    <mergeCell ref="E2516:E2518"/>
    <mergeCell ref="B2517:C2517"/>
    <mergeCell ref="B2518:D2518"/>
    <mergeCell ref="E2519:E2521"/>
    <mergeCell ref="H2515:I2515"/>
    <mergeCell ref="H2516:I2516"/>
    <mergeCell ref="H2517:I2517"/>
    <mergeCell ref="H2518:I2518"/>
    <mergeCell ref="H2519:I2519"/>
    <mergeCell ref="H2520:I2520"/>
    <mergeCell ref="H2521:I2521"/>
    <mergeCell ref="J2539:Z2539"/>
    <mergeCell ref="AA2539:AF2539"/>
    <mergeCell ref="B2536:C2536"/>
    <mergeCell ref="B2537:C2537"/>
    <mergeCell ref="E2537:F2537"/>
    <mergeCell ref="I2537:O2537"/>
    <mergeCell ref="P2537:Q2537"/>
    <mergeCell ref="R2537:Z2537"/>
    <mergeCell ref="AB2537:AF2537"/>
    <mergeCell ref="V2525:W2526"/>
    <mergeCell ref="X2525:Y2526"/>
    <mergeCell ref="Z2525:Z2527"/>
    <mergeCell ref="AA2525:AA2527"/>
    <mergeCell ref="AB2525:AD2526"/>
    <mergeCell ref="AE2525:AF2526"/>
    <mergeCell ref="I2525:I2526"/>
    <mergeCell ref="J2525:K2526"/>
    <mergeCell ref="L2525:M2526"/>
    <mergeCell ref="N2525:O2526"/>
    <mergeCell ref="P2525:Q2526"/>
    <mergeCell ref="R2525:S2526"/>
    <mergeCell ref="T2525:U2526"/>
    <mergeCell ref="B2528:C2528"/>
    <mergeCell ref="B2529:C2529"/>
    <mergeCell ref="E2526:F2526"/>
    <mergeCell ref="B2527:D2527"/>
    <mergeCell ref="E2527:G2527"/>
    <mergeCell ref="H2527:I2527"/>
    <mergeCell ref="E2528:E2530"/>
    <mergeCell ref="H2528:I2528"/>
    <mergeCell ref="H2529:I2529"/>
    <mergeCell ref="B2534:C2534"/>
    <mergeCell ref="B2535:C2535"/>
    <mergeCell ref="B2539:C2539"/>
    <mergeCell ref="D2539:G2539"/>
    <mergeCell ref="E2540:F2540"/>
    <mergeCell ref="B2526:C2526"/>
    <mergeCell ref="B2530:C2530"/>
    <mergeCell ref="B2531:C2531"/>
    <mergeCell ref="E2531:E2533"/>
    <mergeCell ref="B2532:C2532"/>
    <mergeCell ref="B2533:D2533"/>
    <mergeCell ref="E2534:E2536"/>
    <mergeCell ref="H2530:I2530"/>
    <mergeCell ref="H2531:I2531"/>
    <mergeCell ref="H2532:I2532"/>
    <mergeCell ref="H2533:I2533"/>
    <mergeCell ref="H2534:I2534"/>
    <mergeCell ref="H2535:I2535"/>
    <mergeCell ref="H2536:I2536"/>
    <mergeCell ref="J2554:Z2554"/>
    <mergeCell ref="AA2554:AF2554"/>
    <mergeCell ref="B2551:C2551"/>
    <mergeCell ref="B2552:C2552"/>
    <mergeCell ref="E2552:F2552"/>
    <mergeCell ref="I2552:O2552"/>
    <mergeCell ref="P2552:Q2552"/>
    <mergeCell ref="R2552:Z2552"/>
    <mergeCell ref="AB2552:AF2552"/>
    <mergeCell ref="V2540:W2541"/>
    <mergeCell ref="X2540:Y2541"/>
    <mergeCell ref="Z2540:Z2542"/>
    <mergeCell ref="AA2540:AA2542"/>
    <mergeCell ref="AB2540:AD2541"/>
    <mergeCell ref="AE2540:AF2541"/>
    <mergeCell ref="I2540:I2541"/>
    <mergeCell ref="J2540:K2541"/>
    <mergeCell ref="L2540:M2541"/>
    <mergeCell ref="N2540:O2541"/>
    <mergeCell ref="P2540:Q2541"/>
    <mergeCell ref="R2540:S2541"/>
    <mergeCell ref="T2540:U2541"/>
    <mergeCell ref="B2543:C2543"/>
    <mergeCell ref="B2544:C2544"/>
    <mergeCell ref="E2541:F2541"/>
    <mergeCell ref="B2542:D2542"/>
    <mergeCell ref="E2542:G2542"/>
    <mergeCell ref="H2542:I2542"/>
    <mergeCell ref="E2543:E2545"/>
    <mergeCell ref="H2543:I2543"/>
    <mergeCell ref="H2544:I2544"/>
    <mergeCell ref="B2549:C2549"/>
    <mergeCell ref="B2550:C2550"/>
    <mergeCell ref="B2554:C2554"/>
    <mergeCell ref="D2554:G2554"/>
    <mergeCell ref="E2555:F2555"/>
    <mergeCell ref="B2541:C2541"/>
    <mergeCell ref="B2545:C2545"/>
    <mergeCell ref="B2546:C2546"/>
    <mergeCell ref="E2546:E2548"/>
    <mergeCell ref="B2547:C2547"/>
    <mergeCell ref="B2548:D2548"/>
    <mergeCell ref="E2549:E2551"/>
    <mergeCell ref="H2545:I2545"/>
    <mergeCell ref="H2546:I2546"/>
    <mergeCell ref="H2547:I2547"/>
    <mergeCell ref="H2548:I2548"/>
    <mergeCell ref="H2549:I2549"/>
    <mergeCell ref="H2550:I2550"/>
    <mergeCell ref="H2551:I2551"/>
    <mergeCell ref="J2569:Z2569"/>
    <mergeCell ref="AA2569:AF2569"/>
    <mergeCell ref="B2566:C2566"/>
    <mergeCell ref="B2567:C2567"/>
    <mergeCell ref="E2567:F2567"/>
    <mergeCell ref="I2567:O2567"/>
    <mergeCell ref="P2567:Q2567"/>
    <mergeCell ref="R2567:Z2567"/>
    <mergeCell ref="AB2567:AF2567"/>
    <mergeCell ref="V2555:W2556"/>
    <mergeCell ref="X2555:Y2556"/>
    <mergeCell ref="Z2555:Z2557"/>
    <mergeCell ref="AA2555:AA2557"/>
    <mergeCell ref="AB2555:AD2556"/>
    <mergeCell ref="AE2555:AF2556"/>
    <mergeCell ref="I2555:I2556"/>
    <mergeCell ref="J2555:K2556"/>
    <mergeCell ref="L2555:M2556"/>
    <mergeCell ref="N2555:O2556"/>
    <mergeCell ref="P2555:Q2556"/>
    <mergeCell ref="R2555:S2556"/>
    <mergeCell ref="T2555:U2556"/>
    <mergeCell ref="B2558:C2558"/>
    <mergeCell ref="B2559:C2559"/>
    <mergeCell ref="E2556:F2556"/>
    <mergeCell ref="B2557:D2557"/>
    <mergeCell ref="E2557:G2557"/>
    <mergeCell ref="H2557:I2557"/>
    <mergeCell ref="E2558:E2560"/>
    <mergeCell ref="H2558:I2558"/>
    <mergeCell ref="H2559:I2559"/>
    <mergeCell ref="B2564:C2564"/>
    <mergeCell ref="B2565:C2565"/>
    <mergeCell ref="B2569:C2569"/>
    <mergeCell ref="D2569:G2569"/>
    <mergeCell ref="E2570:F2570"/>
    <mergeCell ref="B2556:C2556"/>
    <mergeCell ref="B2560:C2560"/>
    <mergeCell ref="B2561:C2561"/>
    <mergeCell ref="E2561:E2563"/>
    <mergeCell ref="B2562:C2562"/>
    <mergeCell ref="B2563:D2563"/>
    <mergeCell ref="E2564:E2566"/>
    <mergeCell ref="H2560:I2560"/>
    <mergeCell ref="H2561:I2561"/>
    <mergeCell ref="H2562:I2562"/>
    <mergeCell ref="H2563:I2563"/>
    <mergeCell ref="H2564:I2564"/>
    <mergeCell ref="H2565:I2565"/>
    <mergeCell ref="H2566:I2566"/>
    <mergeCell ref="J2584:Z2584"/>
    <mergeCell ref="AA2584:AF2584"/>
    <mergeCell ref="B2581:C2581"/>
    <mergeCell ref="B2582:C2582"/>
    <mergeCell ref="E2582:F2582"/>
    <mergeCell ref="I2582:O2582"/>
    <mergeCell ref="P2582:Q2582"/>
    <mergeCell ref="R2582:Z2582"/>
    <mergeCell ref="AB2582:AF2582"/>
    <mergeCell ref="V2570:W2571"/>
    <mergeCell ref="X2570:Y2571"/>
    <mergeCell ref="Z2570:Z2572"/>
    <mergeCell ref="AA2570:AA2572"/>
    <mergeCell ref="AB2570:AD2571"/>
    <mergeCell ref="AE2570:AF2571"/>
    <mergeCell ref="I2570:I2571"/>
    <mergeCell ref="J2570:K2571"/>
    <mergeCell ref="L2570:M2571"/>
    <mergeCell ref="N2570:O2571"/>
    <mergeCell ref="P2570:Q2571"/>
    <mergeCell ref="R2570:S2571"/>
    <mergeCell ref="T2570:U2571"/>
    <mergeCell ref="B2573:C2573"/>
    <mergeCell ref="B2574:C2574"/>
    <mergeCell ref="E2571:F2571"/>
    <mergeCell ref="B2572:D2572"/>
    <mergeCell ref="E2572:G2572"/>
    <mergeCell ref="H2572:I2572"/>
    <mergeCell ref="E2573:E2575"/>
    <mergeCell ref="H2573:I2573"/>
    <mergeCell ref="H2574:I2574"/>
    <mergeCell ref="B2579:C2579"/>
    <mergeCell ref="B2580:C2580"/>
    <mergeCell ref="B2584:C2584"/>
    <mergeCell ref="D2584:G2584"/>
    <mergeCell ref="E2585:F2585"/>
    <mergeCell ref="B2571:C2571"/>
    <mergeCell ref="B2575:C2575"/>
    <mergeCell ref="B2576:C2576"/>
    <mergeCell ref="E2576:E2578"/>
    <mergeCell ref="B2577:C2577"/>
    <mergeCell ref="B2578:D2578"/>
    <mergeCell ref="E2579:E2581"/>
    <mergeCell ref="H2575:I2575"/>
    <mergeCell ref="H2576:I2576"/>
    <mergeCell ref="H2577:I2577"/>
    <mergeCell ref="H2578:I2578"/>
    <mergeCell ref="H2579:I2579"/>
    <mergeCell ref="H2580:I2580"/>
    <mergeCell ref="H2581:I2581"/>
    <mergeCell ref="J2599:Z2599"/>
    <mergeCell ref="AA2599:AF2599"/>
    <mergeCell ref="B2596:C2596"/>
    <mergeCell ref="B2597:C2597"/>
    <mergeCell ref="E2597:F2597"/>
    <mergeCell ref="I2597:O2597"/>
    <mergeCell ref="P2597:Q2597"/>
    <mergeCell ref="R2597:Z2597"/>
    <mergeCell ref="AB2597:AF2597"/>
    <mergeCell ref="V2585:W2586"/>
    <mergeCell ref="X2585:Y2586"/>
    <mergeCell ref="Z2585:Z2587"/>
    <mergeCell ref="AA2585:AA2587"/>
    <mergeCell ref="AB2585:AD2586"/>
    <mergeCell ref="AE2585:AF2586"/>
    <mergeCell ref="I2585:I2586"/>
    <mergeCell ref="J2585:K2586"/>
    <mergeCell ref="L2585:M2586"/>
    <mergeCell ref="N2585:O2586"/>
    <mergeCell ref="P2585:Q2586"/>
    <mergeCell ref="R2585:S2586"/>
    <mergeCell ref="T2585:U2586"/>
    <mergeCell ref="B2588:C2588"/>
    <mergeCell ref="B2589:C2589"/>
    <mergeCell ref="E2586:F2586"/>
    <mergeCell ref="B2587:D2587"/>
    <mergeCell ref="E2587:G2587"/>
    <mergeCell ref="H2587:I2587"/>
    <mergeCell ref="E2588:E2590"/>
    <mergeCell ref="H2588:I2588"/>
    <mergeCell ref="H2589:I2589"/>
    <mergeCell ref="B2594:C2594"/>
    <mergeCell ref="B2595:C2595"/>
    <mergeCell ref="B2599:C2599"/>
    <mergeCell ref="D2599:G2599"/>
    <mergeCell ref="E2600:F2600"/>
    <mergeCell ref="B2586:C2586"/>
    <mergeCell ref="B2590:C2590"/>
    <mergeCell ref="B2591:C2591"/>
    <mergeCell ref="E2591:E2593"/>
    <mergeCell ref="B2592:C2592"/>
    <mergeCell ref="B2593:D2593"/>
    <mergeCell ref="E2594:E2596"/>
    <mergeCell ref="H2590:I2590"/>
    <mergeCell ref="H2591:I2591"/>
    <mergeCell ref="H2592:I2592"/>
    <mergeCell ref="H2593:I2593"/>
    <mergeCell ref="H2594:I2594"/>
    <mergeCell ref="H2595:I2595"/>
    <mergeCell ref="H2596:I2596"/>
    <mergeCell ref="J2614:Z2614"/>
    <mergeCell ref="AA2614:AF2614"/>
    <mergeCell ref="B2611:C2611"/>
    <mergeCell ref="B2612:C2612"/>
    <mergeCell ref="E2612:F2612"/>
    <mergeCell ref="I2612:O2612"/>
    <mergeCell ref="P2612:Q2612"/>
    <mergeCell ref="R2612:Z2612"/>
    <mergeCell ref="AB2612:AF2612"/>
    <mergeCell ref="V2600:W2601"/>
    <mergeCell ref="X2600:Y2601"/>
    <mergeCell ref="Z2600:Z2602"/>
    <mergeCell ref="AA2600:AA2602"/>
    <mergeCell ref="AB2600:AD2601"/>
    <mergeCell ref="AE2600:AF2601"/>
    <mergeCell ref="I2600:I2601"/>
    <mergeCell ref="J2600:K2601"/>
    <mergeCell ref="L2600:M2601"/>
    <mergeCell ref="N2600:O2601"/>
    <mergeCell ref="P2600:Q2601"/>
    <mergeCell ref="R2600:S2601"/>
    <mergeCell ref="T2600:U2601"/>
    <mergeCell ref="B2603:C2603"/>
    <mergeCell ref="B2604:C2604"/>
    <mergeCell ref="E2601:F2601"/>
    <mergeCell ref="B2602:D2602"/>
    <mergeCell ref="E2602:G2602"/>
    <mergeCell ref="H2602:I2602"/>
    <mergeCell ref="E2603:E2605"/>
    <mergeCell ref="H2603:I2603"/>
    <mergeCell ref="H2604:I2604"/>
    <mergeCell ref="B2609:C2609"/>
    <mergeCell ref="B2610:C2610"/>
    <mergeCell ref="B2614:C2614"/>
    <mergeCell ref="D2614:G2614"/>
    <mergeCell ref="E2615:F2615"/>
    <mergeCell ref="B2601:C2601"/>
    <mergeCell ref="B2605:C2605"/>
    <mergeCell ref="B2606:C2606"/>
    <mergeCell ref="E2606:E2608"/>
    <mergeCell ref="B2607:C2607"/>
    <mergeCell ref="B2608:D2608"/>
    <mergeCell ref="E2609:E2611"/>
    <mergeCell ref="H2605:I2605"/>
    <mergeCell ref="H2606:I2606"/>
    <mergeCell ref="H2607:I2607"/>
    <mergeCell ref="H2608:I2608"/>
    <mergeCell ref="H2609:I2609"/>
    <mergeCell ref="H2610:I2610"/>
    <mergeCell ref="H2611:I2611"/>
    <mergeCell ref="J2629:Z2629"/>
    <mergeCell ref="AA2629:AF2629"/>
    <mergeCell ref="B2626:C2626"/>
    <mergeCell ref="B2627:C2627"/>
    <mergeCell ref="E2627:F2627"/>
    <mergeCell ref="I2627:O2627"/>
    <mergeCell ref="P2627:Q2627"/>
    <mergeCell ref="R2627:Z2627"/>
    <mergeCell ref="AB2627:AF2627"/>
    <mergeCell ref="V2615:W2616"/>
    <mergeCell ref="X2615:Y2616"/>
    <mergeCell ref="Z2615:Z2617"/>
    <mergeCell ref="AA2615:AA2617"/>
    <mergeCell ref="AB2615:AD2616"/>
    <mergeCell ref="AE2615:AF2616"/>
    <mergeCell ref="I2615:I2616"/>
    <mergeCell ref="J2615:K2616"/>
    <mergeCell ref="L2615:M2616"/>
    <mergeCell ref="N2615:O2616"/>
    <mergeCell ref="P2615:Q2616"/>
    <mergeCell ref="R2615:S2616"/>
    <mergeCell ref="T2615:U2616"/>
    <mergeCell ref="B2618:C2618"/>
    <mergeCell ref="B2619:C2619"/>
    <mergeCell ref="E2616:F2616"/>
    <mergeCell ref="B2617:D2617"/>
    <mergeCell ref="E2617:G2617"/>
    <mergeCell ref="H2617:I2617"/>
    <mergeCell ref="E2618:E2620"/>
    <mergeCell ref="H2618:I2618"/>
    <mergeCell ref="H2619:I2619"/>
    <mergeCell ref="B2624:C2624"/>
    <mergeCell ref="B2625:C2625"/>
    <mergeCell ref="B2629:C2629"/>
    <mergeCell ref="D2629:G2629"/>
    <mergeCell ref="E2630:F2630"/>
    <mergeCell ref="B2616:C2616"/>
    <mergeCell ref="B2620:C2620"/>
    <mergeCell ref="B2621:C2621"/>
    <mergeCell ref="E2621:E2623"/>
    <mergeCell ref="B2622:C2622"/>
    <mergeCell ref="B2623:D2623"/>
    <mergeCell ref="E2624:E2626"/>
    <mergeCell ref="H2620:I2620"/>
    <mergeCell ref="H2621:I2621"/>
    <mergeCell ref="H2622:I2622"/>
    <mergeCell ref="H2623:I2623"/>
    <mergeCell ref="H2624:I2624"/>
    <mergeCell ref="H2625:I2625"/>
    <mergeCell ref="H2626:I2626"/>
    <mergeCell ref="J2644:Z2644"/>
    <mergeCell ref="AA2644:AF2644"/>
    <mergeCell ref="B2641:C2641"/>
    <mergeCell ref="B2642:C2642"/>
    <mergeCell ref="E2642:F2642"/>
    <mergeCell ref="I2642:O2642"/>
    <mergeCell ref="P2642:Q2642"/>
    <mergeCell ref="R2642:Z2642"/>
    <mergeCell ref="AB2642:AF2642"/>
    <mergeCell ref="V2630:W2631"/>
    <mergeCell ref="X2630:Y2631"/>
    <mergeCell ref="Z2630:Z2632"/>
    <mergeCell ref="AA2630:AA2632"/>
    <mergeCell ref="AB2630:AD2631"/>
    <mergeCell ref="AE2630:AF2631"/>
    <mergeCell ref="I2630:I2631"/>
    <mergeCell ref="J2630:K2631"/>
    <mergeCell ref="L2630:M2631"/>
    <mergeCell ref="N2630:O2631"/>
    <mergeCell ref="P2630:Q2631"/>
    <mergeCell ref="R2630:S2631"/>
    <mergeCell ref="T2630:U2631"/>
    <mergeCell ref="B2633:C2633"/>
    <mergeCell ref="B2634:C2634"/>
    <mergeCell ref="E2631:F2631"/>
    <mergeCell ref="B2632:D2632"/>
    <mergeCell ref="E2632:G2632"/>
    <mergeCell ref="H2632:I2632"/>
    <mergeCell ref="E2633:E2635"/>
    <mergeCell ref="H2633:I2633"/>
    <mergeCell ref="H2634:I2634"/>
    <mergeCell ref="B2639:C2639"/>
    <mergeCell ref="B2640:C2640"/>
    <mergeCell ref="B2644:C2644"/>
    <mergeCell ref="D2644:G2644"/>
    <mergeCell ref="E2645:F2645"/>
    <mergeCell ref="B2631:C2631"/>
    <mergeCell ref="B2635:C2635"/>
    <mergeCell ref="B2636:C2636"/>
    <mergeCell ref="E2636:E2638"/>
    <mergeCell ref="B2637:C2637"/>
    <mergeCell ref="B2638:D2638"/>
    <mergeCell ref="E2639:E2641"/>
    <mergeCell ref="H2635:I2635"/>
    <mergeCell ref="H2636:I2636"/>
    <mergeCell ref="H2637:I2637"/>
    <mergeCell ref="H2638:I2638"/>
    <mergeCell ref="H2639:I2639"/>
    <mergeCell ref="H2640:I2640"/>
    <mergeCell ref="H2641:I2641"/>
    <mergeCell ref="J2659:Z2659"/>
    <mergeCell ref="AA2659:AF2659"/>
    <mergeCell ref="B2656:C2656"/>
    <mergeCell ref="B2657:C2657"/>
    <mergeCell ref="E2657:F2657"/>
    <mergeCell ref="I2657:O2657"/>
    <mergeCell ref="P2657:Q2657"/>
    <mergeCell ref="R2657:Z2657"/>
    <mergeCell ref="AB2657:AF2657"/>
    <mergeCell ref="V2645:W2646"/>
    <mergeCell ref="X2645:Y2646"/>
    <mergeCell ref="Z2645:Z2647"/>
    <mergeCell ref="AA2645:AA2647"/>
    <mergeCell ref="AB2645:AD2646"/>
    <mergeCell ref="AE2645:AF2646"/>
    <mergeCell ref="I2645:I2646"/>
    <mergeCell ref="J2645:K2646"/>
    <mergeCell ref="L2645:M2646"/>
    <mergeCell ref="N2645:O2646"/>
    <mergeCell ref="P2645:Q2646"/>
    <mergeCell ref="R2645:S2646"/>
    <mergeCell ref="T2645:U2646"/>
    <mergeCell ref="B2648:C2648"/>
    <mergeCell ref="B2649:C2649"/>
    <mergeCell ref="E2646:F2646"/>
    <mergeCell ref="B2647:D2647"/>
    <mergeCell ref="E2647:G2647"/>
    <mergeCell ref="H2647:I2647"/>
    <mergeCell ref="E2648:E2650"/>
    <mergeCell ref="H2648:I2648"/>
    <mergeCell ref="H2649:I2649"/>
    <mergeCell ref="B2654:C2654"/>
    <mergeCell ref="B2655:C2655"/>
    <mergeCell ref="B2659:C2659"/>
    <mergeCell ref="D2659:G2659"/>
    <mergeCell ref="E2660:F2660"/>
    <mergeCell ref="B2646:C2646"/>
    <mergeCell ref="B2650:C2650"/>
    <mergeCell ref="B2651:C2651"/>
    <mergeCell ref="E2651:E2653"/>
    <mergeCell ref="B2652:C2652"/>
    <mergeCell ref="B2653:D2653"/>
    <mergeCell ref="E2654:E2656"/>
    <mergeCell ref="H2650:I2650"/>
    <mergeCell ref="H2651:I2651"/>
    <mergeCell ref="H2652:I2652"/>
    <mergeCell ref="H2653:I2653"/>
    <mergeCell ref="H2654:I2654"/>
    <mergeCell ref="H2655:I2655"/>
    <mergeCell ref="H2656:I2656"/>
    <mergeCell ref="J2674:Z2674"/>
    <mergeCell ref="AA2674:AF2674"/>
    <mergeCell ref="B2671:C2671"/>
    <mergeCell ref="B2672:C2672"/>
    <mergeCell ref="E2672:F2672"/>
    <mergeCell ref="I2672:O2672"/>
    <mergeCell ref="P2672:Q2672"/>
    <mergeCell ref="R2672:Z2672"/>
    <mergeCell ref="AB2672:AF2672"/>
    <mergeCell ref="V2660:W2661"/>
    <mergeCell ref="X2660:Y2661"/>
    <mergeCell ref="Z2660:Z2662"/>
    <mergeCell ref="AA2660:AA2662"/>
    <mergeCell ref="AB2660:AD2661"/>
    <mergeCell ref="AE2660:AF2661"/>
    <mergeCell ref="I2660:I2661"/>
    <mergeCell ref="J2660:K2661"/>
    <mergeCell ref="L2660:M2661"/>
    <mergeCell ref="N2660:O2661"/>
    <mergeCell ref="P2660:Q2661"/>
    <mergeCell ref="R2660:S2661"/>
    <mergeCell ref="T2660:U2661"/>
    <mergeCell ref="B2663:C2663"/>
    <mergeCell ref="B2664:C2664"/>
    <mergeCell ref="E2661:F2661"/>
    <mergeCell ref="B2662:D2662"/>
    <mergeCell ref="E2662:G2662"/>
    <mergeCell ref="H2662:I2662"/>
    <mergeCell ref="E2663:E2665"/>
    <mergeCell ref="H2663:I2663"/>
    <mergeCell ref="H2664:I2664"/>
    <mergeCell ref="B2669:C2669"/>
    <mergeCell ref="B2670:C2670"/>
    <mergeCell ref="B2674:C2674"/>
    <mergeCell ref="D2674:G2674"/>
    <mergeCell ref="E2675:F2675"/>
    <mergeCell ref="B2661:C2661"/>
    <mergeCell ref="B2665:C2665"/>
    <mergeCell ref="B2666:C2666"/>
    <mergeCell ref="E2666:E2668"/>
    <mergeCell ref="B2667:C2667"/>
    <mergeCell ref="B2668:D2668"/>
    <mergeCell ref="E2669:E2671"/>
    <mergeCell ref="H2665:I2665"/>
    <mergeCell ref="H2666:I2666"/>
    <mergeCell ref="H2667:I2667"/>
    <mergeCell ref="H2668:I2668"/>
    <mergeCell ref="H2669:I2669"/>
    <mergeCell ref="H2670:I2670"/>
    <mergeCell ref="H2671:I2671"/>
    <mergeCell ref="J2689:Z2689"/>
    <mergeCell ref="AA2689:AF2689"/>
    <mergeCell ref="B2686:C2686"/>
    <mergeCell ref="B2687:C2687"/>
    <mergeCell ref="E2687:F2687"/>
    <mergeCell ref="I2687:O2687"/>
    <mergeCell ref="P2687:Q2687"/>
    <mergeCell ref="R2687:Z2687"/>
    <mergeCell ref="AB2687:AF2687"/>
    <mergeCell ref="V2675:W2676"/>
    <mergeCell ref="X2675:Y2676"/>
    <mergeCell ref="Z2675:Z2677"/>
    <mergeCell ref="AA2675:AA2677"/>
    <mergeCell ref="AB2675:AD2676"/>
    <mergeCell ref="AE2675:AF2676"/>
    <mergeCell ref="I2675:I2676"/>
    <mergeCell ref="J2675:K2676"/>
    <mergeCell ref="L2675:M2676"/>
    <mergeCell ref="N2675:O2676"/>
    <mergeCell ref="P2675:Q2676"/>
    <mergeCell ref="R2675:S2676"/>
    <mergeCell ref="T2675:U2676"/>
    <mergeCell ref="B2678:C2678"/>
    <mergeCell ref="B2679:C2679"/>
    <mergeCell ref="E2676:F2676"/>
    <mergeCell ref="B2677:D2677"/>
    <mergeCell ref="E2677:G2677"/>
    <mergeCell ref="H2677:I2677"/>
    <mergeCell ref="E2678:E2680"/>
    <mergeCell ref="H2678:I2678"/>
    <mergeCell ref="H2679:I2679"/>
    <mergeCell ref="B2684:C2684"/>
    <mergeCell ref="B2685:C2685"/>
    <mergeCell ref="B2689:C2689"/>
    <mergeCell ref="D2689:G2689"/>
    <mergeCell ref="E2690:F2690"/>
    <mergeCell ref="B2676:C2676"/>
    <mergeCell ref="B2680:C2680"/>
    <mergeCell ref="B2681:C2681"/>
    <mergeCell ref="E2681:E2683"/>
    <mergeCell ref="B2682:C2682"/>
    <mergeCell ref="B2683:D2683"/>
    <mergeCell ref="E2684:E2686"/>
    <mergeCell ref="H2680:I2680"/>
    <mergeCell ref="H2681:I2681"/>
    <mergeCell ref="H2682:I2682"/>
    <mergeCell ref="H2683:I2683"/>
    <mergeCell ref="H2684:I2684"/>
    <mergeCell ref="H2685:I2685"/>
    <mergeCell ref="H2686:I2686"/>
    <mergeCell ref="J2704:Z2704"/>
    <mergeCell ref="AA2704:AF2704"/>
    <mergeCell ref="B2701:C2701"/>
    <mergeCell ref="B2702:C2702"/>
    <mergeCell ref="E2702:F2702"/>
    <mergeCell ref="I2702:O2702"/>
    <mergeCell ref="P2702:Q2702"/>
    <mergeCell ref="R2702:Z2702"/>
    <mergeCell ref="AB2702:AF2702"/>
    <mergeCell ref="V2690:W2691"/>
    <mergeCell ref="X2690:Y2691"/>
    <mergeCell ref="Z2690:Z2692"/>
    <mergeCell ref="AA2690:AA2692"/>
    <mergeCell ref="AB2690:AD2691"/>
    <mergeCell ref="AE2690:AF2691"/>
    <mergeCell ref="I2690:I2691"/>
    <mergeCell ref="J2690:K2691"/>
    <mergeCell ref="L2690:M2691"/>
    <mergeCell ref="N2690:O2691"/>
    <mergeCell ref="P2690:Q2691"/>
    <mergeCell ref="R2690:S2691"/>
    <mergeCell ref="T2690:U2691"/>
    <mergeCell ref="B2693:C2693"/>
    <mergeCell ref="B2694:C2694"/>
    <mergeCell ref="E2691:F2691"/>
    <mergeCell ref="B2692:D2692"/>
    <mergeCell ref="E2692:G2692"/>
    <mergeCell ref="H2692:I2692"/>
    <mergeCell ref="E2693:E2695"/>
    <mergeCell ref="H2693:I2693"/>
    <mergeCell ref="H2694:I2694"/>
    <mergeCell ref="B2699:C2699"/>
    <mergeCell ref="B2700:C2700"/>
    <mergeCell ref="B2704:C2704"/>
    <mergeCell ref="D2704:G2704"/>
    <mergeCell ref="E2705:F2705"/>
    <mergeCell ref="B2691:C2691"/>
    <mergeCell ref="B2695:C2695"/>
    <mergeCell ref="B2696:C2696"/>
    <mergeCell ref="E2696:E2698"/>
    <mergeCell ref="B2697:C2697"/>
    <mergeCell ref="B2698:D2698"/>
    <mergeCell ref="E2699:E2701"/>
    <mergeCell ref="H2695:I2695"/>
    <mergeCell ref="H2696:I2696"/>
    <mergeCell ref="H2697:I2697"/>
    <mergeCell ref="H2698:I2698"/>
    <mergeCell ref="H2699:I2699"/>
    <mergeCell ref="H2700:I2700"/>
    <mergeCell ref="H2701:I2701"/>
    <mergeCell ref="J2719:Z2719"/>
    <mergeCell ref="AA2719:AF2719"/>
    <mergeCell ref="B2716:C2716"/>
    <mergeCell ref="B2717:C2717"/>
    <mergeCell ref="E2717:F2717"/>
    <mergeCell ref="I2717:O2717"/>
    <mergeCell ref="P2717:Q2717"/>
    <mergeCell ref="R2717:Z2717"/>
    <mergeCell ref="AB2717:AF2717"/>
    <mergeCell ref="V2705:W2706"/>
    <mergeCell ref="X2705:Y2706"/>
    <mergeCell ref="Z2705:Z2707"/>
    <mergeCell ref="AA2705:AA2707"/>
    <mergeCell ref="AB2705:AD2706"/>
    <mergeCell ref="AE2705:AF2706"/>
    <mergeCell ref="I2705:I2706"/>
    <mergeCell ref="J2705:K2706"/>
    <mergeCell ref="L2705:M2706"/>
    <mergeCell ref="N2705:O2706"/>
    <mergeCell ref="P2705:Q2706"/>
    <mergeCell ref="R2705:S2706"/>
    <mergeCell ref="T2705:U2706"/>
    <mergeCell ref="B2708:C2708"/>
    <mergeCell ref="B2709:C2709"/>
    <mergeCell ref="E2706:F2706"/>
    <mergeCell ref="B2707:D2707"/>
    <mergeCell ref="E2707:G2707"/>
    <mergeCell ref="H2707:I2707"/>
    <mergeCell ref="E2708:E2710"/>
    <mergeCell ref="H2708:I2708"/>
    <mergeCell ref="H2709:I2709"/>
    <mergeCell ref="B2714:C2714"/>
    <mergeCell ref="B2715:C2715"/>
    <mergeCell ref="B2719:C2719"/>
    <mergeCell ref="D2719:G2719"/>
    <mergeCell ref="E2720:F2720"/>
    <mergeCell ref="B2706:C2706"/>
    <mergeCell ref="B2710:C2710"/>
    <mergeCell ref="B2711:C2711"/>
    <mergeCell ref="E2711:E2713"/>
    <mergeCell ref="B2712:C2712"/>
    <mergeCell ref="B2713:D2713"/>
    <mergeCell ref="E2714:E2716"/>
    <mergeCell ref="H2710:I2710"/>
    <mergeCell ref="H2711:I2711"/>
    <mergeCell ref="H2712:I2712"/>
    <mergeCell ref="H2713:I2713"/>
    <mergeCell ref="H2714:I2714"/>
    <mergeCell ref="H2715:I2715"/>
    <mergeCell ref="H2716:I2716"/>
    <mergeCell ref="J2734:Z2734"/>
    <mergeCell ref="AA2734:AF2734"/>
    <mergeCell ref="B2731:C2731"/>
    <mergeCell ref="B2732:C2732"/>
    <mergeCell ref="E2732:F2732"/>
    <mergeCell ref="I2732:O2732"/>
    <mergeCell ref="P2732:Q2732"/>
    <mergeCell ref="R2732:Z2732"/>
    <mergeCell ref="AB2732:AF2732"/>
    <mergeCell ref="V2720:W2721"/>
    <mergeCell ref="X2720:Y2721"/>
    <mergeCell ref="Z2720:Z2722"/>
    <mergeCell ref="AA2720:AA2722"/>
    <mergeCell ref="AB2720:AD2721"/>
    <mergeCell ref="AE2720:AF2721"/>
    <mergeCell ref="I2720:I2721"/>
    <mergeCell ref="J2720:K2721"/>
    <mergeCell ref="L2720:M2721"/>
    <mergeCell ref="N2720:O2721"/>
    <mergeCell ref="P2720:Q2721"/>
    <mergeCell ref="R2720:S2721"/>
    <mergeCell ref="T2720:U2721"/>
    <mergeCell ref="B2723:C2723"/>
    <mergeCell ref="B2724:C2724"/>
    <mergeCell ref="E2721:F2721"/>
    <mergeCell ref="B2722:D2722"/>
    <mergeCell ref="E2722:G2722"/>
    <mergeCell ref="H2722:I2722"/>
    <mergeCell ref="E2723:E2725"/>
    <mergeCell ref="H2723:I2723"/>
    <mergeCell ref="H2724:I2724"/>
    <mergeCell ref="B2729:C2729"/>
    <mergeCell ref="B2730:C2730"/>
    <mergeCell ref="B2734:C2734"/>
    <mergeCell ref="D2734:G2734"/>
    <mergeCell ref="E2735:F2735"/>
    <mergeCell ref="B2721:C2721"/>
    <mergeCell ref="B2725:C2725"/>
    <mergeCell ref="B2726:C2726"/>
    <mergeCell ref="E2726:E2728"/>
    <mergeCell ref="B2727:C2727"/>
    <mergeCell ref="B2728:D2728"/>
    <mergeCell ref="E2729:E2731"/>
    <mergeCell ref="H2725:I2725"/>
    <mergeCell ref="H2726:I2726"/>
    <mergeCell ref="H2727:I2727"/>
    <mergeCell ref="H2728:I2728"/>
    <mergeCell ref="H2729:I2729"/>
    <mergeCell ref="H2730:I2730"/>
    <mergeCell ref="H2731:I2731"/>
    <mergeCell ref="J2749:Z2749"/>
    <mergeCell ref="AA2749:AF2749"/>
    <mergeCell ref="B2746:C2746"/>
    <mergeCell ref="B2747:C2747"/>
    <mergeCell ref="E2747:F2747"/>
    <mergeCell ref="I2747:O2747"/>
    <mergeCell ref="P2747:Q2747"/>
    <mergeCell ref="R2747:Z2747"/>
    <mergeCell ref="AB2747:AF2747"/>
    <mergeCell ref="V2735:W2736"/>
    <mergeCell ref="X2735:Y2736"/>
    <mergeCell ref="Z2735:Z2737"/>
    <mergeCell ref="AA2735:AA2737"/>
    <mergeCell ref="AB2735:AD2736"/>
    <mergeCell ref="AE2735:AF2736"/>
    <mergeCell ref="I2735:I2736"/>
    <mergeCell ref="J2735:K2736"/>
    <mergeCell ref="L2735:M2736"/>
    <mergeCell ref="N2735:O2736"/>
    <mergeCell ref="P2735:Q2736"/>
    <mergeCell ref="R2735:S2736"/>
    <mergeCell ref="T2735:U2736"/>
    <mergeCell ref="B2738:C2738"/>
    <mergeCell ref="B2739:C2739"/>
    <mergeCell ref="E2736:F2736"/>
    <mergeCell ref="B2737:D2737"/>
    <mergeCell ref="E2737:G2737"/>
    <mergeCell ref="H2737:I2737"/>
    <mergeCell ref="E2738:E2740"/>
    <mergeCell ref="H2738:I2738"/>
    <mergeCell ref="H2739:I2739"/>
    <mergeCell ref="B2744:C2744"/>
    <mergeCell ref="B2745:C2745"/>
    <mergeCell ref="B2749:C2749"/>
    <mergeCell ref="D2749:G2749"/>
    <mergeCell ref="E2750:F2750"/>
    <mergeCell ref="B2736:C2736"/>
    <mergeCell ref="B2740:C2740"/>
    <mergeCell ref="B2741:C2741"/>
    <mergeCell ref="E2741:E2743"/>
    <mergeCell ref="B2742:C2742"/>
    <mergeCell ref="B2743:D2743"/>
    <mergeCell ref="E2744:E2746"/>
    <mergeCell ref="H2740:I2740"/>
    <mergeCell ref="H2741:I2741"/>
    <mergeCell ref="H2742:I2742"/>
    <mergeCell ref="H2743:I2743"/>
    <mergeCell ref="H2744:I2744"/>
    <mergeCell ref="H2745:I2745"/>
    <mergeCell ref="H2746:I2746"/>
    <mergeCell ref="J2764:Z2764"/>
    <mergeCell ref="AA2764:AF2764"/>
    <mergeCell ref="B2761:C2761"/>
    <mergeCell ref="B2762:C2762"/>
    <mergeCell ref="E2762:F2762"/>
    <mergeCell ref="I2762:O2762"/>
    <mergeCell ref="P2762:Q2762"/>
    <mergeCell ref="R2762:Z2762"/>
    <mergeCell ref="AB2762:AF2762"/>
    <mergeCell ref="V2750:W2751"/>
    <mergeCell ref="X2750:Y2751"/>
    <mergeCell ref="Z2750:Z2752"/>
    <mergeCell ref="AA2750:AA2752"/>
    <mergeCell ref="AB2750:AD2751"/>
    <mergeCell ref="AE2750:AF2751"/>
    <mergeCell ref="I2750:I2751"/>
    <mergeCell ref="J2750:K2751"/>
    <mergeCell ref="L2750:M2751"/>
    <mergeCell ref="N2750:O2751"/>
    <mergeCell ref="P2750:Q2751"/>
    <mergeCell ref="R2750:S2751"/>
    <mergeCell ref="T2750:U2751"/>
    <mergeCell ref="B2753:C2753"/>
    <mergeCell ref="B2754:C2754"/>
    <mergeCell ref="E2751:F2751"/>
    <mergeCell ref="B2752:D2752"/>
    <mergeCell ref="E2752:G2752"/>
    <mergeCell ref="H2752:I2752"/>
    <mergeCell ref="E2753:E2755"/>
    <mergeCell ref="H2753:I2753"/>
    <mergeCell ref="H2754:I2754"/>
    <mergeCell ref="B2759:C2759"/>
    <mergeCell ref="B2760:C2760"/>
    <mergeCell ref="B2764:C2764"/>
    <mergeCell ref="D2764:G2764"/>
    <mergeCell ref="E2765:F2765"/>
    <mergeCell ref="B2751:C2751"/>
    <mergeCell ref="B2755:C2755"/>
    <mergeCell ref="B2756:C2756"/>
    <mergeCell ref="E2756:E2758"/>
    <mergeCell ref="B2757:C2757"/>
    <mergeCell ref="B2758:D2758"/>
    <mergeCell ref="E2759:E2761"/>
    <mergeCell ref="H2755:I2755"/>
    <mergeCell ref="H2756:I2756"/>
    <mergeCell ref="H2757:I2757"/>
    <mergeCell ref="H2758:I2758"/>
    <mergeCell ref="H2759:I2759"/>
    <mergeCell ref="H2760:I2760"/>
    <mergeCell ref="H2761:I2761"/>
    <mergeCell ref="J2779:Z2779"/>
    <mergeCell ref="AA2779:AF2779"/>
    <mergeCell ref="B2776:C2776"/>
    <mergeCell ref="B2777:C2777"/>
    <mergeCell ref="E2777:F2777"/>
    <mergeCell ref="I2777:O2777"/>
    <mergeCell ref="P2777:Q2777"/>
    <mergeCell ref="R2777:Z2777"/>
    <mergeCell ref="AB2777:AF2777"/>
    <mergeCell ref="V2765:W2766"/>
    <mergeCell ref="X2765:Y2766"/>
    <mergeCell ref="Z2765:Z2767"/>
    <mergeCell ref="AA2765:AA2767"/>
    <mergeCell ref="AB2765:AD2766"/>
    <mergeCell ref="AE2765:AF2766"/>
    <mergeCell ref="I2765:I2766"/>
    <mergeCell ref="J2765:K2766"/>
    <mergeCell ref="L2765:M2766"/>
    <mergeCell ref="N2765:O2766"/>
    <mergeCell ref="P2765:Q2766"/>
    <mergeCell ref="R2765:S2766"/>
    <mergeCell ref="T2765:U2766"/>
    <mergeCell ref="B2768:C2768"/>
    <mergeCell ref="B2769:C2769"/>
    <mergeCell ref="E2766:F2766"/>
    <mergeCell ref="B2767:D2767"/>
    <mergeCell ref="E2767:G2767"/>
    <mergeCell ref="H2767:I2767"/>
    <mergeCell ref="E2768:E2770"/>
    <mergeCell ref="H2768:I2768"/>
    <mergeCell ref="H2769:I2769"/>
    <mergeCell ref="B2774:C2774"/>
    <mergeCell ref="B2775:C2775"/>
    <mergeCell ref="B2779:C2779"/>
    <mergeCell ref="D2779:G2779"/>
    <mergeCell ref="E2780:F2780"/>
    <mergeCell ref="B2766:C2766"/>
    <mergeCell ref="B2770:C2770"/>
    <mergeCell ref="B2771:C2771"/>
    <mergeCell ref="E2771:E2773"/>
    <mergeCell ref="B2772:C2772"/>
    <mergeCell ref="B2773:D2773"/>
    <mergeCell ref="E2774:E2776"/>
    <mergeCell ref="H2770:I2770"/>
    <mergeCell ref="H2771:I2771"/>
    <mergeCell ref="H2772:I2772"/>
    <mergeCell ref="H2773:I2773"/>
    <mergeCell ref="H2774:I2774"/>
    <mergeCell ref="H2775:I2775"/>
    <mergeCell ref="H2776:I2776"/>
    <mergeCell ref="J2794:Z2794"/>
    <mergeCell ref="AA2794:AF2794"/>
    <mergeCell ref="B2791:C2791"/>
    <mergeCell ref="B2792:C2792"/>
    <mergeCell ref="E2792:F2792"/>
    <mergeCell ref="I2792:O2792"/>
    <mergeCell ref="P2792:Q2792"/>
    <mergeCell ref="R2792:Z2792"/>
    <mergeCell ref="AB2792:AF2792"/>
    <mergeCell ref="V2780:W2781"/>
    <mergeCell ref="X2780:Y2781"/>
    <mergeCell ref="Z2780:Z2782"/>
    <mergeCell ref="AA2780:AA2782"/>
    <mergeCell ref="AB2780:AD2781"/>
    <mergeCell ref="AE2780:AF2781"/>
    <mergeCell ref="I2780:I2781"/>
    <mergeCell ref="J2780:K2781"/>
    <mergeCell ref="L2780:M2781"/>
    <mergeCell ref="N2780:O2781"/>
    <mergeCell ref="P2780:Q2781"/>
    <mergeCell ref="R2780:S2781"/>
    <mergeCell ref="T2780:U2781"/>
    <mergeCell ref="B2783:C2783"/>
    <mergeCell ref="B2784:C2784"/>
    <mergeCell ref="E2781:F2781"/>
    <mergeCell ref="B2782:D2782"/>
    <mergeCell ref="E2782:G2782"/>
    <mergeCell ref="H2782:I2782"/>
    <mergeCell ref="E2783:E2785"/>
    <mergeCell ref="H2783:I2783"/>
    <mergeCell ref="H2784:I2784"/>
    <mergeCell ref="B2789:C2789"/>
    <mergeCell ref="B2790:C2790"/>
    <mergeCell ref="B2794:C2794"/>
    <mergeCell ref="D2794:G2794"/>
    <mergeCell ref="E2795:F2795"/>
    <mergeCell ref="B2781:C2781"/>
    <mergeCell ref="B2785:C2785"/>
    <mergeCell ref="B2786:C2786"/>
    <mergeCell ref="E2786:E2788"/>
    <mergeCell ref="B2787:C2787"/>
    <mergeCell ref="B2788:D2788"/>
    <mergeCell ref="E2789:E2791"/>
    <mergeCell ref="H2785:I2785"/>
    <mergeCell ref="H2786:I2786"/>
    <mergeCell ref="H2787:I2787"/>
    <mergeCell ref="H2788:I2788"/>
    <mergeCell ref="H2789:I2789"/>
    <mergeCell ref="H2790:I2790"/>
    <mergeCell ref="H2791:I2791"/>
    <mergeCell ref="J2809:Z2809"/>
    <mergeCell ref="AA2809:AF2809"/>
    <mergeCell ref="B2806:C2806"/>
    <mergeCell ref="B2807:C2807"/>
    <mergeCell ref="E2807:F2807"/>
    <mergeCell ref="I2807:O2807"/>
    <mergeCell ref="P2807:Q2807"/>
    <mergeCell ref="R2807:Z2807"/>
    <mergeCell ref="AB2807:AF2807"/>
    <mergeCell ref="V2795:W2796"/>
    <mergeCell ref="X2795:Y2796"/>
    <mergeCell ref="Z2795:Z2797"/>
    <mergeCell ref="AA2795:AA2797"/>
    <mergeCell ref="AB2795:AD2796"/>
    <mergeCell ref="AE2795:AF2796"/>
    <mergeCell ref="I2795:I2796"/>
    <mergeCell ref="J2795:K2796"/>
    <mergeCell ref="L2795:M2796"/>
    <mergeCell ref="N2795:O2796"/>
    <mergeCell ref="P2795:Q2796"/>
    <mergeCell ref="R2795:S2796"/>
    <mergeCell ref="T2795:U2796"/>
    <mergeCell ref="B2798:C2798"/>
    <mergeCell ref="B2799:C2799"/>
    <mergeCell ref="E2796:F2796"/>
    <mergeCell ref="B2797:D2797"/>
    <mergeCell ref="E2797:G2797"/>
    <mergeCell ref="H2797:I2797"/>
    <mergeCell ref="E2798:E2800"/>
    <mergeCell ref="H2798:I2798"/>
    <mergeCell ref="H2799:I2799"/>
    <mergeCell ref="B2804:C2804"/>
    <mergeCell ref="B2805:C2805"/>
    <mergeCell ref="B2809:C2809"/>
    <mergeCell ref="D2809:G2809"/>
    <mergeCell ref="E2810:F2810"/>
    <mergeCell ref="B2796:C2796"/>
    <mergeCell ref="B2800:C2800"/>
    <mergeCell ref="B2801:C2801"/>
    <mergeCell ref="E2801:E2803"/>
    <mergeCell ref="B2802:C2802"/>
    <mergeCell ref="B2803:D2803"/>
    <mergeCell ref="E2804:E2806"/>
    <mergeCell ref="H2800:I2800"/>
    <mergeCell ref="H2801:I2801"/>
    <mergeCell ref="H2802:I2802"/>
    <mergeCell ref="H2803:I2803"/>
    <mergeCell ref="H2804:I2804"/>
    <mergeCell ref="H2805:I2805"/>
    <mergeCell ref="H2806:I2806"/>
    <mergeCell ref="J2824:Z2824"/>
    <mergeCell ref="AA2824:AF2824"/>
    <mergeCell ref="B2821:C2821"/>
    <mergeCell ref="B2822:C2822"/>
    <mergeCell ref="E2822:F2822"/>
    <mergeCell ref="I2822:O2822"/>
    <mergeCell ref="P2822:Q2822"/>
    <mergeCell ref="R2822:Z2822"/>
    <mergeCell ref="AB2822:AF2822"/>
    <mergeCell ref="V2810:W2811"/>
    <mergeCell ref="X2810:Y2811"/>
    <mergeCell ref="Z2810:Z2812"/>
    <mergeCell ref="AA2810:AA2812"/>
    <mergeCell ref="AB2810:AD2811"/>
    <mergeCell ref="AE2810:AF2811"/>
    <mergeCell ref="I2810:I2811"/>
    <mergeCell ref="J2810:K2811"/>
    <mergeCell ref="L2810:M2811"/>
    <mergeCell ref="N2810:O2811"/>
    <mergeCell ref="P2810:Q2811"/>
    <mergeCell ref="R2810:S2811"/>
    <mergeCell ref="T2810:U2811"/>
    <mergeCell ref="B2813:C2813"/>
    <mergeCell ref="B2814:C2814"/>
    <mergeCell ref="E2811:F2811"/>
    <mergeCell ref="B2812:D2812"/>
    <mergeCell ref="E2812:G2812"/>
    <mergeCell ref="H2812:I2812"/>
    <mergeCell ref="E2813:E2815"/>
    <mergeCell ref="H2813:I2813"/>
    <mergeCell ref="H2814:I2814"/>
    <mergeCell ref="B2819:C2819"/>
    <mergeCell ref="B2820:C2820"/>
    <mergeCell ref="B2824:C2824"/>
    <mergeCell ref="D2824:G2824"/>
    <mergeCell ref="E2825:F2825"/>
    <mergeCell ref="B2811:C2811"/>
    <mergeCell ref="B2815:C2815"/>
    <mergeCell ref="B2816:C2816"/>
    <mergeCell ref="E2816:E2818"/>
    <mergeCell ref="B2817:C2817"/>
    <mergeCell ref="B2818:D2818"/>
    <mergeCell ref="E2819:E2821"/>
    <mergeCell ref="H2815:I2815"/>
    <mergeCell ref="H2816:I2816"/>
    <mergeCell ref="H2817:I2817"/>
    <mergeCell ref="H2818:I2818"/>
    <mergeCell ref="H2819:I2819"/>
    <mergeCell ref="H2820:I2820"/>
    <mergeCell ref="H2821:I2821"/>
    <mergeCell ref="J2944:Z2944"/>
    <mergeCell ref="AA2944:AF2944"/>
    <mergeCell ref="B2941:C2941"/>
    <mergeCell ref="B2942:C2942"/>
    <mergeCell ref="E2942:F2942"/>
    <mergeCell ref="I2942:O2942"/>
    <mergeCell ref="P2942:Q2942"/>
    <mergeCell ref="R2942:Z2942"/>
    <mergeCell ref="AB2942:AF2942"/>
    <mergeCell ref="V2930:W2931"/>
    <mergeCell ref="X2930:Y2931"/>
    <mergeCell ref="Z2930:Z2932"/>
    <mergeCell ref="AA2930:AA2932"/>
    <mergeCell ref="AB2930:AD2931"/>
    <mergeCell ref="AE2930:AF2931"/>
    <mergeCell ref="I2930:I2931"/>
    <mergeCell ref="J2930:K2931"/>
    <mergeCell ref="L2930:M2931"/>
    <mergeCell ref="N2930:O2931"/>
    <mergeCell ref="P2930:Q2931"/>
    <mergeCell ref="R2930:S2931"/>
    <mergeCell ref="T2930:U2931"/>
    <mergeCell ref="B2933:C2933"/>
    <mergeCell ref="B2934:C2934"/>
    <mergeCell ref="E2931:F2931"/>
    <mergeCell ref="B2932:D2932"/>
    <mergeCell ref="E2932:G2932"/>
    <mergeCell ref="H2932:I2932"/>
    <mergeCell ref="E2933:E2935"/>
    <mergeCell ref="H2933:I2933"/>
    <mergeCell ref="H2934:I2934"/>
    <mergeCell ref="B2939:C2939"/>
    <mergeCell ref="B2940:C2940"/>
    <mergeCell ref="B2944:C2944"/>
    <mergeCell ref="D2944:G2944"/>
    <mergeCell ref="E2945:F2945"/>
    <mergeCell ref="B2931:C2931"/>
    <mergeCell ref="B2935:C2935"/>
    <mergeCell ref="B2936:C2936"/>
    <mergeCell ref="E2936:E2938"/>
    <mergeCell ref="B2937:C2937"/>
    <mergeCell ref="B2938:D2938"/>
    <mergeCell ref="E2939:E2941"/>
    <mergeCell ref="H2935:I2935"/>
    <mergeCell ref="H2936:I2936"/>
    <mergeCell ref="H2937:I2937"/>
    <mergeCell ref="H2938:I2938"/>
    <mergeCell ref="H2939:I2939"/>
    <mergeCell ref="H2940:I2940"/>
    <mergeCell ref="H2941:I2941"/>
    <mergeCell ref="J2959:Z2959"/>
    <mergeCell ref="AA2959:AF2959"/>
    <mergeCell ref="B2956:C2956"/>
    <mergeCell ref="B2957:C2957"/>
    <mergeCell ref="E2957:F2957"/>
    <mergeCell ref="I2957:O2957"/>
    <mergeCell ref="P2957:Q2957"/>
    <mergeCell ref="R2957:Z2957"/>
    <mergeCell ref="AB2957:AF2957"/>
    <mergeCell ref="V2945:W2946"/>
    <mergeCell ref="X2945:Y2946"/>
    <mergeCell ref="Z2945:Z2947"/>
    <mergeCell ref="AA2945:AA2947"/>
    <mergeCell ref="AB2945:AD2946"/>
    <mergeCell ref="AE2945:AF2946"/>
    <mergeCell ref="I2945:I2946"/>
    <mergeCell ref="J2945:K2946"/>
    <mergeCell ref="L2945:M2946"/>
    <mergeCell ref="N2945:O2946"/>
    <mergeCell ref="P2945:Q2946"/>
    <mergeCell ref="R2945:S2946"/>
    <mergeCell ref="T2945:U2946"/>
    <mergeCell ref="B2948:C2948"/>
    <mergeCell ref="B2949:C2949"/>
    <mergeCell ref="E2946:F2946"/>
    <mergeCell ref="B2947:D2947"/>
    <mergeCell ref="E2947:G2947"/>
    <mergeCell ref="H2947:I2947"/>
    <mergeCell ref="E2948:E2950"/>
    <mergeCell ref="H2948:I2948"/>
    <mergeCell ref="H2949:I2949"/>
    <mergeCell ref="B2954:C2954"/>
    <mergeCell ref="B2955:C2955"/>
    <mergeCell ref="B2959:C2959"/>
    <mergeCell ref="D2959:G2959"/>
    <mergeCell ref="E2960:F2960"/>
    <mergeCell ref="B2946:C2946"/>
    <mergeCell ref="B2950:C2950"/>
    <mergeCell ref="B2951:C2951"/>
    <mergeCell ref="E2951:E2953"/>
    <mergeCell ref="B2952:C2952"/>
    <mergeCell ref="B2953:D2953"/>
    <mergeCell ref="E2954:E2956"/>
    <mergeCell ref="H2950:I2950"/>
    <mergeCell ref="H2951:I2951"/>
    <mergeCell ref="H2952:I2952"/>
    <mergeCell ref="H2953:I2953"/>
    <mergeCell ref="H2954:I2954"/>
    <mergeCell ref="H2955:I2955"/>
    <mergeCell ref="H2956:I2956"/>
    <mergeCell ref="J2974:Z2974"/>
    <mergeCell ref="AA2974:AF2974"/>
    <mergeCell ref="B2971:C2971"/>
    <mergeCell ref="B2972:C2972"/>
    <mergeCell ref="E2972:F2972"/>
    <mergeCell ref="I2972:O2972"/>
    <mergeCell ref="P2972:Q2972"/>
    <mergeCell ref="R2972:Z2972"/>
    <mergeCell ref="AB2972:AF2972"/>
    <mergeCell ref="V2960:W2961"/>
    <mergeCell ref="X2960:Y2961"/>
    <mergeCell ref="Z2960:Z2962"/>
    <mergeCell ref="AA2960:AA2962"/>
    <mergeCell ref="AB2960:AD2961"/>
    <mergeCell ref="AE2960:AF2961"/>
    <mergeCell ref="I2960:I2961"/>
    <mergeCell ref="J2960:K2961"/>
    <mergeCell ref="L2960:M2961"/>
    <mergeCell ref="N2960:O2961"/>
    <mergeCell ref="P2960:Q2961"/>
    <mergeCell ref="R2960:S2961"/>
    <mergeCell ref="T2960:U2961"/>
    <mergeCell ref="B2963:C2963"/>
    <mergeCell ref="B2964:C2964"/>
    <mergeCell ref="E2961:F2961"/>
    <mergeCell ref="B2962:D2962"/>
    <mergeCell ref="E2962:G2962"/>
    <mergeCell ref="H2962:I2962"/>
    <mergeCell ref="E2963:E2965"/>
    <mergeCell ref="H2963:I2963"/>
    <mergeCell ref="H2964:I2964"/>
    <mergeCell ref="B2969:C2969"/>
    <mergeCell ref="B2970:C2970"/>
    <mergeCell ref="B2974:C2974"/>
    <mergeCell ref="D2974:G2974"/>
    <mergeCell ref="E2975:F2975"/>
    <mergeCell ref="B2961:C2961"/>
    <mergeCell ref="B2965:C2965"/>
    <mergeCell ref="B2966:C2966"/>
    <mergeCell ref="E2966:E2968"/>
    <mergeCell ref="B2967:C2967"/>
    <mergeCell ref="B2968:D2968"/>
    <mergeCell ref="E2969:E2971"/>
    <mergeCell ref="H2965:I2965"/>
    <mergeCell ref="H2966:I2966"/>
    <mergeCell ref="H2967:I2967"/>
    <mergeCell ref="H2968:I2968"/>
    <mergeCell ref="H2969:I2969"/>
    <mergeCell ref="H2970:I2970"/>
    <mergeCell ref="H2971:I2971"/>
    <mergeCell ref="J2989:Z2989"/>
    <mergeCell ref="AA2989:AF2989"/>
    <mergeCell ref="B2986:C2986"/>
    <mergeCell ref="B2987:C2987"/>
    <mergeCell ref="E2987:F2987"/>
    <mergeCell ref="I2987:O2987"/>
    <mergeCell ref="P2987:Q2987"/>
    <mergeCell ref="R2987:Z2987"/>
    <mergeCell ref="AB2987:AF2987"/>
    <mergeCell ref="V2975:W2976"/>
    <mergeCell ref="X2975:Y2976"/>
    <mergeCell ref="Z2975:Z2977"/>
    <mergeCell ref="AA2975:AA2977"/>
    <mergeCell ref="AB2975:AD2976"/>
    <mergeCell ref="AE2975:AF2976"/>
    <mergeCell ref="I2975:I2976"/>
    <mergeCell ref="J2975:K2976"/>
    <mergeCell ref="L2975:M2976"/>
    <mergeCell ref="N2975:O2976"/>
    <mergeCell ref="P2975:Q2976"/>
    <mergeCell ref="R2975:S2976"/>
    <mergeCell ref="T2975:U2976"/>
    <mergeCell ref="B2978:C2978"/>
    <mergeCell ref="B2979:C2979"/>
    <mergeCell ref="E2976:F2976"/>
    <mergeCell ref="B2977:D2977"/>
    <mergeCell ref="E2977:G2977"/>
    <mergeCell ref="H2977:I2977"/>
    <mergeCell ref="E2978:E2980"/>
    <mergeCell ref="H2978:I2978"/>
    <mergeCell ref="H2979:I2979"/>
    <mergeCell ref="B2984:C2984"/>
    <mergeCell ref="B2985:C2985"/>
    <mergeCell ref="B2989:C2989"/>
    <mergeCell ref="D2989:G2989"/>
    <mergeCell ref="E2990:F2990"/>
    <mergeCell ref="B2976:C2976"/>
    <mergeCell ref="B2980:C2980"/>
    <mergeCell ref="B2981:C2981"/>
    <mergeCell ref="E2981:E2983"/>
    <mergeCell ref="B2982:C2982"/>
    <mergeCell ref="B2983:D2983"/>
    <mergeCell ref="E2984:E2986"/>
    <mergeCell ref="H2980:I2980"/>
    <mergeCell ref="H2981:I2981"/>
    <mergeCell ref="H2982:I2982"/>
    <mergeCell ref="H2983:I2983"/>
    <mergeCell ref="H2984:I2984"/>
    <mergeCell ref="H2985:I2985"/>
    <mergeCell ref="H2986:I2986"/>
    <mergeCell ref="J79:Z79"/>
    <mergeCell ref="AA79:AF79"/>
    <mergeCell ref="B76:C76"/>
    <mergeCell ref="B77:C77"/>
    <mergeCell ref="E77:F77"/>
    <mergeCell ref="I77:O77"/>
    <mergeCell ref="P77:Q77"/>
    <mergeCell ref="R77:Z77"/>
    <mergeCell ref="AB77:AF77"/>
    <mergeCell ref="V65:W66"/>
    <mergeCell ref="X65:Y66"/>
    <mergeCell ref="Z65:Z67"/>
    <mergeCell ref="AA65:AA67"/>
    <mergeCell ref="AB65:AD66"/>
    <mergeCell ref="AE65:AF66"/>
    <mergeCell ref="I65:I66"/>
    <mergeCell ref="J65:K66"/>
    <mergeCell ref="L65:M66"/>
    <mergeCell ref="N65:O66"/>
    <mergeCell ref="P65:Q66"/>
    <mergeCell ref="R65:S66"/>
    <mergeCell ref="T65:U66"/>
    <mergeCell ref="B68:C68"/>
    <mergeCell ref="B69:C69"/>
    <mergeCell ref="E66:F66"/>
    <mergeCell ref="B67:D67"/>
    <mergeCell ref="E67:G67"/>
    <mergeCell ref="H67:I67"/>
    <mergeCell ref="E68:E70"/>
    <mergeCell ref="H68:I68"/>
    <mergeCell ref="H69:I69"/>
    <mergeCell ref="B74:C74"/>
    <mergeCell ref="B75:C75"/>
    <mergeCell ref="B79:C79"/>
    <mergeCell ref="D79:G79"/>
    <mergeCell ref="E80:F80"/>
    <mergeCell ref="B66:C66"/>
    <mergeCell ref="B70:C70"/>
    <mergeCell ref="B71:C71"/>
    <mergeCell ref="E71:E73"/>
    <mergeCell ref="B72:C72"/>
    <mergeCell ref="B73:D73"/>
    <mergeCell ref="E74:E76"/>
    <mergeCell ref="H70:I70"/>
    <mergeCell ref="H71:I71"/>
    <mergeCell ref="H72:I72"/>
    <mergeCell ref="H73:I73"/>
    <mergeCell ref="H74:I74"/>
    <mergeCell ref="H75:I75"/>
    <mergeCell ref="H76:I76"/>
    <mergeCell ref="J94:Z94"/>
    <mergeCell ref="AA94:AF94"/>
    <mergeCell ref="B91:C91"/>
    <mergeCell ref="B92:C92"/>
    <mergeCell ref="E92:F92"/>
    <mergeCell ref="I92:O92"/>
    <mergeCell ref="P92:Q92"/>
    <mergeCell ref="R92:Z92"/>
    <mergeCell ref="AB92:AF92"/>
    <mergeCell ref="V80:W81"/>
    <mergeCell ref="X80:Y81"/>
    <mergeCell ref="Z80:Z82"/>
    <mergeCell ref="AA80:AA82"/>
    <mergeCell ref="AB80:AD81"/>
    <mergeCell ref="AE80:AF81"/>
    <mergeCell ref="I80:I81"/>
    <mergeCell ref="J80:K81"/>
    <mergeCell ref="L80:M81"/>
    <mergeCell ref="N80:O81"/>
    <mergeCell ref="P80:Q81"/>
    <mergeCell ref="R80:S81"/>
    <mergeCell ref="T80:U81"/>
    <mergeCell ref="B83:C83"/>
    <mergeCell ref="B84:C84"/>
    <mergeCell ref="E81:F81"/>
    <mergeCell ref="B82:D82"/>
    <mergeCell ref="E82:G82"/>
    <mergeCell ref="H82:I82"/>
    <mergeCell ref="E83:E85"/>
    <mergeCell ref="H83:I83"/>
    <mergeCell ref="H84:I84"/>
    <mergeCell ref="B89:C89"/>
    <mergeCell ref="B90:C90"/>
    <mergeCell ref="B94:C94"/>
    <mergeCell ref="D94:G94"/>
    <mergeCell ref="E95:F95"/>
    <mergeCell ref="B81:C81"/>
    <mergeCell ref="B85:C85"/>
    <mergeCell ref="B86:C86"/>
    <mergeCell ref="E86:E88"/>
    <mergeCell ref="B87:C87"/>
    <mergeCell ref="B88:D88"/>
    <mergeCell ref="E89:E91"/>
    <mergeCell ref="H85:I85"/>
    <mergeCell ref="H86:I86"/>
    <mergeCell ref="H87:I87"/>
    <mergeCell ref="H88:I88"/>
    <mergeCell ref="H89:I89"/>
    <mergeCell ref="H90:I90"/>
    <mergeCell ref="H91:I91"/>
    <mergeCell ref="J109:Z109"/>
    <mergeCell ref="AA109:AF109"/>
    <mergeCell ref="B106:C106"/>
    <mergeCell ref="B107:C107"/>
    <mergeCell ref="E107:F107"/>
    <mergeCell ref="I107:O107"/>
    <mergeCell ref="P107:Q107"/>
    <mergeCell ref="R107:Z107"/>
    <mergeCell ref="AB107:AF107"/>
    <mergeCell ref="V95:W96"/>
    <mergeCell ref="X95:Y96"/>
    <mergeCell ref="Z95:Z97"/>
    <mergeCell ref="AA95:AA97"/>
    <mergeCell ref="AB95:AD96"/>
    <mergeCell ref="AE95:AF96"/>
    <mergeCell ref="I95:I96"/>
    <mergeCell ref="J95:K96"/>
    <mergeCell ref="L95:M96"/>
    <mergeCell ref="N95:O96"/>
    <mergeCell ref="P95:Q96"/>
    <mergeCell ref="R95:S96"/>
    <mergeCell ref="T95:U96"/>
    <mergeCell ref="B98:C98"/>
    <mergeCell ref="B99:C99"/>
    <mergeCell ref="E96:F96"/>
    <mergeCell ref="B97:D97"/>
    <mergeCell ref="E97:G97"/>
    <mergeCell ref="H97:I97"/>
    <mergeCell ref="E98:E100"/>
    <mergeCell ref="H98:I98"/>
    <mergeCell ref="H99:I99"/>
    <mergeCell ref="B104:C104"/>
    <mergeCell ref="B105:C105"/>
    <mergeCell ref="B109:C109"/>
    <mergeCell ref="D109:G109"/>
    <mergeCell ref="E110:F110"/>
    <mergeCell ref="B96:C96"/>
    <mergeCell ref="B100:C100"/>
    <mergeCell ref="B101:C101"/>
    <mergeCell ref="E101:E103"/>
    <mergeCell ref="B102:C102"/>
    <mergeCell ref="B103:D103"/>
    <mergeCell ref="E104:E106"/>
    <mergeCell ref="H100:I100"/>
    <mergeCell ref="H101:I101"/>
    <mergeCell ref="H102:I102"/>
    <mergeCell ref="H103:I103"/>
    <mergeCell ref="H104:I104"/>
    <mergeCell ref="H105:I105"/>
    <mergeCell ref="H106:I106"/>
    <mergeCell ref="V2990:W2991"/>
    <mergeCell ref="X2990:Y2991"/>
    <mergeCell ref="Z2990:Z2992"/>
    <mergeCell ref="AA2990:AA2992"/>
    <mergeCell ref="AB2990:AD2991"/>
    <mergeCell ref="AE2990:AF2991"/>
    <mergeCell ref="I2990:I2991"/>
    <mergeCell ref="J2990:K2991"/>
    <mergeCell ref="L2990:M2991"/>
    <mergeCell ref="N2990:O2991"/>
    <mergeCell ref="P2990:Q2991"/>
    <mergeCell ref="R2990:S2991"/>
    <mergeCell ref="T2990:U2991"/>
    <mergeCell ref="B2993:C2993"/>
    <mergeCell ref="B2994:C2994"/>
    <mergeCell ref="H2995:I2995"/>
    <mergeCell ref="H2996:I2996"/>
    <mergeCell ref="H2997:I2997"/>
    <mergeCell ref="H2998:I2998"/>
    <mergeCell ref="H2999:I2999"/>
    <mergeCell ref="H3000:I3000"/>
    <mergeCell ref="H3001:I3001"/>
    <mergeCell ref="E2991:F2991"/>
    <mergeCell ref="B2992:D2992"/>
    <mergeCell ref="E2992:G2992"/>
    <mergeCell ref="H2992:I2992"/>
    <mergeCell ref="E2993:E2995"/>
    <mergeCell ref="H2993:I2993"/>
    <mergeCell ref="H2994:I2994"/>
    <mergeCell ref="B2999:C2999"/>
    <mergeCell ref="B3000:C3000"/>
    <mergeCell ref="B3001:C3001"/>
    <mergeCell ref="B3002:C3002"/>
    <mergeCell ref="E3002:F3002"/>
    <mergeCell ref="I3002:O3002"/>
    <mergeCell ref="P3002:Q3002"/>
    <mergeCell ref="R3002:Z3002"/>
    <mergeCell ref="AB3002:AF3002"/>
    <mergeCell ref="B2991:C2991"/>
    <mergeCell ref="B2995:C2995"/>
    <mergeCell ref="B2996:C2996"/>
    <mergeCell ref="E2996:E2998"/>
    <mergeCell ref="B2997:C2997"/>
    <mergeCell ref="B2998:D2998"/>
    <mergeCell ref="E2999:E3001"/>
    <mergeCell ref="J2839:Z2839"/>
    <mergeCell ref="AA2839:AF2839"/>
    <mergeCell ref="B2836:C2836"/>
    <mergeCell ref="B2837:C2837"/>
    <mergeCell ref="E2837:F2837"/>
    <mergeCell ref="I2837:O2837"/>
    <mergeCell ref="P2837:Q2837"/>
    <mergeCell ref="R2837:Z2837"/>
    <mergeCell ref="AB2837:AF2837"/>
    <mergeCell ref="V2825:W2826"/>
    <mergeCell ref="X2825:Y2826"/>
    <mergeCell ref="Z2825:Z2827"/>
    <mergeCell ref="AA2825:AA2827"/>
    <mergeCell ref="AB2825:AD2826"/>
    <mergeCell ref="AE2825:AF2826"/>
    <mergeCell ref="I2825:I2826"/>
    <mergeCell ref="J2825:K2826"/>
    <mergeCell ref="L2825:M2826"/>
    <mergeCell ref="N2825:O2826"/>
    <mergeCell ref="P2825:Q2826"/>
    <mergeCell ref="R2825:S2826"/>
    <mergeCell ref="T2825:U2826"/>
    <mergeCell ref="B2828:C2828"/>
    <mergeCell ref="B2829:C2829"/>
    <mergeCell ref="E2826:F2826"/>
    <mergeCell ref="B2827:D2827"/>
    <mergeCell ref="E2827:G2827"/>
    <mergeCell ref="H2827:I2827"/>
    <mergeCell ref="E2828:E2830"/>
    <mergeCell ref="H2828:I2828"/>
    <mergeCell ref="H2829:I2829"/>
    <mergeCell ref="B2834:C2834"/>
    <mergeCell ref="B2835:C2835"/>
    <mergeCell ref="B2839:C2839"/>
    <mergeCell ref="D2839:G2839"/>
    <mergeCell ref="E2840:F2840"/>
    <mergeCell ref="B2826:C2826"/>
    <mergeCell ref="B2830:C2830"/>
    <mergeCell ref="B2831:C2831"/>
    <mergeCell ref="E2831:E2833"/>
    <mergeCell ref="B2832:C2832"/>
    <mergeCell ref="B2833:D2833"/>
    <mergeCell ref="E2834:E2836"/>
    <mergeCell ref="H2830:I2830"/>
    <mergeCell ref="H2831:I2831"/>
    <mergeCell ref="H2832:I2832"/>
    <mergeCell ref="H2833:I2833"/>
    <mergeCell ref="H2834:I2834"/>
    <mergeCell ref="H2835:I2835"/>
    <mergeCell ref="H2836:I2836"/>
    <mergeCell ref="J2854:Z2854"/>
    <mergeCell ref="AA2854:AF2854"/>
    <mergeCell ref="B2851:C2851"/>
    <mergeCell ref="B2852:C2852"/>
    <mergeCell ref="E2852:F2852"/>
    <mergeCell ref="I2852:O2852"/>
    <mergeCell ref="P2852:Q2852"/>
    <mergeCell ref="R2852:Z2852"/>
    <mergeCell ref="AB2852:AF2852"/>
    <mergeCell ref="V2840:W2841"/>
    <mergeCell ref="X2840:Y2841"/>
    <mergeCell ref="Z2840:Z2842"/>
    <mergeCell ref="AA2840:AA2842"/>
    <mergeCell ref="AB2840:AD2841"/>
    <mergeCell ref="AE2840:AF2841"/>
    <mergeCell ref="I2840:I2841"/>
    <mergeCell ref="J2840:K2841"/>
    <mergeCell ref="L2840:M2841"/>
    <mergeCell ref="N2840:O2841"/>
    <mergeCell ref="P2840:Q2841"/>
    <mergeCell ref="R2840:S2841"/>
    <mergeCell ref="T2840:U2841"/>
    <mergeCell ref="B2843:C2843"/>
    <mergeCell ref="B2844:C2844"/>
    <mergeCell ref="E2841:F2841"/>
    <mergeCell ref="B2842:D2842"/>
    <mergeCell ref="E2842:G2842"/>
    <mergeCell ref="H2842:I2842"/>
    <mergeCell ref="E2843:E2845"/>
    <mergeCell ref="H2843:I2843"/>
    <mergeCell ref="H2844:I2844"/>
    <mergeCell ref="B2849:C2849"/>
    <mergeCell ref="B2850:C2850"/>
    <mergeCell ref="B2854:C2854"/>
    <mergeCell ref="D2854:G2854"/>
    <mergeCell ref="E2855:F2855"/>
    <mergeCell ref="B2841:C2841"/>
    <mergeCell ref="B2845:C2845"/>
    <mergeCell ref="B2846:C2846"/>
    <mergeCell ref="E2846:E2848"/>
    <mergeCell ref="B2847:C2847"/>
    <mergeCell ref="B2848:D2848"/>
    <mergeCell ref="E2849:E2851"/>
    <mergeCell ref="H2845:I2845"/>
    <mergeCell ref="H2846:I2846"/>
    <mergeCell ref="H2847:I2847"/>
    <mergeCell ref="H2848:I2848"/>
    <mergeCell ref="H2849:I2849"/>
    <mergeCell ref="H2850:I2850"/>
    <mergeCell ref="H2851:I2851"/>
    <mergeCell ref="J2869:Z2869"/>
    <mergeCell ref="AA2869:AF2869"/>
    <mergeCell ref="B2866:C2866"/>
    <mergeCell ref="B2867:C2867"/>
    <mergeCell ref="E2867:F2867"/>
    <mergeCell ref="I2867:O2867"/>
    <mergeCell ref="P2867:Q2867"/>
    <mergeCell ref="R2867:Z2867"/>
    <mergeCell ref="AB2867:AF2867"/>
    <mergeCell ref="V2855:W2856"/>
    <mergeCell ref="X2855:Y2856"/>
    <mergeCell ref="Z2855:Z2857"/>
    <mergeCell ref="AA2855:AA2857"/>
    <mergeCell ref="AB2855:AD2856"/>
    <mergeCell ref="AE2855:AF2856"/>
    <mergeCell ref="I2855:I2856"/>
    <mergeCell ref="J2855:K2856"/>
    <mergeCell ref="L2855:M2856"/>
    <mergeCell ref="N2855:O2856"/>
    <mergeCell ref="P2855:Q2856"/>
    <mergeCell ref="R2855:S2856"/>
    <mergeCell ref="T2855:U2856"/>
    <mergeCell ref="B2858:C2858"/>
    <mergeCell ref="B2859:C2859"/>
    <mergeCell ref="E2856:F2856"/>
    <mergeCell ref="B2857:D2857"/>
    <mergeCell ref="E2857:G2857"/>
    <mergeCell ref="H2857:I2857"/>
    <mergeCell ref="E2858:E2860"/>
    <mergeCell ref="H2858:I2858"/>
    <mergeCell ref="H2859:I2859"/>
    <mergeCell ref="B2864:C2864"/>
    <mergeCell ref="B2865:C2865"/>
    <mergeCell ref="B2869:C2869"/>
    <mergeCell ref="D2869:G2869"/>
    <mergeCell ref="E2870:F2870"/>
    <mergeCell ref="B2856:C2856"/>
    <mergeCell ref="B2860:C2860"/>
    <mergeCell ref="B2861:C2861"/>
    <mergeCell ref="E2861:E2863"/>
    <mergeCell ref="B2862:C2862"/>
    <mergeCell ref="B2863:D2863"/>
    <mergeCell ref="E2864:E2866"/>
    <mergeCell ref="H2860:I2860"/>
    <mergeCell ref="H2861:I2861"/>
    <mergeCell ref="H2862:I2862"/>
    <mergeCell ref="H2863:I2863"/>
    <mergeCell ref="H2864:I2864"/>
    <mergeCell ref="H2865:I2865"/>
    <mergeCell ref="H2866:I2866"/>
    <mergeCell ref="J2884:Z2884"/>
    <mergeCell ref="AA2884:AF2884"/>
    <mergeCell ref="B2881:C2881"/>
    <mergeCell ref="B2882:C2882"/>
    <mergeCell ref="E2882:F2882"/>
    <mergeCell ref="I2882:O2882"/>
    <mergeCell ref="P2882:Q2882"/>
    <mergeCell ref="R2882:Z2882"/>
    <mergeCell ref="AB2882:AF2882"/>
    <mergeCell ref="V2870:W2871"/>
    <mergeCell ref="X2870:Y2871"/>
    <mergeCell ref="Z2870:Z2872"/>
    <mergeCell ref="AA2870:AA2872"/>
    <mergeCell ref="AB2870:AD2871"/>
    <mergeCell ref="AE2870:AF2871"/>
    <mergeCell ref="I2870:I2871"/>
    <mergeCell ref="J2870:K2871"/>
    <mergeCell ref="L2870:M2871"/>
    <mergeCell ref="N2870:O2871"/>
    <mergeCell ref="P2870:Q2871"/>
    <mergeCell ref="R2870:S2871"/>
    <mergeCell ref="T2870:U2871"/>
    <mergeCell ref="B2873:C2873"/>
    <mergeCell ref="B2874:C2874"/>
    <mergeCell ref="E2871:F2871"/>
    <mergeCell ref="B2872:D2872"/>
    <mergeCell ref="E2872:G2872"/>
    <mergeCell ref="H2872:I2872"/>
    <mergeCell ref="E2873:E2875"/>
    <mergeCell ref="H2873:I2873"/>
    <mergeCell ref="H2874:I2874"/>
    <mergeCell ref="B2879:C2879"/>
    <mergeCell ref="B2880:C2880"/>
    <mergeCell ref="B2884:C2884"/>
    <mergeCell ref="D2884:G2884"/>
    <mergeCell ref="E2885:F2885"/>
    <mergeCell ref="B2871:C2871"/>
    <mergeCell ref="B2875:C2875"/>
    <mergeCell ref="B2876:C2876"/>
    <mergeCell ref="E2876:E2878"/>
    <mergeCell ref="B2877:C2877"/>
    <mergeCell ref="B2878:D2878"/>
    <mergeCell ref="E2879:E2881"/>
    <mergeCell ref="H2875:I2875"/>
    <mergeCell ref="H2876:I2876"/>
    <mergeCell ref="H2877:I2877"/>
    <mergeCell ref="H2878:I2878"/>
    <mergeCell ref="H2879:I2879"/>
    <mergeCell ref="H2880:I2880"/>
    <mergeCell ref="H2881:I2881"/>
    <mergeCell ref="J2899:Z2899"/>
    <mergeCell ref="AA2899:AF2899"/>
    <mergeCell ref="B2896:C2896"/>
    <mergeCell ref="B2897:C2897"/>
    <mergeCell ref="E2897:F2897"/>
    <mergeCell ref="I2897:O2897"/>
    <mergeCell ref="P2897:Q2897"/>
    <mergeCell ref="R2897:Z2897"/>
    <mergeCell ref="AB2897:AF2897"/>
    <mergeCell ref="V2885:W2886"/>
    <mergeCell ref="X2885:Y2886"/>
    <mergeCell ref="Z2885:Z2887"/>
    <mergeCell ref="AA2885:AA2887"/>
    <mergeCell ref="AB2885:AD2886"/>
    <mergeCell ref="AE2885:AF2886"/>
    <mergeCell ref="I2885:I2886"/>
    <mergeCell ref="J2885:K2886"/>
    <mergeCell ref="L2885:M2886"/>
    <mergeCell ref="N2885:O2886"/>
    <mergeCell ref="P2885:Q2886"/>
    <mergeCell ref="R2885:S2886"/>
    <mergeCell ref="T2885:U2886"/>
    <mergeCell ref="B2888:C2888"/>
    <mergeCell ref="B2889:C2889"/>
    <mergeCell ref="E2886:F2886"/>
    <mergeCell ref="B2887:D2887"/>
    <mergeCell ref="E2887:G2887"/>
    <mergeCell ref="H2887:I2887"/>
    <mergeCell ref="E2888:E2890"/>
    <mergeCell ref="H2888:I2888"/>
    <mergeCell ref="H2889:I2889"/>
    <mergeCell ref="B2894:C2894"/>
    <mergeCell ref="B2895:C2895"/>
    <mergeCell ref="B2899:C2899"/>
    <mergeCell ref="D2899:G2899"/>
    <mergeCell ref="E2900:F2900"/>
    <mergeCell ref="B2886:C2886"/>
    <mergeCell ref="B2890:C2890"/>
    <mergeCell ref="B2891:C2891"/>
    <mergeCell ref="E2891:E2893"/>
    <mergeCell ref="B2892:C2892"/>
    <mergeCell ref="B2893:D2893"/>
    <mergeCell ref="E2894:E2896"/>
    <mergeCell ref="H2890:I2890"/>
    <mergeCell ref="H2891:I2891"/>
    <mergeCell ref="H2892:I2892"/>
    <mergeCell ref="H2893:I2893"/>
    <mergeCell ref="H2894:I2894"/>
    <mergeCell ref="H2895:I2895"/>
    <mergeCell ref="H2896:I2896"/>
    <mergeCell ref="J2914:Z2914"/>
    <mergeCell ref="AA2914:AF2914"/>
    <mergeCell ref="B2911:C2911"/>
    <mergeCell ref="B2912:C2912"/>
    <mergeCell ref="E2912:F2912"/>
    <mergeCell ref="I2912:O2912"/>
    <mergeCell ref="P2912:Q2912"/>
    <mergeCell ref="R2912:Z2912"/>
    <mergeCell ref="AB2912:AF2912"/>
    <mergeCell ref="V2900:W2901"/>
    <mergeCell ref="X2900:Y2901"/>
    <mergeCell ref="Z2900:Z2902"/>
    <mergeCell ref="AA2900:AA2902"/>
    <mergeCell ref="AB2900:AD2901"/>
    <mergeCell ref="AE2900:AF2901"/>
    <mergeCell ref="I2900:I2901"/>
    <mergeCell ref="J2900:K2901"/>
    <mergeCell ref="L2900:M2901"/>
    <mergeCell ref="N2900:O2901"/>
    <mergeCell ref="P2900:Q2901"/>
    <mergeCell ref="R2900:S2901"/>
    <mergeCell ref="T2900:U2901"/>
    <mergeCell ref="B2903:C2903"/>
    <mergeCell ref="B2904:C2904"/>
    <mergeCell ref="E2901:F2901"/>
    <mergeCell ref="B2902:D2902"/>
    <mergeCell ref="E2902:G2902"/>
    <mergeCell ref="H2902:I2902"/>
    <mergeCell ref="E2903:E2905"/>
    <mergeCell ref="H2903:I2903"/>
    <mergeCell ref="H2904:I2904"/>
    <mergeCell ref="B2909:C2909"/>
    <mergeCell ref="B2910:C2910"/>
    <mergeCell ref="B2914:C2914"/>
    <mergeCell ref="D2914:G2914"/>
    <mergeCell ref="E2915:F2915"/>
    <mergeCell ref="B2901:C2901"/>
    <mergeCell ref="B2905:C2905"/>
    <mergeCell ref="B2906:C2906"/>
    <mergeCell ref="E2906:E2908"/>
    <mergeCell ref="B2907:C2907"/>
    <mergeCell ref="B2908:D2908"/>
    <mergeCell ref="E2909:E2911"/>
    <mergeCell ref="H2905:I2905"/>
    <mergeCell ref="H2906:I2906"/>
    <mergeCell ref="H2907:I2907"/>
    <mergeCell ref="H2908:I2908"/>
    <mergeCell ref="H2909:I2909"/>
    <mergeCell ref="H2910:I2910"/>
    <mergeCell ref="H2911:I2911"/>
    <mergeCell ref="J2929:Z2929"/>
    <mergeCell ref="AA2929:AF2929"/>
    <mergeCell ref="B2926:C2926"/>
    <mergeCell ref="B2927:C2927"/>
    <mergeCell ref="E2927:F2927"/>
    <mergeCell ref="I2927:O2927"/>
    <mergeCell ref="P2927:Q2927"/>
    <mergeCell ref="R2927:Z2927"/>
    <mergeCell ref="AB2927:AF2927"/>
    <mergeCell ref="V2915:W2916"/>
    <mergeCell ref="X2915:Y2916"/>
    <mergeCell ref="Z2915:Z2917"/>
    <mergeCell ref="AA2915:AA2917"/>
    <mergeCell ref="AB2915:AD2916"/>
    <mergeCell ref="AE2915:AF2916"/>
    <mergeCell ref="I2915:I2916"/>
    <mergeCell ref="J2915:K2916"/>
    <mergeCell ref="L2915:M2916"/>
    <mergeCell ref="N2915:O2916"/>
    <mergeCell ref="P2915:Q2916"/>
    <mergeCell ref="R2915:S2916"/>
    <mergeCell ref="T2915:U2916"/>
    <mergeCell ref="B2918:C2918"/>
    <mergeCell ref="B2919:C2919"/>
    <mergeCell ref="E2916:F2916"/>
    <mergeCell ref="B2917:D2917"/>
    <mergeCell ref="E2917:G2917"/>
    <mergeCell ref="H2917:I2917"/>
    <mergeCell ref="E2918:E2920"/>
    <mergeCell ref="H2918:I2918"/>
    <mergeCell ref="H2919:I2919"/>
    <mergeCell ref="B2924:C2924"/>
    <mergeCell ref="B2925:C2925"/>
    <mergeCell ref="B2929:C2929"/>
    <mergeCell ref="D2929:G2929"/>
    <mergeCell ref="E2930:F2930"/>
    <mergeCell ref="B2916:C2916"/>
    <mergeCell ref="B2920:C2920"/>
    <mergeCell ref="B2921:C2921"/>
    <mergeCell ref="E2921:E2923"/>
    <mergeCell ref="B2922:C2922"/>
    <mergeCell ref="B2923:D2923"/>
    <mergeCell ref="E2924:E2926"/>
    <mergeCell ref="H2920:I2920"/>
    <mergeCell ref="H2921:I2921"/>
    <mergeCell ref="H2922:I2922"/>
    <mergeCell ref="H2923:I2923"/>
    <mergeCell ref="H2924:I2924"/>
    <mergeCell ref="H2925:I2925"/>
    <mergeCell ref="H2926:I2926"/>
    <mergeCell ref="J1579:Z1579"/>
    <mergeCell ref="AA1579:AF1579"/>
    <mergeCell ref="B1576:C1576"/>
    <mergeCell ref="B1577:C1577"/>
    <mergeCell ref="E1577:F1577"/>
    <mergeCell ref="I1577:O1577"/>
    <mergeCell ref="P1577:Q1577"/>
    <mergeCell ref="R1577:Z1577"/>
    <mergeCell ref="AB1577:AF1577"/>
    <mergeCell ref="V1565:W1566"/>
    <mergeCell ref="X1565:Y1566"/>
    <mergeCell ref="Z1565:Z1567"/>
    <mergeCell ref="AA1565:AA1567"/>
    <mergeCell ref="AB1565:AD1566"/>
    <mergeCell ref="AE1565:AF1566"/>
    <mergeCell ref="I1565:I1566"/>
    <mergeCell ref="J1565:K1566"/>
    <mergeCell ref="L1565:M1566"/>
    <mergeCell ref="N1565:O1566"/>
    <mergeCell ref="P1565:Q1566"/>
    <mergeCell ref="R1565:S1566"/>
    <mergeCell ref="T1565:U1566"/>
    <mergeCell ref="B1568:C1568"/>
    <mergeCell ref="B1569:C1569"/>
    <mergeCell ref="E1566:F1566"/>
    <mergeCell ref="B1567:D1567"/>
    <mergeCell ref="E1567:G1567"/>
    <mergeCell ref="H1567:I1567"/>
    <mergeCell ref="E1568:E1570"/>
    <mergeCell ref="H1568:I1568"/>
    <mergeCell ref="H1569:I1569"/>
    <mergeCell ref="B1574:C1574"/>
    <mergeCell ref="B1575:C1575"/>
    <mergeCell ref="B1579:C1579"/>
    <mergeCell ref="D1579:G1579"/>
    <mergeCell ref="E1580:F1580"/>
    <mergeCell ref="B1566:C1566"/>
    <mergeCell ref="B1570:C1570"/>
    <mergeCell ref="B1571:C1571"/>
    <mergeCell ref="E1571:E1573"/>
    <mergeCell ref="B1572:C1572"/>
    <mergeCell ref="B1573:D1573"/>
    <mergeCell ref="E1574:E1576"/>
    <mergeCell ref="H1570:I1570"/>
    <mergeCell ref="H1571:I1571"/>
    <mergeCell ref="H1572:I1572"/>
    <mergeCell ref="H1573:I1573"/>
    <mergeCell ref="H1574:I1574"/>
    <mergeCell ref="H1575:I1575"/>
    <mergeCell ref="H1576:I1576"/>
    <mergeCell ref="J1594:Z1594"/>
    <mergeCell ref="AA1594:AF1594"/>
    <mergeCell ref="B1591:C1591"/>
    <mergeCell ref="B1592:C1592"/>
    <mergeCell ref="E1592:F1592"/>
    <mergeCell ref="I1592:O1592"/>
    <mergeCell ref="P1592:Q1592"/>
    <mergeCell ref="R1592:Z1592"/>
    <mergeCell ref="AB1592:AF1592"/>
    <mergeCell ref="V1580:W1581"/>
    <mergeCell ref="X1580:Y1581"/>
    <mergeCell ref="Z1580:Z1582"/>
    <mergeCell ref="AA1580:AA1582"/>
    <mergeCell ref="AB1580:AD1581"/>
    <mergeCell ref="AE1580:AF1581"/>
    <mergeCell ref="I1580:I1581"/>
    <mergeCell ref="J1580:K1581"/>
    <mergeCell ref="L1580:M1581"/>
    <mergeCell ref="N1580:O1581"/>
    <mergeCell ref="P1580:Q1581"/>
    <mergeCell ref="R1580:S1581"/>
    <mergeCell ref="T1580:U1581"/>
    <mergeCell ref="B1583:C1583"/>
    <mergeCell ref="B1584:C1584"/>
    <mergeCell ref="E1581:F1581"/>
    <mergeCell ref="B1582:D1582"/>
    <mergeCell ref="E1582:G1582"/>
    <mergeCell ref="H1582:I1582"/>
    <mergeCell ref="E1583:E1585"/>
    <mergeCell ref="H1583:I1583"/>
    <mergeCell ref="H1584:I1584"/>
    <mergeCell ref="B1589:C1589"/>
    <mergeCell ref="B1590:C1590"/>
    <mergeCell ref="B1594:C1594"/>
    <mergeCell ref="D1594:G1594"/>
    <mergeCell ref="E1595:F1595"/>
    <mergeCell ref="B1581:C1581"/>
    <mergeCell ref="B1585:C1585"/>
    <mergeCell ref="B1586:C1586"/>
    <mergeCell ref="E1586:E1588"/>
    <mergeCell ref="B1587:C1587"/>
    <mergeCell ref="B1588:D1588"/>
    <mergeCell ref="E1589:E1591"/>
    <mergeCell ref="H1585:I1585"/>
    <mergeCell ref="H1586:I1586"/>
    <mergeCell ref="H1587:I1587"/>
    <mergeCell ref="H1588:I1588"/>
    <mergeCell ref="H1589:I1589"/>
    <mergeCell ref="H1590:I1590"/>
    <mergeCell ref="H1591:I1591"/>
    <mergeCell ref="J1609:Z1609"/>
    <mergeCell ref="AA1609:AF1609"/>
    <mergeCell ref="B1606:C1606"/>
    <mergeCell ref="B1607:C1607"/>
    <mergeCell ref="E1607:F1607"/>
    <mergeCell ref="I1607:O1607"/>
    <mergeCell ref="P1607:Q1607"/>
    <mergeCell ref="R1607:Z1607"/>
    <mergeCell ref="AB1607:AF1607"/>
    <mergeCell ref="V1595:W1596"/>
    <mergeCell ref="X1595:Y1596"/>
    <mergeCell ref="Z1595:Z1597"/>
    <mergeCell ref="AA1595:AA1597"/>
    <mergeCell ref="AB1595:AD1596"/>
    <mergeCell ref="AE1595:AF1596"/>
    <mergeCell ref="I1595:I1596"/>
    <mergeCell ref="J1595:K1596"/>
    <mergeCell ref="L1595:M1596"/>
    <mergeCell ref="N1595:O1596"/>
    <mergeCell ref="P1595:Q1596"/>
    <mergeCell ref="R1595:S1596"/>
    <mergeCell ref="T1595:U1596"/>
    <mergeCell ref="B1598:C1598"/>
    <mergeCell ref="B1599:C1599"/>
    <mergeCell ref="E1596:F1596"/>
    <mergeCell ref="B1597:D1597"/>
    <mergeCell ref="E1597:G1597"/>
    <mergeCell ref="H1597:I1597"/>
    <mergeCell ref="E1598:E1600"/>
    <mergeCell ref="H1598:I1598"/>
    <mergeCell ref="H1599:I1599"/>
    <mergeCell ref="B1604:C1604"/>
    <mergeCell ref="B1605:C1605"/>
    <mergeCell ref="B1609:C1609"/>
    <mergeCell ref="D1609:G1609"/>
    <mergeCell ref="E1610:F1610"/>
    <mergeCell ref="B1596:C1596"/>
    <mergeCell ref="B1600:C1600"/>
    <mergeCell ref="B1601:C1601"/>
    <mergeCell ref="E1601:E1603"/>
    <mergeCell ref="B1602:C1602"/>
    <mergeCell ref="B1603:D1603"/>
    <mergeCell ref="E1604:E1606"/>
    <mergeCell ref="H1600:I1600"/>
    <mergeCell ref="H1601:I1601"/>
    <mergeCell ref="H1602:I1602"/>
    <mergeCell ref="H1603:I1603"/>
    <mergeCell ref="H1604:I1604"/>
    <mergeCell ref="H1605:I1605"/>
    <mergeCell ref="H1606:I1606"/>
    <mergeCell ref="J1624:Z1624"/>
    <mergeCell ref="AA1624:AF1624"/>
    <mergeCell ref="B1621:C1621"/>
    <mergeCell ref="B1622:C1622"/>
    <mergeCell ref="E1622:F1622"/>
    <mergeCell ref="I1622:O1622"/>
    <mergeCell ref="P1622:Q1622"/>
    <mergeCell ref="R1622:Z1622"/>
    <mergeCell ref="AB1622:AF1622"/>
    <mergeCell ref="V1610:W1611"/>
    <mergeCell ref="X1610:Y1611"/>
    <mergeCell ref="Z1610:Z1612"/>
    <mergeCell ref="AA1610:AA1612"/>
    <mergeCell ref="AB1610:AD1611"/>
    <mergeCell ref="AE1610:AF1611"/>
    <mergeCell ref="I1610:I1611"/>
    <mergeCell ref="J1610:K1611"/>
    <mergeCell ref="L1610:M1611"/>
    <mergeCell ref="N1610:O1611"/>
    <mergeCell ref="P1610:Q1611"/>
    <mergeCell ref="R1610:S1611"/>
    <mergeCell ref="T1610:U1611"/>
    <mergeCell ref="B1613:C1613"/>
    <mergeCell ref="B1614:C1614"/>
    <mergeCell ref="E1611:F1611"/>
    <mergeCell ref="B1612:D1612"/>
    <mergeCell ref="E1612:G1612"/>
    <mergeCell ref="H1612:I1612"/>
    <mergeCell ref="E1613:E1615"/>
    <mergeCell ref="H1613:I1613"/>
    <mergeCell ref="H1614:I1614"/>
    <mergeCell ref="B1619:C1619"/>
    <mergeCell ref="B1620:C1620"/>
    <mergeCell ref="B1624:C1624"/>
    <mergeCell ref="D1624:G1624"/>
    <mergeCell ref="E1625:F1625"/>
    <mergeCell ref="B1611:C1611"/>
    <mergeCell ref="B1615:C1615"/>
    <mergeCell ref="B1616:C1616"/>
    <mergeCell ref="E1616:E1618"/>
    <mergeCell ref="B1617:C1617"/>
    <mergeCell ref="B1618:D1618"/>
    <mergeCell ref="E1619:E1621"/>
    <mergeCell ref="H1615:I1615"/>
    <mergeCell ref="H1616:I1616"/>
    <mergeCell ref="H1617:I1617"/>
    <mergeCell ref="H1618:I1618"/>
    <mergeCell ref="H1619:I1619"/>
    <mergeCell ref="H1620:I1620"/>
    <mergeCell ref="H1621:I1621"/>
    <mergeCell ref="J1639:Z1639"/>
    <mergeCell ref="AA1639:AF1639"/>
    <mergeCell ref="B1636:C1636"/>
    <mergeCell ref="B1637:C1637"/>
    <mergeCell ref="E1637:F1637"/>
    <mergeCell ref="I1637:O1637"/>
    <mergeCell ref="P1637:Q1637"/>
    <mergeCell ref="R1637:Z1637"/>
    <mergeCell ref="AB1637:AF1637"/>
    <mergeCell ref="V1625:W1626"/>
    <mergeCell ref="X1625:Y1626"/>
    <mergeCell ref="Z1625:Z1627"/>
    <mergeCell ref="AA1625:AA1627"/>
    <mergeCell ref="AB1625:AD1626"/>
    <mergeCell ref="AE1625:AF1626"/>
    <mergeCell ref="I1625:I1626"/>
    <mergeCell ref="J1625:K1626"/>
    <mergeCell ref="L1625:M1626"/>
    <mergeCell ref="N1625:O1626"/>
    <mergeCell ref="P1625:Q1626"/>
    <mergeCell ref="R1625:S1626"/>
    <mergeCell ref="T1625:U1626"/>
    <mergeCell ref="B1628:C1628"/>
    <mergeCell ref="B1629:C1629"/>
    <mergeCell ref="E1626:F1626"/>
    <mergeCell ref="B1627:D1627"/>
    <mergeCell ref="E1627:G1627"/>
    <mergeCell ref="H1627:I1627"/>
    <mergeCell ref="E1628:E1630"/>
    <mergeCell ref="H1628:I1628"/>
    <mergeCell ref="H1629:I1629"/>
    <mergeCell ref="B1634:C1634"/>
    <mergeCell ref="B1635:C1635"/>
    <mergeCell ref="B1639:C1639"/>
    <mergeCell ref="D1639:G1639"/>
    <mergeCell ref="E1640:F1640"/>
    <mergeCell ref="B1626:C1626"/>
    <mergeCell ref="B1630:C1630"/>
    <mergeCell ref="B1631:C1631"/>
    <mergeCell ref="E1631:E1633"/>
    <mergeCell ref="B1632:C1632"/>
    <mergeCell ref="B1633:D1633"/>
    <mergeCell ref="E1634:E1636"/>
    <mergeCell ref="H1630:I1630"/>
    <mergeCell ref="H1631:I1631"/>
    <mergeCell ref="H1632:I1632"/>
    <mergeCell ref="H1633:I1633"/>
    <mergeCell ref="H1634:I1634"/>
    <mergeCell ref="H1635:I1635"/>
    <mergeCell ref="H1636:I1636"/>
    <mergeCell ref="J1654:Z1654"/>
    <mergeCell ref="AA1654:AF1654"/>
    <mergeCell ref="B1651:C1651"/>
    <mergeCell ref="B1652:C1652"/>
    <mergeCell ref="E1652:F1652"/>
    <mergeCell ref="I1652:O1652"/>
    <mergeCell ref="P1652:Q1652"/>
    <mergeCell ref="R1652:Z1652"/>
    <mergeCell ref="AB1652:AF1652"/>
    <mergeCell ref="V1640:W1641"/>
    <mergeCell ref="X1640:Y1641"/>
    <mergeCell ref="Z1640:Z1642"/>
    <mergeCell ref="AA1640:AA1642"/>
    <mergeCell ref="AB1640:AD1641"/>
    <mergeCell ref="AE1640:AF1641"/>
    <mergeCell ref="I1640:I1641"/>
    <mergeCell ref="J1640:K1641"/>
    <mergeCell ref="L1640:M1641"/>
    <mergeCell ref="N1640:O1641"/>
    <mergeCell ref="P1640:Q1641"/>
    <mergeCell ref="R1640:S1641"/>
    <mergeCell ref="T1640:U1641"/>
    <mergeCell ref="B1643:C1643"/>
    <mergeCell ref="B1644:C1644"/>
    <mergeCell ref="E1641:F1641"/>
    <mergeCell ref="B1642:D1642"/>
    <mergeCell ref="E1642:G1642"/>
    <mergeCell ref="H1642:I1642"/>
    <mergeCell ref="E1643:E1645"/>
    <mergeCell ref="H1643:I1643"/>
    <mergeCell ref="H1644:I1644"/>
    <mergeCell ref="B1649:C1649"/>
    <mergeCell ref="B1650:C1650"/>
    <mergeCell ref="B1654:C1654"/>
    <mergeCell ref="D1654:G1654"/>
    <mergeCell ref="E1655:F1655"/>
    <mergeCell ref="B1641:C1641"/>
    <mergeCell ref="B1645:C1645"/>
    <mergeCell ref="B1646:C1646"/>
    <mergeCell ref="E1646:E1648"/>
    <mergeCell ref="B1647:C1647"/>
    <mergeCell ref="B1648:D1648"/>
    <mergeCell ref="E1649:E1651"/>
    <mergeCell ref="H1645:I1645"/>
    <mergeCell ref="H1646:I1646"/>
    <mergeCell ref="H1647:I1647"/>
    <mergeCell ref="H1648:I1648"/>
    <mergeCell ref="H1649:I1649"/>
    <mergeCell ref="H1650:I1650"/>
    <mergeCell ref="H1651:I1651"/>
    <mergeCell ref="J1669:Z1669"/>
    <mergeCell ref="AA1669:AF1669"/>
    <mergeCell ref="B1666:C1666"/>
    <mergeCell ref="B1667:C1667"/>
    <mergeCell ref="E1667:F1667"/>
    <mergeCell ref="I1667:O1667"/>
    <mergeCell ref="P1667:Q1667"/>
    <mergeCell ref="R1667:Z1667"/>
    <mergeCell ref="AB1667:AF1667"/>
    <mergeCell ref="V1655:W1656"/>
    <mergeCell ref="X1655:Y1656"/>
    <mergeCell ref="Z1655:Z1657"/>
    <mergeCell ref="AA1655:AA1657"/>
    <mergeCell ref="AB1655:AD1656"/>
    <mergeCell ref="AE1655:AF1656"/>
    <mergeCell ref="I1655:I1656"/>
    <mergeCell ref="J1655:K1656"/>
    <mergeCell ref="L1655:M1656"/>
    <mergeCell ref="N1655:O1656"/>
    <mergeCell ref="P1655:Q1656"/>
    <mergeCell ref="R1655:S1656"/>
    <mergeCell ref="T1655:U1656"/>
    <mergeCell ref="B1658:C1658"/>
    <mergeCell ref="B1659:C1659"/>
    <mergeCell ref="E1656:F1656"/>
    <mergeCell ref="B1657:D1657"/>
    <mergeCell ref="E1657:G1657"/>
    <mergeCell ref="H1657:I1657"/>
    <mergeCell ref="E1658:E1660"/>
    <mergeCell ref="H1658:I1658"/>
    <mergeCell ref="H1659:I1659"/>
    <mergeCell ref="B1664:C1664"/>
    <mergeCell ref="B1665:C1665"/>
    <mergeCell ref="B1669:C1669"/>
    <mergeCell ref="D1669:G1669"/>
    <mergeCell ref="E1670:F1670"/>
    <mergeCell ref="B1656:C1656"/>
    <mergeCell ref="B1660:C1660"/>
    <mergeCell ref="B1661:C1661"/>
    <mergeCell ref="E1661:E1663"/>
    <mergeCell ref="B1662:C1662"/>
    <mergeCell ref="B1663:D1663"/>
    <mergeCell ref="E1664:E1666"/>
    <mergeCell ref="H1660:I1660"/>
    <mergeCell ref="H1661:I1661"/>
    <mergeCell ref="H1662:I1662"/>
    <mergeCell ref="H1663:I1663"/>
    <mergeCell ref="H1664:I1664"/>
    <mergeCell ref="H1665:I1665"/>
    <mergeCell ref="H1666:I1666"/>
    <mergeCell ref="J1684:Z1684"/>
    <mergeCell ref="AA1684:AF1684"/>
    <mergeCell ref="B1681:C1681"/>
    <mergeCell ref="B1682:C1682"/>
    <mergeCell ref="E1682:F1682"/>
    <mergeCell ref="I1682:O1682"/>
    <mergeCell ref="P1682:Q1682"/>
    <mergeCell ref="R1682:Z1682"/>
    <mergeCell ref="AB1682:AF1682"/>
    <mergeCell ref="V1670:W1671"/>
    <mergeCell ref="X1670:Y1671"/>
    <mergeCell ref="Z1670:Z1672"/>
    <mergeCell ref="AA1670:AA1672"/>
    <mergeCell ref="AB1670:AD1671"/>
    <mergeCell ref="AE1670:AF1671"/>
    <mergeCell ref="I1670:I1671"/>
    <mergeCell ref="J1670:K1671"/>
    <mergeCell ref="L1670:M1671"/>
    <mergeCell ref="N1670:O1671"/>
    <mergeCell ref="P1670:Q1671"/>
    <mergeCell ref="R1670:S1671"/>
    <mergeCell ref="T1670:U1671"/>
    <mergeCell ref="B1673:C1673"/>
    <mergeCell ref="B1674:C1674"/>
    <mergeCell ref="E1671:F1671"/>
    <mergeCell ref="B1672:D1672"/>
    <mergeCell ref="E1672:G1672"/>
    <mergeCell ref="H1672:I1672"/>
    <mergeCell ref="E1673:E1675"/>
    <mergeCell ref="H1673:I1673"/>
    <mergeCell ref="H1674:I1674"/>
    <mergeCell ref="B1679:C1679"/>
    <mergeCell ref="B1680:C1680"/>
    <mergeCell ref="B1684:C1684"/>
    <mergeCell ref="D1684:G1684"/>
    <mergeCell ref="E1685:F1685"/>
    <mergeCell ref="B1671:C1671"/>
    <mergeCell ref="B1675:C1675"/>
    <mergeCell ref="B1676:C1676"/>
    <mergeCell ref="E1676:E1678"/>
    <mergeCell ref="B1677:C1677"/>
    <mergeCell ref="B1678:D1678"/>
    <mergeCell ref="E1679:E1681"/>
    <mergeCell ref="H1675:I1675"/>
    <mergeCell ref="H1676:I1676"/>
    <mergeCell ref="H1677:I1677"/>
    <mergeCell ref="H1678:I1678"/>
    <mergeCell ref="H1679:I1679"/>
    <mergeCell ref="H1680:I1680"/>
    <mergeCell ref="H1681:I1681"/>
    <mergeCell ref="J1699:Z1699"/>
    <mergeCell ref="AA1699:AF1699"/>
    <mergeCell ref="B1696:C1696"/>
    <mergeCell ref="B1697:C1697"/>
    <mergeCell ref="E1697:F1697"/>
    <mergeCell ref="I1697:O1697"/>
    <mergeCell ref="P1697:Q1697"/>
    <mergeCell ref="R1697:Z1697"/>
    <mergeCell ref="AB1697:AF1697"/>
    <mergeCell ref="V1685:W1686"/>
    <mergeCell ref="X1685:Y1686"/>
    <mergeCell ref="Z1685:Z1687"/>
    <mergeCell ref="AA1685:AA1687"/>
    <mergeCell ref="AB1685:AD1686"/>
    <mergeCell ref="AE1685:AF1686"/>
    <mergeCell ref="I1685:I1686"/>
    <mergeCell ref="J1685:K1686"/>
    <mergeCell ref="L1685:M1686"/>
    <mergeCell ref="N1685:O1686"/>
    <mergeCell ref="P1685:Q1686"/>
    <mergeCell ref="R1685:S1686"/>
    <mergeCell ref="T1685:U1686"/>
    <mergeCell ref="B1688:C1688"/>
    <mergeCell ref="B1689:C1689"/>
    <mergeCell ref="E1686:F1686"/>
    <mergeCell ref="B1687:D1687"/>
    <mergeCell ref="E1687:G1687"/>
    <mergeCell ref="H1687:I1687"/>
    <mergeCell ref="E1688:E1690"/>
    <mergeCell ref="H1688:I1688"/>
    <mergeCell ref="H1689:I1689"/>
    <mergeCell ref="B1694:C1694"/>
    <mergeCell ref="B1695:C1695"/>
    <mergeCell ref="B1699:C1699"/>
    <mergeCell ref="D1699:G1699"/>
    <mergeCell ref="E1700:F1700"/>
    <mergeCell ref="B1686:C1686"/>
    <mergeCell ref="B1690:C1690"/>
    <mergeCell ref="B1691:C1691"/>
    <mergeCell ref="E1691:E1693"/>
    <mergeCell ref="B1692:C1692"/>
    <mergeCell ref="B1693:D1693"/>
    <mergeCell ref="E1694:E1696"/>
    <mergeCell ref="H1690:I1690"/>
    <mergeCell ref="H1691:I1691"/>
    <mergeCell ref="H1692:I1692"/>
    <mergeCell ref="H1693:I1693"/>
    <mergeCell ref="H1694:I1694"/>
    <mergeCell ref="H1695:I1695"/>
    <mergeCell ref="H1696:I1696"/>
    <mergeCell ref="J1714:Z1714"/>
    <mergeCell ref="AA1714:AF1714"/>
    <mergeCell ref="B1711:C1711"/>
    <mergeCell ref="B1712:C1712"/>
    <mergeCell ref="E1712:F1712"/>
    <mergeCell ref="I1712:O1712"/>
    <mergeCell ref="P1712:Q1712"/>
    <mergeCell ref="R1712:Z1712"/>
    <mergeCell ref="AB1712:AF1712"/>
    <mergeCell ref="V1700:W1701"/>
    <mergeCell ref="X1700:Y1701"/>
    <mergeCell ref="Z1700:Z1702"/>
    <mergeCell ref="AA1700:AA1702"/>
    <mergeCell ref="AB1700:AD1701"/>
    <mergeCell ref="AE1700:AF1701"/>
    <mergeCell ref="I1700:I1701"/>
    <mergeCell ref="J1700:K1701"/>
    <mergeCell ref="L1700:M1701"/>
    <mergeCell ref="N1700:O1701"/>
    <mergeCell ref="P1700:Q1701"/>
    <mergeCell ref="R1700:S1701"/>
    <mergeCell ref="T1700:U1701"/>
    <mergeCell ref="B1703:C1703"/>
    <mergeCell ref="B1704:C1704"/>
    <mergeCell ref="E1701:F1701"/>
    <mergeCell ref="B1702:D1702"/>
    <mergeCell ref="E1702:G1702"/>
    <mergeCell ref="H1702:I1702"/>
    <mergeCell ref="E1703:E1705"/>
    <mergeCell ref="H1703:I1703"/>
    <mergeCell ref="H1704:I1704"/>
    <mergeCell ref="B1709:C1709"/>
    <mergeCell ref="B1710:C1710"/>
    <mergeCell ref="B1714:C1714"/>
    <mergeCell ref="D1714:G1714"/>
    <mergeCell ref="E1715:F1715"/>
    <mergeCell ref="B1701:C1701"/>
    <mergeCell ref="B1705:C1705"/>
    <mergeCell ref="B1706:C1706"/>
    <mergeCell ref="E1706:E1708"/>
    <mergeCell ref="B1707:C1707"/>
    <mergeCell ref="B1708:D1708"/>
    <mergeCell ref="E1709:E1711"/>
    <mergeCell ref="H1705:I1705"/>
    <mergeCell ref="H1706:I1706"/>
    <mergeCell ref="H1707:I1707"/>
    <mergeCell ref="H1708:I1708"/>
    <mergeCell ref="H1709:I1709"/>
    <mergeCell ref="H1710:I1710"/>
    <mergeCell ref="H1711:I1711"/>
    <mergeCell ref="J1729:Z1729"/>
    <mergeCell ref="AA1729:AF1729"/>
    <mergeCell ref="B1726:C1726"/>
    <mergeCell ref="B1727:C1727"/>
    <mergeCell ref="E1727:F1727"/>
    <mergeCell ref="I1727:O1727"/>
    <mergeCell ref="P1727:Q1727"/>
    <mergeCell ref="R1727:Z1727"/>
    <mergeCell ref="AB1727:AF1727"/>
    <mergeCell ref="V1715:W1716"/>
    <mergeCell ref="X1715:Y1716"/>
    <mergeCell ref="Z1715:Z1717"/>
    <mergeCell ref="AA1715:AA1717"/>
    <mergeCell ref="AB1715:AD1716"/>
    <mergeCell ref="AE1715:AF1716"/>
    <mergeCell ref="I1715:I1716"/>
    <mergeCell ref="J1715:K1716"/>
    <mergeCell ref="L1715:M1716"/>
    <mergeCell ref="N1715:O1716"/>
    <mergeCell ref="P1715:Q1716"/>
    <mergeCell ref="R1715:S1716"/>
    <mergeCell ref="T1715:U1716"/>
    <mergeCell ref="B1718:C1718"/>
    <mergeCell ref="B1719:C1719"/>
    <mergeCell ref="E1716:F1716"/>
    <mergeCell ref="B1717:D1717"/>
    <mergeCell ref="E1717:G1717"/>
    <mergeCell ref="H1717:I1717"/>
    <mergeCell ref="E1718:E1720"/>
    <mergeCell ref="H1718:I1718"/>
    <mergeCell ref="H1719:I1719"/>
    <mergeCell ref="B1724:C1724"/>
    <mergeCell ref="B1725:C1725"/>
    <mergeCell ref="B1729:C1729"/>
    <mergeCell ref="D1729:G1729"/>
    <mergeCell ref="E1730:F1730"/>
    <mergeCell ref="B1716:C1716"/>
    <mergeCell ref="B1720:C1720"/>
    <mergeCell ref="B1721:C1721"/>
    <mergeCell ref="E1721:E1723"/>
    <mergeCell ref="B1722:C1722"/>
    <mergeCell ref="B1723:D1723"/>
    <mergeCell ref="E1724:E1726"/>
    <mergeCell ref="H1720:I1720"/>
    <mergeCell ref="H1721:I1721"/>
    <mergeCell ref="H1722:I1722"/>
    <mergeCell ref="H1723:I1723"/>
    <mergeCell ref="H1724:I1724"/>
    <mergeCell ref="H1725:I1725"/>
    <mergeCell ref="H1726:I1726"/>
    <mergeCell ref="J1744:Z1744"/>
    <mergeCell ref="AA1744:AF1744"/>
    <mergeCell ref="B1741:C1741"/>
    <mergeCell ref="B1742:C1742"/>
    <mergeCell ref="E1742:F1742"/>
    <mergeCell ref="I1742:O1742"/>
    <mergeCell ref="P1742:Q1742"/>
    <mergeCell ref="R1742:Z1742"/>
    <mergeCell ref="AB1742:AF1742"/>
    <mergeCell ref="V1730:W1731"/>
    <mergeCell ref="X1730:Y1731"/>
    <mergeCell ref="Z1730:Z1732"/>
    <mergeCell ref="AA1730:AA1732"/>
    <mergeCell ref="AB1730:AD1731"/>
    <mergeCell ref="AE1730:AF1731"/>
    <mergeCell ref="I1730:I1731"/>
    <mergeCell ref="J1730:K1731"/>
    <mergeCell ref="L1730:M1731"/>
    <mergeCell ref="N1730:O1731"/>
    <mergeCell ref="P1730:Q1731"/>
    <mergeCell ref="R1730:S1731"/>
    <mergeCell ref="T1730:U1731"/>
    <mergeCell ref="B1733:C1733"/>
    <mergeCell ref="B1734:C1734"/>
    <mergeCell ref="E1731:F1731"/>
    <mergeCell ref="B1732:D1732"/>
    <mergeCell ref="E1732:G1732"/>
    <mergeCell ref="H1732:I1732"/>
    <mergeCell ref="E1733:E1735"/>
    <mergeCell ref="H1733:I1733"/>
    <mergeCell ref="H1734:I1734"/>
    <mergeCell ref="B1739:C1739"/>
    <mergeCell ref="B1740:C1740"/>
    <mergeCell ref="B1744:C1744"/>
    <mergeCell ref="D1744:G1744"/>
    <mergeCell ref="E1745:F1745"/>
    <mergeCell ref="B1731:C1731"/>
    <mergeCell ref="B1735:C1735"/>
    <mergeCell ref="B1736:C1736"/>
    <mergeCell ref="E1736:E1738"/>
    <mergeCell ref="B1737:C1737"/>
    <mergeCell ref="B1738:D1738"/>
    <mergeCell ref="E1739:E1741"/>
    <mergeCell ref="H1735:I1735"/>
    <mergeCell ref="H1736:I1736"/>
    <mergeCell ref="H1737:I1737"/>
    <mergeCell ref="H1738:I1738"/>
    <mergeCell ref="H1739:I1739"/>
    <mergeCell ref="H1740:I1740"/>
    <mergeCell ref="H1741:I1741"/>
    <mergeCell ref="J1759:Z1759"/>
    <mergeCell ref="AA1759:AF1759"/>
    <mergeCell ref="B1756:C1756"/>
    <mergeCell ref="B1757:C1757"/>
    <mergeCell ref="E1757:F1757"/>
    <mergeCell ref="I1757:O1757"/>
    <mergeCell ref="P1757:Q1757"/>
    <mergeCell ref="R1757:Z1757"/>
    <mergeCell ref="AB1757:AF1757"/>
    <mergeCell ref="V1745:W1746"/>
    <mergeCell ref="X1745:Y1746"/>
    <mergeCell ref="Z1745:Z1747"/>
    <mergeCell ref="AA1745:AA1747"/>
    <mergeCell ref="AB1745:AD1746"/>
    <mergeCell ref="AE1745:AF1746"/>
    <mergeCell ref="I1745:I1746"/>
    <mergeCell ref="J1745:K1746"/>
    <mergeCell ref="L1745:M1746"/>
    <mergeCell ref="N1745:O1746"/>
    <mergeCell ref="P1745:Q1746"/>
    <mergeCell ref="R1745:S1746"/>
    <mergeCell ref="T1745:U1746"/>
    <mergeCell ref="B1748:C1748"/>
    <mergeCell ref="B1749:C1749"/>
    <mergeCell ref="E1746:F1746"/>
    <mergeCell ref="B1747:D1747"/>
    <mergeCell ref="E1747:G1747"/>
    <mergeCell ref="H1747:I1747"/>
    <mergeCell ref="E1748:E1750"/>
    <mergeCell ref="H1748:I1748"/>
    <mergeCell ref="H1749:I1749"/>
    <mergeCell ref="B1754:C1754"/>
    <mergeCell ref="B1755:C1755"/>
    <mergeCell ref="B1759:C1759"/>
    <mergeCell ref="D1759:G1759"/>
    <mergeCell ref="E1760:F1760"/>
    <mergeCell ref="B1746:C1746"/>
    <mergeCell ref="B1750:C1750"/>
    <mergeCell ref="B1751:C1751"/>
    <mergeCell ref="E1751:E1753"/>
    <mergeCell ref="B1752:C1752"/>
    <mergeCell ref="B1753:D1753"/>
    <mergeCell ref="E1754:E1756"/>
    <mergeCell ref="H1750:I1750"/>
    <mergeCell ref="H1751:I1751"/>
    <mergeCell ref="H1752:I1752"/>
    <mergeCell ref="H1753:I1753"/>
    <mergeCell ref="H1754:I1754"/>
    <mergeCell ref="H1755:I1755"/>
    <mergeCell ref="H1756:I1756"/>
    <mergeCell ref="J1774:Z1774"/>
    <mergeCell ref="AA1774:AF1774"/>
    <mergeCell ref="B1771:C1771"/>
    <mergeCell ref="B1772:C1772"/>
    <mergeCell ref="E1772:F1772"/>
    <mergeCell ref="I1772:O1772"/>
    <mergeCell ref="P1772:Q1772"/>
    <mergeCell ref="R1772:Z1772"/>
    <mergeCell ref="AB1772:AF1772"/>
    <mergeCell ref="V1760:W1761"/>
    <mergeCell ref="X1760:Y1761"/>
    <mergeCell ref="Z1760:Z1762"/>
    <mergeCell ref="AA1760:AA1762"/>
    <mergeCell ref="AB1760:AD1761"/>
    <mergeCell ref="AE1760:AF1761"/>
    <mergeCell ref="I1760:I1761"/>
    <mergeCell ref="J1760:K1761"/>
    <mergeCell ref="L1760:M1761"/>
    <mergeCell ref="N1760:O1761"/>
    <mergeCell ref="P1760:Q1761"/>
    <mergeCell ref="R1760:S1761"/>
    <mergeCell ref="T1760:U1761"/>
    <mergeCell ref="B1763:C1763"/>
    <mergeCell ref="B1764:C1764"/>
    <mergeCell ref="E1761:F1761"/>
    <mergeCell ref="B1762:D1762"/>
    <mergeCell ref="E1762:G1762"/>
    <mergeCell ref="H1762:I1762"/>
    <mergeCell ref="E1763:E1765"/>
    <mergeCell ref="H1763:I1763"/>
    <mergeCell ref="H1764:I1764"/>
    <mergeCell ref="B1769:C1769"/>
    <mergeCell ref="B1770:C1770"/>
    <mergeCell ref="B1774:C1774"/>
    <mergeCell ref="D1774:G1774"/>
    <mergeCell ref="E1775:F1775"/>
    <mergeCell ref="B1761:C1761"/>
    <mergeCell ref="B1765:C1765"/>
    <mergeCell ref="B1766:C1766"/>
    <mergeCell ref="E1766:E1768"/>
    <mergeCell ref="B1767:C1767"/>
    <mergeCell ref="B1768:D1768"/>
    <mergeCell ref="E1769:E1771"/>
    <mergeCell ref="H1765:I1765"/>
    <mergeCell ref="H1766:I1766"/>
    <mergeCell ref="H1767:I1767"/>
    <mergeCell ref="H1768:I1768"/>
    <mergeCell ref="H1769:I1769"/>
    <mergeCell ref="H1770:I1770"/>
    <mergeCell ref="H1771:I1771"/>
    <mergeCell ref="J1789:Z1789"/>
    <mergeCell ref="AA1789:AF1789"/>
    <mergeCell ref="B1786:C1786"/>
    <mergeCell ref="B1787:C1787"/>
    <mergeCell ref="E1787:F1787"/>
    <mergeCell ref="I1787:O1787"/>
    <mergeCell ref="P1787:Q1787"/>
    <mergeCell ref="R1787:Z1787"/>
    <mergeCell ref="AB1787:AF1787"/>
    <mergeCell ref="V1775:W1776"/>
    <mergeCell ref="X1775:Y1776"/>
    <mergeCell ref="Z1775:Z1777"/>
    <mergeCell ref="AA1775:AA1777"/>
    <mergeCell ref="AB1775:AD1776"/>
    <mergeCell ref="AE1775:AF1776"/>
    <mergeCell ref="I1775:I1776"/>
    <mergeCell ref="J1775:K1776"/>
    <mergeCell ref="L1775:M1776"/>
    <mergeCell ref="N1775:O1776"/>
    <mergeCell ref="P1775:Q1776"/>
    <mergeCell ref="R1775:S1776"/>
    <mergeCell ref="T1775:U1776"/>
    <mergeCell ref="B1778:C1778"/>
    <mergeCell ref="B1779:C1779"/>
    <mergeCell ref="E1776:F1776"/>
    <mergeCell ref="B1777:D1777"/>
    <mergeCell ref="E1777:G1777"/>
    <mergeCell ref="H1777:I1777"/>
    <mergeCell ref="E1778:E1780"/>
    <mergeCell ref="H1778:I1778"/>
    <mergeCell ref="H1779:I1779"/>
    <mergeCell ref="B1784:C1784"/>
    <mergeCell ref="B1785:C1785"/>
    <mergeCell ref="B1789:C1789"/>
    <mergeCell ref="D1789:G1789"/>
    <mergeCell ref="E1790:F1790"/>
    <mergeCell ref="B1776:C1776"/>
    <mergeCell ref="B1780:C1780"/>
    <mergeCell ref="B1781:C1781"/>
    <mergeCell ref="E1781:E1783"/>
    <mergeCell ref="B1782:C1782"/>
    <mergeCell ref="B1783:D1783"/>
    <mergeCell ref="E1784:E1786"/>
    <mergeCell ref="H1780:I1780"/>
    <mergeCell ref="H1781:I1781"/>
    <mergeCell ref="H1782:I1782"/>
    <mergeCell ref="H1783:I1783"/>
    <mergeCell ref="H1784:I1784"/>
    <mergeCell ref="H1785:I1785"/>
    <mergeCell ref="H1786:I1786"/>
    <mergeCell ref="J1804:Z1804"/>
    <mergeCell ref="AA1804:AF1804"/>
    <mergeCell ref="B1801:C1801"/>
    <mergeCell ref="B1802:C1802"/>
    <mergeCell ref="E1802:F1802"/>
    <mergeCell ref="I1802:O1802"/>
    <mergeCell ref="P1802:Q1802"/>
    <mergeCell ref="R1802:Z1802"/>
    <mergeCell ref="AB1802:AF1802"/>
    <mergeCell ref="V1790:W1791"/>
    <mergeCell ref="X1790:Y1791"/>
    <mergeCell ref="Z1790:Z1792"/>
    <mergeCell ref="AA1790:AA1792"/>
    <mergeCell ref="AB1790:AD1791"/>
    <mergeCell ref="AE1790:AF1791"/>
    <mergeCell ref="I1790:I1791"/>
    <mergeCell ref="J1790:K1791"/>
    <mergeCell ref="L1790:M1791"/>
    <mergeCell ref="N1790:O1791"/>
    <mergeCell ref="P1790:Q1791"/>
    <mergeCell ref="R1790:S1791"/>
    <mergeCell ref="T1790:U1791"/>
    <mergeCell ref="B1793:C1793"/>
    <mergeCell ref="B1794:C1794"/>
    <mergeCell ref="E1791:F1791"/>
    <mergeCell ref="B1792:D1792"/>
    <mergeCell ref="E1792:G1792"/>
    <mergeCell ref="H1792:I1792"/>
    <mergeCell ref="E1793:E1795"/>
    <mergeCell ref="H1793:I1793"/>
    <mergeCell ref="H1794:I1794"/>
    <mergeCell ref="B1799:C1799"/>
    <mergeCell ref="B1800:C1800"/>
    <mergeCell ref="B1804:C1804"/>
    <mergeCell ref="D1804:G1804"/>
    <mergeCell ref="E1805:F1805"/>
    <mergeCell ref="B1791:C1791"/>
    <mergeCell ref="B1795:C1795"/>
    <mergeCell ref="B1796:C1796"/>
    <mergeCell ref="E1796:E1798"/>
    <mergeCell ref="B1797:C1797"/>
    <mergeCell ref="B1798:D1798"/>
    <mergeCell ref="E1799:E1801"/>
    <mergeCell ref="H1795:I1795"/>
    <mergeCell ref="H1796:I1796"/>
    <mergeCell ref="H1797:I1797"/>
    <mergeCell ref="H1798:I1798"/>
    <mergeCell ref="H1799:I1799"/>
    <mergeCell ref="H1800:I1800"/>
    <mergeCell ref="H1801:I1801"/>
    <mergeCell ref="J1819:Z1819"/>
    <mergeCell ref="AA1819:AF1819"/>
    <mergeCell ref="B1816:C1816"/>
    <mergeCell ref="B1817:C1817"/>
    <mergeCell ref="E1817:F1817"/>
    <mergeCell ref="I1817:O1817"/>
    <mergeCell ref="P1817:Q1817"/>
    <mergeCell ref="R1817:Z1817"/>
    <mergeCell ref="AB1817:AF1817"/>
    <mergeCell ref="V1805:W1806"/>
    <mergeCell ref="X1805:Y1806"/>
    <mergeCell ref="Z1805:Z1807"/>
    <mergeCell ref="AA1805:AA1807"/>
    <mergeCell ref="AB1805:AD1806"/>
    <mergeCell ref="AE1805:AF1806"/>
    <mergeCell ref="I1805:I1806"/>
    <mergeCell ref="J1805:K1806"/>
    <mergeCell ref="L1805:M1806"/>
    <mergeCell ref="N1805:O1806"/>
    <mergeCell ref="P1805:Q1806"/>
    <mergeCell ref="R1805:S1806"/>
    <mergeCell ref="T1805:U1806"/>
    <mergeCell ref="B1808:C1808"/>
    <mergeCell ref="B1809:C1809"/>
    <mergeCell ref="E1806:F1806"/>
    <mergeCell ref="B1807:D1807"/>
    <mergeCell ref="E1807:G1807"/>
    <mergeCell ref="H1807:I1807"/>
    <mergeCell ref="E1808:E1810"/>
    <mergeCell ref="H1808:I1808"/>
    <mergeCell ref="H1809:I1809"/>
    <mergeCell ref="B1814:C1814"/>
    <mergeCell ref="B1815:C1815"/>
    <mergeCell ref="B1819:C1819"/>
    <mergeCell ref="D1819:G1819"/>
    <mergeCell ref="E1820:F1820"/>
    <mergeCell ref="B1806:C1806"/>
    <mergeCell ref="B1810:C1810"/>
    <mergeCell ref="B1811:C1811"/>
    <mergeCell ref="E1811:E1813"/>
    <mergeCell ref="B1812:C1812"/>
    <mergeCell ref="B1813:D1813"/>
    <mergeCell ref="E1814:E1816"/>
    <mergeCell ref="H1810:I1810"/>
    <mergeCell ref="H1811:I1811"/>
    <mergeCell ref="H1812:I1812"/>
    <mergeCell ref="H1813:I1813"/>
    <mergeCell ref="H1814:I1814"/>
    <mergeCell ref="H1815:I1815"/>
    <mergeCell ref="H1816:I1816"/>
    <mergeCell ref="J1834:Z1834"/>
    <mergeCell ref="AA1834:AF1834"/>
    <mergeCell ref="B1831:C1831"/>
    <mergeCell ref="B1832:C1832"/>
    <mergeCell ref="E1832:F1832"/>
    <mergeCell ref="I1832:O1832"/>
    <mergeCell ref="P1832:Q1832"/>
    <mergeCell ref="R1832:Z1832"/>
    <mergeCell ref="AB1832:AF1832"/>
    <mergeCell ref="V1820:W1821"/>
    <mergeCell ref="X1820:Y1821"/>
    <mergeCell ref="Z1820:Z1822"/>
    <mergeCell ref="AA1820:AA1822"/>
    <mergeCell ref="AB1820:AD1821"/>
    <mergeCell ref="AE1820:AF1821"/>
    <mergeCell ref="I1820:I1821"/>
    <mergeCell ref="J1820:K1821"/>
    <mergeCell ref="L1820:M1821"/>
    <mergeCell ref="N1820:O1821"/>
    <mergeCell ref="P1820:Q1821"/>
    <mergeCell ref="R1820:S1821"/>
    <mergeCell ref="T1820:U1821"/>
    <mergeCell ref="B1823:C1823"/>
    <mergeCell ref="B1824:C1824"/>
    <mergeCell ref="E1821:F1821"/>
    <mergeCell ref="B1822:D1822"/>
    <mergeCell ref="E1822:G1822"/>
    <mergeCell ref="H1822:I1822"/>
    <mergeCell ref="E1823:E1825"/>
    <mergeCell ref="H1823:I1823"/>
    <mergeCell ref="H1824:I1824"/>
    <mergeCell ref="B1829:C1829"/>
    <mergeCell ref="B1830:C1830"/>
    <mergeCell ref="B1834:C1834"/>
    <mergeCell ref="D1834:G1834"/>
    <mergeCell ref="E1835:F1835"/>
    <mergeCell ref="B1821:C1821"/>
    <mergeCell ref="B1825:C1825"/>
    <mergeCell ref="B1826:C1826"/>
    <mergeCell ref="E1826:E1828"/>
    <mergeCell ref="B1827:C1827"/>
    <mergeCell ref="B1828:D1828"/>
    <mergeCell ref="E1829:E1831"/>
    <mergeCell ref="H1825:I1825"/>
    <mergeCell ref="H1826:I1826"/>
    <mergeCell ref="H1827:I1827"/>
    <mergeCell ref="H1828:I1828"/>
    <mergeCell ref="H1829:I1829"/>
    <mergeCell ref="H1830:I1830"/>
    <mergeCell ref="H1831:I1831"/>
    <mergeCell ref="J1849:Z1849"/>
    <mergeCell ref="AA1849:AF1849"/>
    <mergeCell ref="B1846:C1846"/>
    <mergeCell ref="B1847:C1847"/>
    <mergeCell ref="E1847:F1847"/>
    <mergeCell ref="I1847:O1847"/>
    <mergeCell ref="P1847:Q1847"/>
    <mergeCell ref="R1847:Z1847"/>
    <mergeCell ref="AB1847:AF1847"/>
    <mergeCell ref="V1835:W1836"/>
    <mergeCell ref="X1835:Y1836"/>
    <mergeCell ref="Z1835:Z1837"/>
    <mergeCell ref="AA1835:AA1837"/>
    <mergeCell ref="AB1835:AD1836"/>
    <mergeCell ref="AE1835:AF1836"/>
    <mergeCell ref="I1835:I1836"/>
    <mergeCell ref="J1835:K1836"/>
    <mergeCell ref="L1835:M1836"/>
    <mergeCell ref="N1835:O1836"/>
    <mergeCell ref="P1835:Q1836"/>
    <mergeCell ref="R1835:S1836"/>
    <mergeCell ref="T1835:U1836"/>
    <mergeCell ref="B1838:C1838"/>
    <mergeCell ref="B1839:C1839"/>
    <mergeCell ref="E1836:F1836"/>
    <mergeCell ref="B1837:D1837"/>
    <mergeCell ref="E1837:G1837"/>
    <mergeCell ref="H1837:I1837"/>
    <mergeCell ref="E1838:E1840"/>
    <mergeCell ref="H1838:I1838"/>
    <mergeCell ref="H1839:I1839"/>
    <mergeCell ref="B1844:C1844"/>
    <mergeCell ref="B1845:C1845"/>
    <mergeCell ref="B1849:C1849"/>
    <mergeCell ref="D1849:G1849"/>
    <mergeCell ref="E1850:F1850"/>
    <mergeCell ref="B1836:C1836"/>
    <mergeCell ref="B1840:C1840"/>
    <mergeCell ref="B1841:C1841"/>
    <mergeCell ref="E1841:E1843"/>
    <mergeCell ref="B1842:C1842"/>
    <mergeCell ref="B1843:D1843"/>
    <mergeCell ref="E1844:E1846"/>
    <mergeCell ref="H1840:I1840"/>
    <mergeCell ref="H1841:I1841"/>
    <mergeCell ref="H1842:I1842"/>
    <mergeCell ref="H1843:I1843"/>
    <mergeCell ref="H1844:I1844"/>
    <mergeCell ref="H1845:I1845"/>
    <mergeCell ref="H1846:I1846"/>
    <mergeCell ref="J1864:Z1864"/>
    <mergeCell ref="AA1864:AF1864"/>
    <mergeCell ref="B1861:C1861"/>
    <mergeCell ref="B1862:C1862"/>
    <mergeCell ref="E1862:F1862"/>
    <mergeCell ref="I1862:O1862"/>
    <mergeCell ref="P1862:Q1862"/>
    <mergeCell ref="R1862:Z1862"/>
    <mergeCell ref="AB1862:AF1862"/>
    <mergeCell ref="V1850:W1851"/>
    <mergeCell ref="X1850:Y1851"/>
    <mergeCell ref="Z1850:Z1852"/>
    <mergeCell ref="AA1850:AA1852"/>
    <mergeCell ref="AB1850:AD1851"/>
    <mergeCell ref="AE1850:AF1851"/>
    <mergeCell ref="I1850:I1851"/>
    <mergeCell ref="J1850:K1851"/>
    <mergeCell ref="L1850:M1851"/>
    <mergeCell ref="N1850:O1851"/>
    <mergeCell ref="P1850:Q1851"/>
    <mergeCell ref="R1850:S1851"/>
    <mergeCell ref="T1850:U1851"/>
    <mergeCell ref="B1853:C1853"/>
    <mergeCell ref="B1854:C1854"/>
    <mergeCell ref="E1851:F1851"/>
    <mergeCell ref="B1852:D1852"/>
    <mergeCell ref="E1852:G1852"/>
    <mergeCell ref="H1852:I1852"/>
    <mergeCell ref="E1853:E1855"/>
    <mergeCell ref="H1853:I1853"/>
    <mergeCell ref="H1854:I1854"/>
    <mergeCell ref="B1859:C1859"/>
    <mergeCell ref="B1860:C1860"/>
    <mergeCell ref="B1864:C1864"/>
    <mergeCell ref="D1864:G1864"/>
    <mergeCell ref="E1865:F1865"/>
    <mergeCell ref="B1851:C1851"/>
    <mergeCell ref="B1855:C1855"/>
    <mergeCell ref="B1856:C1856"/>
    <mergeCell ref="E1856:E1858"/>
    <mergeCell ref="B1857:C1857"/>
    <mergeCell ref="B1858:D1858"/>
    <mergeCell ref="E1859:E1861"/>
    <mergeCell ref="H1855:I1855"/>
    <mergeCell ref="H1856:I1856"/>
    <mergeCell ref="H1857:I1857"/>
    <mergeCell ref="H1858:I1858"/>
    <mergeCell ref="H1859:I1859"/>
    <mergeCell ref="H1860:I1860"/>
    <mergeCell ref="H1861:I1861"/>
    <mergeCell ref="J1879:Z1879"/>
    <mergeCell ref="AA1879:AF1879"/>
    <mergeCell ref="B1876:C1876"/>
    <mergeCell ref="B1877:C1877"/>
    <mergeCell ref="E1877:F1877"/>
    <mergeCell ref="I1877:O1877"/>
    <mergeCell ref="P1877:Q1877"/>
    <mergeCell ref="R1877:Z1877"/>
    <mergeCell ref="AB1877:AF1877"/>
    <mergeCell ref="V1865:W1866"/>
    <mergeCell ref="X1865:Y1866"/>
    <mergeCell ref="Z1865:Z1867"/>
    <mergeCell ref="AA1865:AA1867"/>
    <mergeCell ref="AB1865:AD1866"/>
    <mergeCell ref="AE1865:AF1866"/>
    <mergeCell ref="I1865:I1866"/>
    <mergeCell ref="J1865:K1866"/>
    <mergeCell ref="L1865:M1866"/>
    <mergeCell ref="N1865:O1866"/>
    <mergeCell ref="P1865:Q1866"/>
    <mergeCell ref="R1865:S1866"/>
    <mergeCell ref="T1865:U1866"/>
    <mergeCell ref="B1868:C1868"/>
    <mergeCell ref="B1869:C1869"/>
    <mergeCell ref="E1866:F1866"/>
    <mergeCell ref="B1867:D1867"/>
    <mergeCell ref="E1867:G1867"/>
    <mergeCell ref="H1867:I1867"/>
    <mergeCell ref="E1868:E1870"/>
    <mergeCell ref="H1868:I1868"/>
    <mergeCell ref="H1869:I1869"/>
    <mergeCell ref="B1874:C1874"/>
    <mergeCell ref="B1875:C1875"/>
    <mergeCell ref="B1879:C1879"/>
    <mergeCell ref="D1879:G1879"/>
    <mergeCell ref="E1880:F1880"/>
    <mergeCell ref="B1866:C1866"/>
    <mergeCell ref="B1870:C1870"/>
    <mergeCell ref="B1871:C1871"/>
    <mergeCell ref="E1871:E1873"/>
    <mergeCell ref="B1872:C1872"/>
    <mergeCell ref="B1873:D1873"/>
    <mergeCell ref="E1874:E1876"/>
    <mergeCell ref="H1870:I1870"/>
    <mergeCell ref="H1871:I1871"/>
    <mergeCell ref="H1872:I1872"/>
    <mergeCell ref="H1873:I1873"/>
    <mergeCell ref="H1874:I1874"/>
    <mergeCell ref="H1875:I1875"/>
    <mergeCell ref="H1876:I1876"/>
    <mergeCell ref="J1894:Z1894"/>
    <mergeCell ref="AA1894:AF1894"/>
    <mergeCell ref="B1891:C1891"/>
    <mergeCell ref="B1892:C1892"/>
    <mergeCell ref="E1892:F1892"/>
    <mergeCell ref="I1892:O1892"/>
    <mergeCell ref="P1892:Q1892"/>
    <mergeCell ref="R1892:Z1892"/>
    <mergeCell ref="AB1892:AF1892"/>
    <mergeCell ref="V1880:W1881"/>
    <mergeCell ref="X1880:Y1881"/>
    <mergeCell ref="Z1880:Z1882"/>
    <mergeCell ref="AA1880:AA1882"/>
    <mergeCell ref="AB1880:AD1881"/>
    <mergeCell ref="AE1880:AF1881"/>
    <mergeCell ref="I1880:I1881"/>
    <mergeCell ref="J1880:K1881"/>
    <mergeCell ref="L1880:M1881"/>
    <mergeCell ref="N1880:O1881"/>
    <mergeCell ref="P1880:Q1881"/>
    <mergeCell ref="R1880:S1881"/>
    <mergeCell ref="T1880:U1881"/>
    <mergeCell ref="B1883:C1883"/>
    <mergeCell ref="B1884:C1884"/>
    <mergeCell ref="E1881:F1881"/>
    <mergeCell ref="B1882:D1882"/>
    <mergeCell ref="E1882:G1882"/>
    <mergeCell ref="H1882:I1882"/>
    <mergeCell ref="E1883:E1885"/>
    <mergeCell ref="H1883:I1883"/>
    <mergeCell ref="H1884:I1884"/>
    <mergeCell ref="B1889:C1889"/>
    <mergeCell ref="B1890:C1890"/>
    <mergeCell ref="B1894:C1894"/>
    <mergeCell ref="D1894:G1894"/>
    <mergeCell ref="E1895:F1895"/>
    <mergeCell ref="B1881:C1881"/>
    <mergeCell ref="B1885:C1885"/>
    <mergeCell ref="B1886:C1886"/>
    <mergeCell ref="E1886:E1888"/>
    <mergeCell ref="B1887:C1887"/>
    <mergeCell ref="B1888:D1888"/>
    <mergeCell ref="E1889:E1891"/>
    <mergeCell ref="H1885:I1885"/>
    <mergeCell ref="H1886:I1886"/>
    <mergeCell ref="H1887:I1887"/>
    <mergeCell ref="H1888:I1888"/>
    <mergeCell ref="H1889:I1889"/>
    <mergeCell ref="H1890:I1890"/>
    <mergeCell ref="H1891:I1891"/>
    <mergeCell ref="J1909:Z1909"/>
    <mergeCell ref="AA1909:AF1909"/>
    <mergeCell ref="B1906:C1906"/>
    <mergeCell ref="B1907:C1907"/>
    <mergeCell ref="E1907:F1907"/>
    <mergeCell ref="I1907:O1907"/>
    <mergeCell ref="P1907:Q1907"/>
    <mergeCell ref="R1907:Z1907"/>
    <mergeCell ref="AB1907:AF1907"/>
    <mergeCell ref="V1895:W1896"/>
    <mergeCell ref="X1895:Y1896"/>
    <mergeCell ref="Z1895:Z1897"/>
    <mergeCell ref="AA1895:AA1897"/>
    <mergeCell ref="AB1895:AD1896"/>
    <mergeCell ref="AE1895:AF1896"/>
    <mergeCell ref="I1895:I1896"/>
    <mergeCell ref="J1895:K1896"/>
    <mergeCell ref="L1895:M1896"/>
    <mergeCell ref="N1895:O1896"/>
    <mergeCell ref="P1895:Q1896"/>
    <mergeCell ref="R1895:S1896"/>
    <mergeCell ref="T1895:U1896"/>
    <mergeCell ref="B1898:C1898"/>
    <mergeCell ref="B1899:C1899"/>
    <mergeCell ref="E1896:F1896"/>
    <mergeCell ref="B1897:D1897"/>
    <mergeCell ref="E1897:G1897"/>
    <mergeCell ref="H1897:I1897"/>
    <mergeCell ref="E1898:E1900"/>
    <mergeCell ref="H1898:I1898"/>
    <mergeCell ref="H1899:I1899"/>
    <mergeCell ref="B1904:C1904"/>
    <mergeCell ref="B1905:C1905"/>
    <mergeCell ref="B1909:C1909"/>
    <mergeCell ref="D1909:G1909"/>
    <mergeCell ref="E1910:F1910"/>
    <mergeCell ref="B1896:C1896"/>
    <mergeCell ref="B1900:C1900"/>
    <mergeCell ref="B1901:C1901"/>
    <mergeCell ref="E1901:E1903"/>
    <mergeCell ref="B1902:C1902"/>
    <mergeCell ref="B1903:D1903"/>
    <mergeCell ref="E1904:E1906"/>
    <mergeCell ref="H1900:I1900"/>
    <mergeCell ref="H1901:I1901"/>
    <mergeCell ref="H1902:I1902"/>
    <mergeCell ref="H1903:I1903"/>
    <mergeCell ref="H1904:I1904"/>
    <mergeCell ref="H1905:I1905"/>
    <mergeCell ref="H1906:I1906"/>
    <mergeCell ref="J1924:Z1924"/>
    <mergeCell ref="AA1924:AF1924"/>
    <mergeCell ref="B1921:C1921"/>
    <mergeCell ref="B1922:C1922"/>
    <mergeCell ref="E1922:F1922"/>
    <mergeCell ref="I1922:O1922"/>
    <mergeCell ref="P1922:Q1922"/>
    <mergeCell ref="R1922:Z1922"/>
    <mergeCell ref="AB1922:AF1922"/>
    <mergeCell ref="V1910:W1911"/>
    <mergeCell ref="X1910:Y1911"/>
    <mergeCell ref="Z1910:Z1912"/>
    <mergeCell ref="AA1910:AA1912"/>
    <mergeCell ref="AB1910:AD1911"/>
    <mergeCell ref="AE1910:AF1911"/>
    <mergeCell ref="I1910:I1911"/>
    <mergeCell ref="J1910:K1911"/>
    <mergeCell ref="L1910:M1911"/>
    <mergeCell ref="N1910:O1911"/>
    <mergeCell ref="P1910:Q1911"/>
    <mergeCell ref="R1910:S1911"/>
    <mergeCell ref="T1910:U1911"/>
    <mergeCell ref="B1913:C1913"/>
    <mergeCell ref="B1914:C1914"/>
    <mergeCell ref="E1911:F1911"/>
    <mergeCell ref="B1912:D1912"/>
    <mergeCell ref="E1912:G1912"/>
    <mergeCell ref="H1912:I1912"/>
    <mergeCell ref="E1913:E1915"/>
    <mergeCell ref="H1913:I1913"/>
    <mergeCell ref="H1914:I1914"/>
    <mergeCell ref="B1919:C1919"/>
    <mergeCell ref="B1920:C1920"/>
    <mergeCell ref="B1924:C1924"/>
    <mergeCell ref="D1924:G1924"/>
    <mergeCell ref="E1925:F1925"/>
    <mergeCell ref="B1911:C1911"/>
    <mergeCell ref="B1915:C1915"/>
    <mergeCell ref="B1916:C1916"/>
    <mergeCell ref="E1916:E1918"/>
    <mergeCell ref="B1917:C1917"/>
    <mergeCell ref="B1918:D1918"/>
    <mergeCell ref="E1919:E1921"/>
    <mergeCell ref="H1915:I1915"/>
    <mergeCell ref="H1916:I1916"/>
    <mergeCell ref="H1917:I1917"/>
    <mergeCell ref="H1918:I1918"/>
    <mergeCell ref="H1919:I1919"/>
    <mergeCell ref="H1920:I1920"/>
    <mergeCell ref="H1921:I1921"/>
    <mergeCell ref="J1939:Z1939"/>
    <mergeCell ref="AA1939:AF1939"/>
    <mergeCell ref="B1936:C1936"/>
    <mergeCell ref="B1937:C1937"/>
    <mergeCell ref="E1937:F1937"/>
    <mergeCell ref="I1937:O1937"/>
    <mergeCell ref="P1937:Q1937"/>
    <mergeCell ref="R1937:Z1937"/>
    <mergeCell ref="AB1937:AF1937"/>
    <mergeCell ref="V1925:W1926"/>
    <mergeCell ref="X1925:Y1926"/>
    <mergeCell ref="Z1925:Z1927"/>
    <mergeCell ref="AA1925:AA1927"/>
    <mergeCell ref="AB1925:AD1926"/>
    <mergeCell ref="AE1925:AF1926"/>
    <mergeCell ref="I1925:I1926"/>
    <mergeCell ref="J1925:K1926"/>
    <mergeCell ref="L1925:M1926"/>
    <mergeCell ref="N1925:O1926"/>
    <mergeCell ref="P1925:Q1926"/>
    <mergeCell ref="R1925:S1926"/>
    <mergeCell ref="T1925:U1926"/>
    <mergeCell ref="B1928:C1928"/>
    <mergeCell ref="B1929:C1929"/>
    <mergeCell ref="E1926:F1926"/>
    <mergeCell ref="B1927:D1927"/>
    <mergeCell ref="E1927:G1927"/>
    <mergeCell ref="H1927:I1927"/>
    <mergeCell ref="E1928:E1930"/>
    <mergeCell ref="H1928:I1928"/>
    <mergeCell ref="H1929:I1929"/>
    <mergeCell ref="B1934:C1934"/>
    <mergeCell ref="B1935:C1935"/>
    <mergeCell ref="B1939:C1939"/>
    <mergeCell ref="D1939:G1939"/>
    <mergeCell ref="E1940:F1940"/>
    <mergeCell ref="B1926:C1926"/>
    <mergeCell ref="B1930:C1930"/>
    <mergeCell ref="B1931:C1931"/>
    <mergeCell ref="E1931:E1933"/>
    <mergeCell ref="B1932:C1932"/>
    <mergeCell ref="B1933:D1933"/>
    <mergeCell ref="E1934:E1936"/>
    <mergeCell ref="H1930:I1930"/>
    <mergeCell ref="H1931:I1931"/>
    <mergeCell ref="H1932:I1932"/>
    <mergeCell ref="H1933:I1933"/>
    <mergeCell ref="H1934:I1934"/>
    <mergeCell ref="H1935:I1935"/>
    <mergeCell ref="H1936:I1936"/>
    <mergeCell ref="J1954:Z1954"/>
    <mergeCell ref="AA1954:AF1954"/>
    <mergeCell ref="B1951:C1951"/>
    <mergeCell ref="B1952:C1952"/>
    <mergeCell ref="E1952:F1952"/>
    <mergeCell ref="I1952:O1952"/>
    <mergeCell ref="P1952:Q1952"/>
    <mergeCell ref="R1952:Z1952"/>
    <mergeCell ref="AB1952:AF1952"/>
    <mergeCell ref="V1940:W1941"/>
    <mergeCell ref="X1940:Y1941"/>
    <mergeCell ref="Z1940:Z1942"/>
    <mergeCell ref="AA1940:AA1942"/>
    <mergeCell ref="AB1940:AD1941"/>
    <mergeCell ref="AE1940:AF1941"/>
    <mergeCell ref="I1940:I1941"/>
    <mergeCell ref="J1940:K1941"/>
    <mergeCell ref="L1940:M1941"/>
    <mergeCell ref="N1940:O1941"/>
    <mergeCell ref="P1940:Q1941"/>
    <mergeCell ref="R1940:S1941"/>
    <mergeCell ref="T1940:U1941"/>
    <mergeCell ref="B1943:C1943"/>
    <mergeCell ref="B1944:C1944"/>
    <mergeCell ref="E1941:F1941"/>
    <mergeCell ref="B1942:D1942"/>
    <mergeCell ref="E1942:G1942"/>
    <mergeCell ref="H1942:I1942"/>
    <mergeCell ref="E1943:E1945"/>
    <mergeCell ref="H1943:I1943"/>
    <mergeCell ref="H1944:I1944"/>
    <mergeCell ref="B1949:C1949"/>
    <mergeCell ref="B1950:C1950"/>
    <mergeCell ref="B1954:C1954"/>
    <mergeCell ref="D1954:G1954"/>
    <mergeCell ref="E1955:F1955"/>
    <mergeCell ref="B1941:C1941"/>
    <mergeCell ref="B1945:C1945"/>
    <mergeCell ref="B1946:C1946"/>
    <mergeCell ref="E1946:E1948"/>
    <mergeCell ref="B1947:C1947"/>
    <mergeCell ref="B1948:D1948"/>
    <mergeCell ref="E1949:E1951"/>
    <mergeCell ref="H1945:I1945"/>
    <mergeCell ref="H1946:I1946"/>
    <mergeCell ref="H1947:I1947"/>
    <mergeCell ref="H1948:I1948"/>
    <mergeCell ref="H1949:I1949"/>
    <mergeCell ref="H1950:I1950"/>
    <mergeCell ref="H1951:I1951"/>
    <mergeCell ref="J1969:Z1969"/>
    <mergeCell ref="AA1969:AF1969"/>
    <mergeCell ref="B1966:C1966"/>
    <mergeCell ref="B1967:C1967"/>
    <mergeCell ref="E1967:F1967"/>
    <mergeCell ref="I1967:O1967"/>
    <mergeCell ref="P1967:Q1967"/>
    <mergeCell ref="R1967:Z1967"/>
    <mergeCell ref="AB1967:AF1967"/>
    <mergeCell ref="V1955:W1956"/>
    <mergeCell ref="X1955:Y1956"/>
    <mergeCell ref="Z1955:Z1957"/>
    <mergeCell ref="AA1955:AA1957"/>
    <mergeCell ref="AB1955:AD1956"/>
    <mergeCell ref="AE1955:AF1956"/>
    <mergeCell ref="I1955:I1956"/>
    <mergeCell ref="J1955:K1956"/>
    <mergeCell ref="L1955:M1956"/>
    <mergeCell ref="N1955:O1956"/>
    <mergeCell ref="P1955:Q1956"/>
    <mergeCell ref="R1955:S1956"/>
    <mergeCell ref="T1955:U1956"/>
    <mergeCell ref="B1958:C1958"/>
    <mergeCell ref="B1959:C1959"/>
    <mergeCell ref="E1956:F1956"/>
    <mergeCell ref="B1957:D1957"/>
    <mergeCell ref="E1957:G1957"/>
    <mergeCell ref="H1957:I1957"/>
    <mergeCell ref="E1958:E1960"/>
    <mergeCell ref="H1958:I1958"/>
    <mergeCell ref="H1959:I1959"/>
    <mergeCell ref="B1964:C1964"/>
    <mergeCell ref="B1965:C1965"/>
    <mergeCell ref="B1969:C1969"/>
    <mergeCell ref="D1969:G1969"/>
    <mergeCell ref="E1970:F1970"/>
    <mergeCell ref="B1956:C1956"/>
    <mergeCell ref="B1960:C1960"/>
    <mergeCell ref="B1961:C1961"/>
    <mergeCell ref="E1961:E1963"/>
    <mergeCell ref="B1962:C1962"/>
    <mergeCell ref="B1963:D1963"/>
    <mergeCell ref="E1964:E1966"/>
    <mergeCell ref="H1960:I1960"/>
    <mergeCell ref="H1961:I1961"/>
    <mergeCell ref="H1962:I1962"/>
    <mergeCell ref="H1963:I1963"/>
    <mergeCell ref="H1964:I1964"/>
    <mergeCell ref="H1965:I1965"/>
    <mergeCell ref="H1966:I1966"/>
    <mergeCell ref="J1984:Z1984"/>
    <mergeCell ref="AA1984:AF1984"/>
    <mergeCell ref="B1981:C1981"/>
    <mergeCell ref="B1982:C1982"/>
    <mergeCell ref="E1982:F1982"/>
    <mergeCell ref="I1982:O1982"/>
    <mergeCell ref="P1982:Q1982"/>
    <mergeCell ref="R1982:Z1982"/>
    <mergeCell ref="AB1982:AF1982"/>
    <mergeCell ref="V1970:W1971"/>
    <mergeCell ref="X1970:Y1971"/>
    <mergeCell ref="Z1970:Z1972"/>
    <mergeCell ref="AA1970:AA1972"/>
    <mergeCell ref="AB1970:AD1971"/>
    <mergeCell ref="AE1970:AF1971"/>
    <mergeCell ref="I1970:I1971"/>
    <mergeCell ref="J1970:K1971"/>
    <mergeCell ref="L1970:M1971"/>
    <mergeCell ref="N1970:O1971"/>
    <mergeCell ref="P1970:Q1971"/>
    <mergeCell ref="R1970:S1971"/>
    <mergeCell ref="T1970:U1971"/>
    <mergeCell ref="B1973:C1973"/>
    <mergeCell ref="B1974:C1974"/>
    <mergeCell ref="E1971:F1971"/>
    <mergeCell ref="B1972:D1972"/>
    <mergeCell ref="E1972:G1972"/>
    <mergeCell ref="H1972:I1972"/>
    <mergeCell ref="E1973:E1975"/>
    <mergeCell ref="H1973:I1973"/>
    <mergeCell ref="H1974:I1974"/>
    <mergeCell ref="B1979:C1979"/>
    <mergeCell ref="B1980:C1980"/>
    <mergeCell ref="B1984:C1984"/>
    <mergeCell ref="D1984:G1984"/>
    <mergeCell ref="E1985:F1985"/>
    <mergeCell ref="B1971:C1971"/>
    <mergeCell ref="B1975:C1975"/>
    <mergeCell ref="B1976:C1976"/>
    <mergeCell ref="E1976:E1978"/>
    <mergeCell ref="B1977:C1977"/>
    <mergeCell ref="B1978:D1978"/>
    <mergeCell ref="E1979:E1981"/>
    <mergeCell ref="H1975:I1975"/>
    <mergeCell ref="H1976:I1976"/>
    <mergeCell ref="H1977:I1977"/>
    <mergeCell ref="H1978:I1978"/>
    <mergeCell ref="H1979:I1979"/>
    <mergeCell ref="H1980:I1980"/>
    <mergeCell ref="H1981:I1981"/>
    <mergeCell ref="J1999:Z1999"/>
    <mergeCell ref="AA1999:AF1999"/>
    <mergeCell ref="B1996:C1996"/>
    <mergeCell ref="B1997:C1997"/>
    <mergeCell ref="E1997:F1997"/>
    <mergeCell ref="I1997:O1997"/>
    <mergeCell ref="P1997:Q1997"/>
    <mergeCell ref="R1997:Z1997"/>
    <mergeCell ref="AB1997:AF1997"/>
    <mergeCell ref="V1985:W1986"/>
    <mergeCell ref="X1985:Y1986"/>
    <mergeCell ref="Z1985:Z1987"/>
    <mergeCell ref="AA1985:AA1987"/>
    <mergeCell ref="AB1985:AD1986"/>
    <mergeCell ref="AE1985:AF1986"/>
    <mergeCell ref="I1985:I1986"/>
    <mergeCell ref="J1985:K1986"/>
    <mergeCell ref="L1985:M1986"/>
    <mergeCell ref="N1985:O1986"/>
    <mergeCell ref="P1985:Q1986"/>
    <mergeCell ref="R1985:S1986"/>
    <mergeCell ref="T1985:U1986"/>
    <mergeCell ref="B1988:C1988"/>
    <mergeCell ref="B1989:C1989"/>
    <mergeCell ref="E1986:F1986"/>
    <mergeCell ref="B1987:D1987"/>
    <mergeCell ref="E1987:G1987"/>
    <mergeCell ref="H1987:I1987"/>
    <mergeCell ref="E1988:E1990"/>
    <mergeCell ref="H1988:I1988"/>
    <mergeCell ref="H1989:I1989"/>
    <mergeCell ref="B1994:C1994"/>
    <mergeCell ref="B1995:C1995"/>
    <mergeCell ref="B1999:C1999"/>
    <mergeCell ref="D1999:G1999"/>
    <mergeCell ref="E2000:F2000"/>
    <mergeCell ref="B1986:C1986"/>
    <mergeCell ref="B1990:C1990"/>
    <mergeCell ref="B1991:C1991"/>
    <mergeCell ref="E1991:E1993"/>
    <mergeCell ref="B1992:C1992"/>
    <mergeCell ref="B1993:D1993"/>
    <mergeCell ref="E1994:E1996"/>
    <mergeCell ref="H1990:I1990"/>
    <mergeCell ref="H1991:I1991"/>
    <mergeCell ref="H1992:I1992"/>
    <mergeCell ref="H1993:I1993"/>
    <mergeCell ref="H1994:I1994"/>
    <mergeCell ref="H1995:I1995"/>
    <mergeCell ref="H1996:I1996"/>
    <mergeCell ref="J2014:Z2014"/>
    <mergeCell ref="AA2014:AF2014"/>
    <mergeCell ref="B2011:C2011"/>
    <mergeCell ref="B2012:C2012"/>
    <mergeCell ref="E2012:F2012"/>
    <mergeCell ref="I2012:O2012"/>
    <mergeCell ref="P2012:Q2012"/>
    <mergeCell ref="R2012:Z2012"/>
    <mergeCell ref="AB2012:AF2012"/>
    <mergeCell ref="V2000:W2001"/>
    <mergeCell ref="X2000:Y2001"/>
    <mergeCell ref="Z2000:Z2002"/>
    <mergeCell ref="AA2000:AA2002"/>
    <mergeCell ref="AB2000:AD2001"/>
    <mergeCell ref="AE2000:AF2001"/>
    <mergeCell ref="I2000:I2001"/>
    <mergeCell ref="J2000:K2001"/>
    <mergeCell ref="L2000:M2001"/>
    <mergeCell ref="N2000:O2001"/>
    <mergeCell ref="P2000:Q2001"/>
    <mergeCell ref="R2000:S2001"/>
    <mergeCell ref="T2000:U2001"/>
    <mergeCell ref="B2003:C2003"/>
    <mergeCell ref="B2004:C2004"/>
    <mergeCell ref="E2001:F2001"/>
    <mergeCell ref="B2002:D2002"/>
    <mergeCell ref="E2002:G2002"/>
    <mergeCell ref="H2002:I2002"/>
    <mergeCell ref="E2003:E2005"/>
    <mergeCell ref="H2003:I2003"/>
    <mergeCell ref="H2004:I2004"/>
    <mergeCell ref="B2009:C2009"/>
    <mergeCell ref="B2010:C2010"/>
    <mergeCell ref="B2014:C2014"/>
    <mergeCell ref="D2014:G2014"/>
    <mergeCell ref="E2015:F2015"/>
    <mergeCell ref="B2001:C2001"/>
    <mergeCell ref="B2005:C2005"/>
    <mergeCell ref="B2006:C2006"/>
    <mergeCell ref="E2006:E2008"/>
    <mergeCell ref="B2007:C2007"/>
    <mergeCell ref="B2008:D2008"/>
    <mergeCell ref="E2009:E2011"/>
    <mergeCell ref="H2005:I2005"/>
    <mergeCell ref="H2006:I2006"/>
    <mergeCell ref="H2007:I2007"/>
    <mergeCell ref="H2008:I2008"/>
    <mergeCell ref="H2009:I2009"/>
    <mergeCell ref="H2010:I2010"/>
    <mergeCell ref="H2011:I2011"/>
    <mergeCell ref="J2029:Z2029"/>
    <mergeCell ref="AA2029:AF2029"/>
    <mergeCell ref="B2026:C2026"/>
    <mergeCell ref="B2027:C2027"/>
    <mergeCell ref="E2027:F2027"/>
    <mergeCell ref="I2027:O2027"/>
    <mergeCell ref="P2027:Q2027"/>
    <mergeCell ref="R2027:Z2027"/>
    <mergeCell ref="AB2027:AF2027"/>
    <mergeCell ref="V2015:W2016"/>
    <mergeCell ref="X2015:Y2016"/>
    <mergeCell ref="Z2015:Z2017"/>
    <mergeCell ref="AA2015:AA2017"/>
    <mergeCell ref="AB2015:AD2016"/>
    <mergeCell ref="AE2015:AF2016"/>
    <mergeCell ref="I2015:I2016"/>
    <mergeCell ref="J2015:K2016"/>
    <mergeCell ref="L2015:M2016"/>
    <mergeCell ref="N2015:O2016"/>
    <mergeCell ref="P2015:Q2016"/>
    <mergeCell ref="R2015:S2016"/>
    <mergeCell ref="T2015:U2016"/>
    <mergeCell ref="B2018:C2018"/>
    <mergeCell ref="B2019:C2019"/>
    <mergeCell ref="E2016:F2016"/>
    <mergeCell ref="B2017:D2017"/>
    <mergeCell ref="E2017:G2017"/>
    <mergeCell ref="H2017:I2017"/>
    <mergeCell ref="E2018:E2020"/>
    <mergeCell ref="H2018:I2018"/>
    <mergeCell ref="H2019:I2019"/>
    <mergeCell ref="B2024:C2024"/>
    <mergeCell ref="B2025:C2025"/>
    <mergeCell ref="B2029:C2029"/>
    <mergeCell ref="D2029:G2029"/>
    <mergeCell ref="E2030:F2030"/>
    <mergeCell ref="B2016:C2016"/>
    <mergeCell ref="B2020:C2020"/>
    <mergeCell ref="B2021:C2021"/>
    <mergeCell ref="E2021:E2023"/>
    <mergeCell ref="B2022:C2022"/>
    <mergeCell ref="B2023:D2023"/>
    <mergeCell ref="E2024:E2026"/>
    <mergeCell ref="H2020:I2020"/>
    <mergeCell ref="H2021:I2021"/>
    <mergeCell ref="H2022:I2022"/>
    <mergeCell ref="H2023:I2023"/>
    <mergeCell ref="H2024:I2024"/>
    <mergeCell ref="H2025:I2025"/>
    <mergeCell ref="H2026:I2026"/>
    <mergeCell ref="J2044:Z2044"/>
    <mergeCell ref="AA2044:AF2044"/>
    <mergeCell ref="B2041:C2041"/>
    <mergeCell ref="B2042:C2042"/>
    <mergeCell ref="E2042:F2042"/>
    <mergeCell ref="I2042:O2042"/>
    <mergeCell ref="P2042:Q2042"/>
    <mergeCell ref="R2042:Z2042"/>
    <mergeCell ref="AB2042:AF2042"/>
    <mergeCell ref="V2030:W2031"/>
    <mergeCell ref="X2030:Y2031"/>
    <mergeCell ref="Z2030:Z2032"/>
    <mergeCell ref="AA2030:AA2032"/>
    <mergeCell ref="AB2030:AD2031"/>
    <mergeCell ref="AE2030:AF2031"/>
    <mergeCell ref="I2030:I2031"/>
    <mergeCell ref="J2030:K2031"/>
    <mergeCell ref="L2030:M2031"/>
    <mergeCell ref="N2030:O2031"/>
    <mergeCell ref="P2030:Q2031"/>
    <mergeCell ref="R2030:S2031"/>
    <mergeCell ref="T2030:U2031"/>
    <mergeCell ref="B2033:C2033"/>
    <mergeCell ref="B2034:C2034"/>
    <mergeCell ref="E2031:F2031"/>
    <mergeCell ref="B2032:D2032"/>
    <mergeCell ref="E2032:G2032"/>
    <mergeCell ref="H2032:I2032"/>
    <mergeCell ref="E2033:E2035"/>
    <mergeCell ref="H2033:I2033"/>
    <mergeCell ref="H2034:I2034"/>
    <mergeCell ref="B2039:C2039"/>
    <mergeCell ref="B2040:C2040"/>
    <mergeCell ref="B2044:C2044"/>
    <mergeCell ref="D2044:G2044"/>
    <mergeCell ref="E2045:F2045"/>
    <mergeCell ref="B2031:C2031"/>
    <mergeCell ref="B2035:C2035"/>
    <mergeCell ref="B2036:C2036"/>
    <mergeCell ref="E2036:E2038"/>
    <mergeCell ref="B2037:C2037"/>
    <mergeCell ref="B2038:D2038"/>
    <mergeCell ref="E2039:E2041"/>
    <mergeCell ref="H2035:I2035"/>
    <mergeCell ref="H2036:I2036"/>
    <mergeCell ref="H2037:I2037"/>
    <mergeCell ref="H2038:I2038"/>
    <mergeCell ref="H2039:I2039"/>
    <mergeCell ref="H2040:I2040"/>
    <mergeCell ref="H2041:I2041"/>
    <mergeCell ref="J2059:Z2059"/>
    <mergeCell ref="AA2059:AF2059"/>
    <mergeCell ref="B2056:C2056"/>
    <mergeCell ref="B2057:C2057"/>
    <mergeCell ref="E2057:F2057"/>
    <mergeCell ref="I2057:O2057"/>
    <mergeCell ref="P2057:Q2057"/>
    <mergeCell ref="R2057:Z2057"/>
    <mergeCell ref="AB2057:AF2057"/>
    <mergeCell ref="V2045:W2046"/>
    <mergeCell ref="X2045:Y2046"/>
    <mergeCell ref="Z2045:Z2047"/>
    <mergeCell ref="AA2045:AA2047"/>
    <mergeCell ref="AB2045:AD2046"/>
    <mergeCell ref="AE2045:AF2046"/>
    <mergeCell ref="I2045:I2046"/>
    <mergeCell ref="J2045:K2046"/>
    <mergeCell ref="L2045:M2046"/>
    <mergeCell ref="N2045:O2046"/>
    <mergeCell ref="P2045:Q2046"/>
    <mergeCell ref="R2045:S2046"/>
    <mergeCell ref="T2045:U2046"/>
    <mergeCell ref="B2048:C2048"/>
    <mergeCell ref="B2049:C2049"/>
    <mergeCell ref="E2046:F2046"/>
    <mergeCell ref="B2047:D2047"/>
    <mergeCell ref="E2047:G2047"/>
    <mergeCell ref="H2047:I2047"/>
    <mergeCell ref="E2048:E2050"/>
    <mergeCell ref="H2048:I2048"/>
    <mergeCell ref="H2049:I2049"/>
    <mergeCell ref="B2054:C2054"/>
    <mergeCell ref="B2055:C2055"/>
    <mergeCell ref="B2059:C2059"/>
    <mergeCell ref="D2059:G2059"/>
    <mergeCell ref="E2060:F2060"/>
    <mergeCell ref="B2046:C2046"/>
    <mergeCell ref="B2050:C2050"/>
    <mergeCell ref="B2051:C2051"/>
    <mergeCell ref="E2051:E2053"/>
    <mergeCell ref="B2052:C2052"/>
    <mergeCell ref="B2053:D2053"/>
    <mergeCell ref="E2054:E2056"/>
    <mergeCell ref="H2050:I2050"/>
    <mergeCell ref="H2051:I2051"/>
    <mergeCell ref="H2052:I2052"/>
    <mergeCell ref="H2053:I2053"/>
    <mergeCell ref="H2054:I2054"/>
    <mergeCell ref="H2055:I2055"/>
    <mergeCell ref="H2056:I2056"/>
    <mergeCell ref="J2074:Z2074"/>
    <mergeCell ref="AA2074:AF2074"/>
    <mergeCell ref="B2071:C2071"/>
    <mergeCell ref="B2072:C2072"/>
    <mergeCell ref="E2072:F2072"/>
    <mergeCell ref="I2072:O2072"/>
    <mergeCell ref="P2072:Q2072"/>
    <mergeCell ref="R2072:Z2072"/>
    <mergeCell ref="AB2072:AF2072"/>
    <mergeCell ref="V2060:W2061"/>
    <mergeCell ref="X2060:Y2061"/>
    <mergeCell ref="Z2060:Z2062"/>
    <mergeCell ref="AA2060:AA2062"/>
    <mergeCell ref="AB2060:AD2061"/>
    <mergeCell ref="AE2060:AF2061"/>
    <mergeCell ref="I2060:I2061"/>
    <mergeCell ref="J2060:K2061"/>
    <mergeCell ref="L2060:M2061"/>
    <mergeCell ref="N2060:O2061"/>
    <mergeCell ref="P2060:Q2061"/>
    <mergeCell ref="R2060:S2061"/>
    <mergeCell ref="T2060:U2061"/>
    <mergeCell ref="B2063:C2063"/>
    <mergeCell ref="B2064:C2064"/>
    <mergeCell ref="E2061:F2061"/>
    <mergeCell ref="B2062:D2062"/>
    <mergeCell ref="E2062:G2062"/>
    <mergeCell ref="H2062:I2062"/>
    <mergeCell ref="E2063:E2065"/>
    <mergeCell ref="H2063:I2063"/>
    <mergeCell ref="H2064:I2064"/>
    <mergeCell ref="B2069:C2069"/>
    <mergeCell ref="B2070:C2070"/>
    <mergeCell ref="B2074:C2074"/>
    <mergeCell ref="D2074:G2074"/>
    <mergeCell ref="E2075:F2075"/>
    <mergeCell ref="B2061:C2061"/>
    <mergeCell ref="B2065:C2065"/>
    <mergeCell ref="B2066:C2066"/>
    <mergeCell ref="E2066:E2068"/>
    <mergeCell ref="B2067:C2067"/>
    <mergeCell ref="B2068:D2068"/>
    <mergeCell ref="E2069:E2071"/>
    <mergeCell ref="H2065:I2065"/>
    <mergeCell ref="H2066:I2066"/>
    <mergeCell ref="H2067:I2067"/>
    <mergeCell ref="H2068:I2068"/>
    <mergeCell ref="H2069:I2069"/>
    <mergeCell ref="H2070:I2070"/>
    <mergeCell ref="H2071:I2071"/>
    <mergeCell ref="J2089:Z2089"/>
    <mergeCell ref="AA2089:AF2089"/>
    <mergeCell ref="B2086:C2086"/>
    <mergeCell ref="B2087:C2087"/>
    <mergeCell ref="E2087:F2087"/>
    <mergeCell ref="I2087:O2087"/>
    <mergeCell ref="P2087:Q2087"/>
    <mergeCell ref="R2087:Z2087"/>
    <mergeCell ref="AB2087:AF2087"/>
    <mergeCell ref="V2075:W2076"/>
    <mergeCell ref="X2075:Y2076"/>
    <mergeCell ref="Z2075:Z2077"/>
    <mergeCell ref="AA2075:AA2077"/>
    <mergeCell ref="AB2075:AD2076"/>
    <mergeCell ref="AE2075:AF2076"/>
    <mergeCell ref="I2075:I2076"/>
    <mergeCell ref="J2075:K2076"/>
    <mergeCell ref="L2075:M2076"/>
    <mergeCell ref="N2075:O2076"/>
    <mergeCell ref="P2075:Q2076"/>
    <mergeCell ref="R2075:S2076"/>
    <mergeCell ref="T2075:U2076"/>
    <mergeCell ref="B2078:C2078"/>
    <mergeCell ref="B2079:C2079"/>
    <mergeCell ref="E2076:F2076"/>
    <mergeCell ref="B2077:D2077"/>
    <mergeCell ref="E2077:G2077"/>
    <mergeCell ref="H2077:I2077"/>
    <mergeCell ref="E2078:E2080"/>
    <mergeCell ref="H2078:I2078"/>
    <mergeCell ref="H2079:I2079"/>
    <mergeCell ref="B2084:C2084"/>
    <mergeCell ref="B2085:C2085"/>
    <mergeCell ref="B2089:C2089"/>
    <mergeCell ref="D2089:G2089"/>
    <mergeCell ref="E2090:F2090"/>
    <mergeCell ref="B2076:C2076"/>
    <mergeCell ref="B2080:C2080"/>
    <mergeCell ref="B2081:C2081"/>
    <mergeCell ref="E2081:E2083"/>
    <mergeCell ref="B2082:C2082"/>
    <mergeCell ref="B2083:D2083"/>
    <mergeCell ref="E2084:E2086"/>
    <mergeCell ref="H2080:I2080"/>
    <mergeCell ref="H2081:I2081"/>
    <mergeCell ref="H2082:I2082"/>
    <mergeCell ref="H2083:I2083"/>
    <mergeCell ref="H2084:I2084"/>
    <mergeCell ref="H2085:I2085"/>
    <mergeCell ref="H2086:I2086"/>
    <mergeCell ref="J2104:Z2104"/>
    <mergeCell ref="AA2104:AF2104"/>
    <mergeCell ref="B2101:C2101"/>
    <mergeCell ref="B2102:C2102"/>
    <mergeCell ref="E2102:F2102"/>
    <mergeCell ref="I2102:O2102"/>
    <mergeCell ref="P2102:Q2102"/>
    <mergeCell ref="R2102:Z2102"/>
    <mergeCell ref="AB2102:AF2102"/>
    <mergeCell ref="V2090:W2091"/>
    <mergeCell ref="X2090:Y2091"/>
    <mergeCell ref="Z2090:Z2092"/>
    <mergeCell ref="AA2090:AA2092"/>
    <mergeCell ref="AB2090:AD2091"/>
    <mergeCell ref="AE2090:AF2091"/>
    <mergeCell ref="I2090:I2091"/>
    <mergeCell ref="J2090:K2091"/>
    <mergeCell ref="L2090:M2091"/>
    <mergeCell ref="N2090:O2091"/>
    <mergeCell ref="P2090:Q2091"/>
    <mergeCell ref="R2090:S2091"/>
    <mergeCell ref="T2090:U2091"/>
    <mergeCell ref="B2093:C2093"/>
    <mergeCell ref="B2094:C2094"/>
    <mergeCell ref="E2091:F2091"/>
    <mergeCell ref="B2092:D2092"/>
    <mergeCell ref="E2092:G2092"/>
    <mergeCell ref="H2092:I2092"/>
    <mergeCell ref="E2093:E2095"/>
    <mergeCell ref="H2093:I2093"/>
    <mergeCell ref="H2094:I2094"/>
    <mergeCell ref="B2099:C2099"/>
    <mergeCell ref="B2100:C2100"/>
    <mergeCell ref="B2104:C2104"/>
    <mergeCell ref="D2104:G2104"/>
    <mergeCell ref="E2105:F2105"/>
    <mergeCell ref="B2091:C2091"/>
    <mergeCell ref="B2095:C2095"/>
    <mergeCell ref="B2096:C2096"/>
    <mergeCell ref="E2096:E2098"/>
    <mergeCell ref="B2097:C2097"/>
    <mergeCell ref="B2098:D2098"/>
    <mergeCell ref="E2099:E2101"/>
    <mergeCell ref="H2095:I2095"/>
    <mergeCell ref="H2096:I2096"/>
    <mergeCell ref="H2097:I2097"/>
    <mergeCell ref="H2098:I2098"/>
    <mergeCell ref="H2099:I2099"/>
    <mergeCell ref="H2100:I2100"/>
    <mergeCell ref="H2101:I2101"/>
    <mergeCell ref="J2119:Z2119"/>
    <mergeCell ref="AA2119:AF2119"/>
    <mergeCell ref="B2116:C2116"/>
    <mergeCell ref="B2117:C2117"/>
    <mergeCell ref="E2117:F2117"/>
    <mergeCell ref="I2117:O2117"/>
    <mergeCell ref="P2117:Q2117"/>
    <mergeCell ref="R2117:Z2117"/>
    <mergeCell ref="AB2117:AF2117"/>
    <mergeCell ref="V2105:W2106"/>
    <mergeCell ref="X2105:Y2106"/>
    <mergeCell ref="Z2105:Z2107"/>
    <mergeCell ref="AA2105:AA2107"/>
    <mergeCell ref="AB2105:AD2106"/>
    <mergeCell ref="AE2105:AF2106"/>
    <mergeCell ref="I2105:I2106"/>
    <mergeCell ref="J2105:K2106"/>
    <mergeCell ref="L2105:M2106"/>
    <mergeCell ref="N2105:O2106"/>
    <mergeCell ref="P2105:Q2106"/>
    <mergeCell ref="R2105:S2106"/>
    <mergeCell ref="T2105:U2106"/>
    <mergeCell ref="B2108:C2108"/>
    <mergeCell ref="B2109:C2109"/>
    <mergeCell ref="E2106:F2106"/>
    <mergeCell ref="B2107:D2107"/>
    <mergeCell ref="E2107:G2107"/>
    <mergeCell ref="H2107:I2107"/>
    <mergeCell ref="E2108:E2110"/>
    <mergeCell ref="H2108:I2108"/>
    <mergeCell ref="H2109:I2109"/>
    <mergeCell ref="B2114:C2114"/>
    <mergeCell ref="B2115:C2115"/>
    <mergeCell ref="B2119:C2119"/>
    <mergeCell ref="D2119:G2119"/>
    <mergeCell ref="E2120:F2120"/>
    <mergeCell ref="B2106:C2106"/>
    <mergeCell ref="B2110:C2110"/>
    <mergeCell ref="B2111:C2111"/>
    <mergeCell ref="E2111:E2113"/>
    <mergeCell ref="B2112:C2112"/>
    <mergeCell ref="B2113:D2113"/>
    <mergeCell ref="E2114:E2116"/>
    <mergeCell ref="H2110:I2110"/>
    <mergeCell ref="H2111:I2111"/>
    <mergeCell ref="H2112:I2112"/>
    <mergeCell ref="H2113:I2113"/>
    <mergeCell ref="H2114:I2114"/>
    <mergeCell ref="H2115:I2115"/>
    <mergeCell ref="H2116:I2116"/>
    <mergeCell ref="J2134:Z2134"/>
    <mergeCell ref="AA2134:AF2134"/>
    <mergeCell ref="B2131:C2131"/>
    <mergeCell ref="B2132:C2132"/>
    <mergeCell ref="E2132:F2132"/>
    <mergeCell ref="I2132:O2132"/>
    <mergeCell ref="P2132:Q2132"/>
    <mergeCell ref="R2132:Z2132"/>
    <mergeCell ref="AB2132:AF2132"/>
    <mergeCell ref="V2120:W2121"/>
    <mergeCell ref="X2120:Y2121"/>
    <mergeCell ref="Z2120:Z2122"/>
    <mergeCell ref="AA2120:AA2122"/>
    <mergeCell ref="AB2120:AD2121"/>
    <mergeCell ref="AE2120:AF2121"/>
    <mergeCell ref="I2120:I2121"/>
    <mergeCell ref="J2120:K2121"/>
    <mergeCell ref="L2120:M2121"/>
    <mergeCell ref="N2120:O2121"/>
    <mergeCell ref="P2120:Q2121"/>
    <mergeCell ref="R2120:S2121"/>
    <mergeCell ref="T2120:U2121"/>
    <mergeCell ref="B2123:C2123"/>
    <mergeCell ref="B2124:C2124"/>
    <mergeCell ref="E2121:F2121"/>
    <mergeCell ref="B2122:D2122"/>
    <mergeCell ref="E2122:G2122"/>
    <mergeCell ref="H2122:I2122"/>
    <mergeCell ref="E2123:E2125"/>
    <mergeCell ref="H2123:I2123"/>
    <mergeCell ref="H2124:I2124"/>
    <mergeCell ref="B2129:C2129"/>
    <mergeCell ref="B2130:C2130"/>
    <mergeCell ref="B2134:C2134"/>
    <mergeCell ref="D2134:G2134"/>
    <mergeCell ref="E2135:F2135"/>
    <mergeCell ref="B2121:C2121"/>
    <mergeCell ref="B2125:C2125"/>
    <mergeCell ref="B2126:C2126"/>
    <mergeCell ref="E2126:E2128"/>
    <mergeCell ref="B2127:C2127"/>
    <mergeCell ref="B2128:D2128"/>
    <mergeCell ref="E2129:E2131"/>
    <mergeCell ref="H2125:I2125"/>
    <mergeCell ref="H2126:I2126"/>
    <mergeCell ref="H2127:I2127"/>
    <mergeCell ref="H2128:I2128"/>
    <mergeCell ref="H2129:I2129"/>
    <mergeCell ref="H2130:I2130"/>
    <mergeCell ref="H2131:I2131"/>
    <mergeCell ref="J2149:Z2149"/>
    <mergeCell ref="AA2149:AF2149"/>
    <mergeCell ref="B2146:C2146"/>
    <mergeCell ref="B2147:C2147"/>
    <mergeCell ref="E2147:F2147"/>
    <mergeCell ref="I2147:O2147"/>
    <mergeCell ref="P2147:Q2147"/>
    <mergeCell ref="R2147:Z2147"/>
    <mergeCell ref="AB2147:AF2147"/>
    <mergeCell ref="V2135:W2136"/>
    <mergeCell ref="X2135:Y2136"/>
    <mergeCell ref="Z2135:Z2137"/>
    <mergeCell ref="AA2135:AA2137"/>
    <mergeCell ref="AB2135:AD2136"/>
    <mergeCell ref="AE2135:AF2136"/>
    <mergeCell ref="I2135:I2136"/>
    <mergeCell ref="J2135:K2136"/>
    <mergeCell ref="L2135:M2136"/>
    <mergeCell ref="N2135:O2136"/>
    <mergeCell ref="P2135:Q2136"/>
    <mergeCell ref="R2135:S2136"/>
    <mergeCell ref="T2135:U2136"/>
    <mergeCell ref="B2138:C2138"/>
    <mergeCell ref="B2139:C2139"/>
    <mergeCell ref="E2136:F2136"/>
    <mergeCell ref="B2137:D2137"/>
    <mergeCell ref="E2137:G2137"/>
    <mergeCell ref="H2137:I2137"/>
    <mergeCell ref="E2138:E2140"/>
    <mergeCell ref="H2138:I2138"/>
    <mergeCell ref="H2139:I2139"/>
    <mergeCell ref="B2144:C2144"/>
    <mergeCell ref="B2145:C2145"/>
    <mergeCell ref="B2149:C2149"/>
    <mergeCell ref="D2149:G2149"/>
    <mergeCell ref="E2150:F2150"/>
    <mergeCell ref="B2136:C2136"/>
    <mergeCell ref="B2140:C2140"/>
    <mergeCell ref="B2141:C2141"/>
    <mergeCell ref="E2141:E2143"/>
    <mergeCell ref="B2142:C2142"/>
    <mergeCell ref="B2143:D2143"/>
    <mergeCell ref="E2144:E2146"/>
    <mergeCell ref="H2140:I2140"/>
    <mergeCell ref="H2141:I2141"/>
    <mergeCell ref="H2142:I2142"/>
    <mergeCell ref="H2143:I2143"/>
    <mergeCell ref="H2144:I2144"/>
    <mergeCell ref="H2145:I2145"/>
    <mergeCell ref="H2146:I2146"/>
    <mergeCell ref="J2164:Z2164"/>
    <mergeCell ref="AA2164:AF2164"/>
    <mergeCell ref="B2161:C2161"/>
    <mergeCell ref="B2162:C2162"/>
    <mergeCell ref="E2162:F2162"/>
    <mergeCell ref="I2162:O2162"/>
    <mergeCell ref="P2162:Q2162"/>
    <mergeCell ref="R2162:Z2162"/>
    <mergeCell ref="AB2162:AF2162"/>
    <mergeCell ref="V2150:W2151"/>
    <mergeCell ref="X2150:Y2151"/>
    <mergeCell ref="Z2150:Z2152"/>
    <mergeCell ref="AA2150:AA2152"/>
    <mergeCell ref="AB2150:AD2151"/>
    <mergeCell ref="AE2150:AF2151"/>
    <mergeCell ref="I2150:I2151"/>
    <mergeCell ref="J2150:K2151"/>
    <mergeCell ref="L2150:M2151"/>
    <mergeCell ref="N2150:O2151"/>
    <mergeCell ref="P2150:Q2151"/>
    <mergeCell ref="R2150:S2151"/>
    <mergeCell ref="T2150:U2151"/>
    <mergeCell ref="B2153:C2153"/>
    <mergeCell ref="B2154:C2154"/>
    <mergeCell ref="E2151:F2151"/>
    <mergeCell ref="B2152:D2152"/>
    <mergeCell ref="E2152:G2152"/>
    <mergeCell ref="H2152:I2152"/>
    <mergeCell ref="E2153:E2155"/>
    <mergeCell ref="H2153:I2153"/>
    <mergeCell ref="H2154:I2154"/>
    <mergeCell ref="B2159:C2159"/>
    <mergeCell ref="B2160:C2160"/>
    <mergeCell ref="B2164:C2164"/>
    <mergeCell ref="D2164:G2164"/>
    <mergeCell ref="E2165:F2165"/>
    <mergeCell ref="B2151:C2151"/>
    <mergeCell ref="B2155:C2155"/>
    <mergeCell ref="B2156:C2156"/>
    <mergeCell ref="E2156:E2158"/>
    <mergeCell ref="B2157:C2157"/>
    <mergeCell ref="B2158:D2158"/>
    <mergeCell ref="E2159:E2161"/>
    <mergeCell ref="H2155:I2155"/>
    <mergeCell ref="H2156:I2156"/>
    <mergeCell ref="H2157:I2157"/>
    <mergeCell ref="H2158:I2158"/>
    <mergeCell ref="H2159:I2159"/>
    <mergeCell ref="H2160:I2160"/>
    <mergeCell ref="H2161:I2161"/>
    <mergeCell ref="J2179:Z2179"/>
    <mergeCell ref="AA2179:AF2179"/>
    <mergeCell ref="B2176:C2176"/>
    <mergeCell ref="B2177:C2177"/>
    <mergeCell ref="E2177:F2177"/>
    <mergeCell ref="I2177:O2177"/>
    <mergeCell ref="P2177:Q2177"/>
    <mergeCell ref="R2177:Z2177"/>
    <mergeCell ref="AB2177:AF2177"/>
    <mergeCell ref="V2165:W2166"/>
    <mergeCell ref="X2165:Y2166"/>
    <mergeCell ref="Z2165:Z2167"/>
    <mergeCell ref="AA2165:AA2167"/>
    <mergeCell ref="AB2165:AD2166"/>
    <mergeCell ref="AE2165:AF2166"/>
    <mergeCell ref="I2165:I2166"/>
    <mergeCell ref="J2165:K2166"/>
    <mergeCell ref="L2165:M2166"/>
    <mergeCell ref="N2165:O2166"/>
    <mergeCell ref="P2165:Q2166"/>
    <mergeCell ref="R2165:S2166"/>
    <mergeCell ref="T2165:U2166"/>
    <mergeCell ref="B2168:C2168"/>
    <mergeCell ref="B2169:C2169"/>
    <mergeCell ref="E2166:F2166"/>
    <mergeCell ref="B2167:D2167"/>
    <mergeCell ref="E2167:G2167"/>
    <mergeCell ref="H2167:I2167"/>
    <mergeCell ref="E2168:E2170"/>
    <mergeCell ref="H2168:I2168"/>
    <mergeCell ref="H2169:I2169"/>
    <mergeCell ref="B2174:C2174"/>
    <mergeCell ref="B2175:C2175"/>
    <mergeCell ref="B2179:C2179"/>
    <mergeCell ref="D2179:G2179"/>
    <mergeCell ref="E2180:F2180"/>
    <mergeCell ref="B2166:C2166"/>
    <mergeCell ref="B2170:C2170"/>
    <mergeCell ref="B2171:C2171"/>
    <mergeCell ref="E2171:E2173"/>
    <mergeCell ref="B2172:C2172"/>
    <mergeCell ref="B2173:D2173"/>
    <mergeCell ref="E2174:E2176"/>
    <mergeCell ref="H2170:I2170"/>
    <mergeCell ref="H2171:I2171"/>
    <mergeCell ref="H2172:I2172"/>
    <mergeCell ref="H2173:I2173"/>
    <mergeCell ref="H2174:I2174"/>
    <mergeCell ref="H2175:I2175"/>
    <mergeCell ref="H2176:I2176"/>
    <mergeCell ref="J2194:Z2194"/>
    <mergeCell ref="AA2194:AF2194"/>
    <mergeCell ref="B2191:C2191"/>
    <mergeCell ref="B2192:C2192"/>
    <mergeCell ref="E2192:F2192"/>
    <mergeCell ref="I2192:O2192"/>
    <mergeCell ref="P2192:Q2192"/>
    <mergeCell ref="R2192:Z2192"/>
    <mergeCell ref="AB2192:AF2192"/>
    <mergeCell ref="V2180:W2181"/>
    <mergeCell ref="X2180:Y2181"/>
    <mergeCell ref="Z2180:Z2182"/>
    <mergeCell ref="AA2180:AA2182"/>
    <mergeCell ref="AB2180:AD2181"/>
    <mergeCell ref="AE2180:AF2181"/>
    <mergeCell ref="I2180:I2181"/>
    <mergeCell ref="J2180:K2181"/>
    <mergeCell ref="L2180:M2181"/>
    <mergeCell ref="N2180:O2181"/>
    <mergeCell ref="P2180:Q2181"/>
    <mergeCell ref="R2180:S2181"/>
    <mergeCell ref="T2180:U2181"/>
    <mergeCell ref="B2183:C2183"/>
    <mergeCell ref="B2184:C2184"/>
    <mergeCell ref="E2181:F2181"/>
    <mergeCell ref="B2182:D2182"/>
    <mergeCell ref="E2182:G2182"/>
    <mergeCell ref="H2182:I2182"/>
    <mergeCell ref="E2183:E2185"/>
    <mergeCell ref="H2183:I2183"/>
    <mergeCell ref="H2184:I2184"/>
    <mergeCell ref="B2189:C2189"/>
    <mergeCell ref="B2190:C2190"/>
    <mergeCell ref="B2194:C2194"/>
    <mergeCell ref="D2194:G2194"/>
    <mergeCell ref="E2195:F2195"/>
    <mergeCell ref="B2181:C2181"/>
    <mergeCell ref="B2185:C2185"/>
    <mergeCell ref="B2186:C2186"/>
    <mergeCell ref="E2186:E2188"/>
    <mergeCell ref="B2187:C2187"/>
    <mergeCell ref="B2188:D2188"/>
    <mergeCell ref="E2189:E2191"/>
    <mergeCell ref="H2185:I2185"/>
    <mergeCell ref="H2186:I2186"/>
    <mergeCell ref="H2187:I2187"/>
    <mergeCell ref="H2188:I2188"/>
    <mergeCell ref="H2189:I2189"/>
    <mergeCell ref="H2190:I2190"/>
    <mergeCell ref="H2191:I2191"/>
    <mergeCell ref="J2209:Z2209"/>
    <mergeCell ref="AA2209:AF2209"/>
    <mergeCell ref="B2206:C2206"/>
    <mergeCell ref="B2207:C2207"/>
    <mergeCell ref="E2207:F2207"/>
    <mergeCell ref="I2207:O2207"/>
    <mergeCell ref="P2207:Q2207"/>
    <mergeCell ref="R2207:Z2207"/>
    <mergeCell ref="AB2207:AF2207"/>
    <mergeCell ref="V2195:W2196"/>
    <mergeCell ref="X2195:Y2196"/>
    <mergeCell ref="Z2195:Z2197"/>
    <mergeCell ref="AA2195:AA2197"/>
    <mergeCell ref="AB2195:AD2196"/>
    <mergeCell ref="AE2195:AF2196"/>
    <mergeCell ref="I2195:I2196"/>
    <mergeCell ref="J2195:K2196"/>
    <mergeCell ref="L2195:M2196"/>
    <mergeCell ref="N2195:O2196"/>
    <mergeCell ref="P2195:Q2196"/>
    <mergeCell ref="R2195:S2196"/>
    <mergeCell ref="T2195:U2196"/>
    <mergeCell ref="B2198:C2198"/>
    <mergeCell ref="B2199:C2199"/>
    <mergeCell ref="E2196:F2196"/>
    <mergeCell ref="B2197:D2197"/>
    <mergeCell ref="E2197:G2197"/>
    <mergeCell ref="H2197:I2197"/>
    <mergeCell ref="E2198:E2200"/>
    <mergeCell ref="H2198:I2198"/>
    <mergeCell ref="H2199:I2199"/>
    <mergeCell ref="B2204:C2204"/>
    <mergeCell ref="B2205:C2205"/>
    <mergeCell ref="B2209:C2209"/>
    <mergeCell ref="D2209:G2209"/>
    <mergeCell ref="E2210:F2210"/>
    <mergeCell ref="B2196:C2196"/>
    <mergeCell ref="B2200:C2200"/>
    <mergeCell ref="B2201:C2201"/>
    <mergeCell ref="E2201:E2203"/>
    <mergeCell ref="B2202:C2202"/>
    <mergeCell ref="B2203:D2203"/>
    <mergeCell ref="E2204:E2206"/>
    <mergeCell ref="H2200:I2200"/>
    <mergeCell ref="H2201:I2201"/>
    <mergeCell ref="H2202:I2202"/>
    <mergeCell ref="H2203:I2203"/>
    <mergeCell ref="H2204:I2204"/>
    <mergeCell ref="H2205:I2205"/>
    <mergeCell ref="H2206:I2206"/>
    <mergeCell ref="J2224:Z2224"/>
    <mergeCell ref="AA2224:AF2224"/>
    <mergeCell ref="B2221:C2221"/>
    <mergeCell ref="B2222:C2222"/>
    <mergeCell ref="E2222:F2222"/>
    <mergeCell ref="I2222:O2222"/>
    <mergeCell ref="P2222:Q2222"/>
    <mergeCell ref="R2222:Z2222"/>
    <mergeCell ref="AB2222:AF2222"/>
    <mergeCell ref="V2210:W2211"/>
    <mergeCell ref="X2210:Y2211"/>
    <mergeCell ref="Z2210:Z2212"/>
    <mergeCell ref="AA2210:AA2212"/>
    <mergeCell ref="AB2210:AD2211"/>
    <mergeCell ref="AE2210:AF2211"/>
    <mergeCell ref="I2210:I2211"/>
    <mergeCell ref="J2210:K2211"/>
    <mergeCell ref="L2210:M2211"/>
    <mergeCell ref="N2210:O2211"/>
    <mergeCell ref="P2210:Q2211"/>
    <mergeCell ref="R2210:S2211"/>
    <mergeCell ref="T2210:U2211"/>
    <mergeCell ref="B2213:C2213"/>
    <mergeCell ref="B2214:C2214"/>
    <mergeCell ref="E2211:F2211"/>
    <mergeCell ref="B2212:D2212"/>
    <mergeCell ref="E2212:G2212"/>
    <mergeCell ref="H2212:I2212"/>
    <mergeCell ref="E2213:E2215"/>
    <mergeCell ref="H2213:I2213"/>
    <mergeCell ref="H2214:I2214"/>
    <mergeCell ref="B2219:C2219"/>
    <mergeCell ref="B2220:C2220"/>
    <mergeCell ref="B2224:C2224"/>
    <mergeCell ref="D2224:G2224"/>
    <mergeCell ref="E2225:F2225"/>
    <mergeCell ref="B2211:C2211"/>
    <mergeCell ref="B2215:C2215"/>
    <mergeCell ref="B2216:C2216"/>
    <mergeCell ref="E2216:E2218"/>
    <mergeCell ref="B2217:C2217"/>
    <mergeCell ref="B2218:D2218"/>
    <mergeCell ref="E2219:E2221"/>
    <mergeCell ref="H2215:I2215"/>
    <mergeCell ref="H2216:I2216"/>
    <mergeCell ref="H2217:I2217"/>
    <mergeCell ref="H2218:I2218"/>
    <mergeCell ref="H2219:I2219"/>
    <mergeCell ref="H2220:I2220"/>
    <mergeCell ref="H2221:I2221"/>
    <mergeCell ref="J2239:Z2239"/>
    <mergeCell ref="AA2239:AF2239"/>
    <mergeCell ref="B2236:C2236"/>
    <mergeCell ref="B2237:C2237"/>
    <mergeCell ref="E2237:F2237"/>
    <mergeCell ref="I2237:O2237"/>
    <mergeCell ref="P2237:Q2237"/>
    <mergeCell ref="R2237:Z2237"/>
    <mergeCell ref="AB2237:AF2237"/>
    <mergeCell ref="V2225:W2226"/>
    <mergeCell ref="X2225:Y2226"/>
    <mergeCell ref="Z2225:Z2227"/>
    <mergeCell ref="AA2225:AA2227"/>
    <mergeCell ref="AB2225:AD2226"/>
    <mergeCell ref="AE2225:AF2226"/>
    <mergeCell ref="I2225:I2226"/>
    <mergeCell ref="J2225:K2226"/>
    <mergeCell ref="L2225:M2226"/>
    <mergeCell ref="N2225:O2226"/>
    <mergeCell ref="P2225:Q2226"/>
    <mergeCell ref="R2225:S2226"/>
    <mergeCell ref="T2225:U2226"/>
    <mergeCell ref="B2228:C2228"/>
    <mergeCell ref="B2229:C2229"/>
    <mergeCell ref="E2226:F2226"/>
    <mergeCell ref="B2227:D2227"/>
    <mergeCell ref="E2227:G2227"/>
    <mergeCell ref="H2227:I2227"/>
    <mergeCell ref="E2228:E2230"/>
    <mergeCell ref="H2228:I2228"/>
    <mergeCell ref="H2229:I2229"/>
    <mergeCell ref="B2234:C2234"/>
    <mergeCell ref="B2235:C2235"/>
    <mergeCell ref="B2239:C2239"/>
    <mergeCell ref="D2239:G2239"/>
    <mergeCell ref="E2240:F2240"/>
    <mergeCell ref="B2226:C2226"/>
    <mergeCell ref="B2230:C2230"/>
    <mergeCell ref="B2231:C2231"/>
    <mergeCell ref="E2231:E2233"/>
    <mergeCell ref="B2232:C2232"/>
    <mergeCell ref="B2233:D2233"/>
    <mergeCell ref="E2234:E2236"/>
    <mergeCell ref="H2230:I2230"/>
    <mergeCell ref="H2231:I2231"/>
    <mergeCell ref="H2232:I2232"/>
    <mergeCell ref="H2233:I2233"/>
    <mergeCell ref="H2234:I2234"/>
    <mergeCell ref="H2235:I2235"/>
    <mergeCell ref="H2236:I2236"/>
    <mergeCell ref="J2254:Z2254"/>
    <mergeCell ref="AA2254:AF2254"/>
    <mergeCell ref="B2251:C2251"/>
    <mergeCell ref="B2252:C2252"/>
    <mergeCell ref="E2252:F2252"/>
    <mergeCell ref="I2252:O2252"/>
    <mergeCell ref="P2252:Q2252"/>
    <mergeCell ref="R2252:Z2252"/>
    <mergeCell ref="AB2252:AF2252"/>
    <mergeCell ref="V2240:W2241"/>
    <mergeCell ref="X2240:Y2241"/>
    <mergeCell ref="Z2240:Z2242"/>
    <mergeCell ref="AA2240:AA2242"/>
    <mergeCell ref="AB2240:AD2241"/>
    <mergeCell ref="AE2240:AF2241"/>
    <mergeCell ref="I2240:I2241"/>
    <mergeCell ref="J2240:K2241"/>
    <mergeCell ref="L2240:M2241"/>
    <mergeCell ref="N2240:O2241"/>
    <mergeCell ref="P2240:Q2241"/>
    <mergeCell ref="R2240:S2241"/>
    <mergeCell ref="T2240:U2241"/>
    <mergeCell ref="B2243:C2243"/>
    <mergeCell ref="B2244:C2244"/>
    <mergeCell ref="E2241:F2241"/>
    <mergeCell ref="B2242:D2242"/>
    <mergeCell ref="E2242:G2242"/>
    <mergeCell ref="H2242:I2242"/>
    <mergeCell ref="E2243:E2245"/>
    <mergeCell ref="H2243:I2243"/>
    <mergeCell ref="H2244:I2244"/>
    <mergeCell ref="B2249:C2249"/>
    <mergeCell ref="B2250:C2250"/>
    <mergeCell ref="B2254:C2254"/>
    <mergeCell ref="D2254:G2254"/>
    <mergeCell ref="E2255:F2255"/>
    <mergeCell ref="B2241:C2241"/>
    <mergeCell ref="B2245:C2245"/>
    <mergeCell ref="B2246:C2246"/>
    <mergeCell ref="E2246:E2248"/>
    <mergeCell ref="B2247:C2247"/>
    <mergeCell ref="B2248:D2248"/>
    <mergeCell ref="E2249:E2251"/>
    <mergeCell ref="H2245:I2245"/>
    <mergeCell ref="H2246:I2246"/>
    <mergeCell ref="H2247:I2247"/>
    <mergeCell ref="H2248:I2248"/>
    <mergeCell ref="H2249:I2249"/>
    <mergeCell ref="H2250:I2250"/>
    <mergeCell ref="H2251:I2251"/>
    <mergeCell ref="J2269:Z2269"/>
    <mergeCell ref="AA2269:AF2269"/>
    <mergeCell ref="B2266:C2266"/>
    <mergeCell ref="B2267:C2267"/>
    <mergeCell ref="E2267:F2267"/>
    <mergeCell ref="I2267:O2267"/>
    <mergeCell ref="P2267:Q2267"/>
    <mergeCell ref="R2267:Z2267"/>
    <mergeCell ref="AB2267:AF2267"/>
    <mergeCell ref="V2255:W2256"/>
    <mergeCell ref="X2255:Y2256"/>
    <mergeCell ref="Z2255:Z2257"/>
    <mergeCell ref="AA2255:AA2257"/>
    <mergeCell ref="AB2255:AD2256"/>
    <mergeCell ref="AE2255:AF2256"/>
    <mergeCell ref="I2255:I2256"/>
    <mergeCell ref="J2255:K2256"/>
    <mergeCell ref="L2255:M2256"/>
    <mergeCell ref="N2255:O2256"/>
    <mergeCell ref="P2255:Q2256"/>
    <mergeCell ref="R2255:S2256"/>
    <mergeCell ref="T2255:U2256"/>
    <mergeCell ref="B2258:C2258"/>
    <mergeCell ref="B2259:C2259"/>
    <mergeCell ref="E2256:F2256"/>
    <mergeCell ref="B2257:D2257"/>
    <mergeCell ref="E2257:G2257"/>
    <mergeCell ref="H2257:I2257"/>
    <mergeCell ref="E2258:E2260"/>
    <mergeCell ref="H2258:I2258"/>
    <mergeCell ref="H2259:I2259"/>
    <mergeCell ref="B2264:C2264"/>
    <mergeCell ref="B2265:C2265"/>
    <mergeCell ref="B2269:C2269"/>
    <mergeCell ref="D2269:G2269"/>
    <mergeCell ref="E2270:F2270"/>
    <mergeCell ref="B2256:C2256"/>
    <mergeCell ref="B2260:C2260"/>
    <mergeCell ref="B2261:C2261"/>
    <mergeCell ref="E2261:E2263"/>
    <mergeCell ref="B2262:C2262"/>
    <mergeCell ref="B2263:D2263"/>
    <mergeCell ref="E2264:E2266"/>
    <mergeCell ref="H2260:I2260"/>
    <mergeCell ref="H2261:I2261"/>
    <mergeCell ref="H2262:I2262"/>
    <mergeCell ref="H2263:I2263"/>
    <mergeCell ref="H2264:I2264"/>
    <mergeCell ref="H2265:I2265"/>
    <mergeCell ref="H2266:I2266"/>
    <mergeCell ref="J2284:Z2284"/>
    <mergeCell ref="AA2284:AF2284"/>
    <mergeCell ref="B2281:C2281"/>
    <mergeCell ref="B2282:C2282"/>
    <mergeCell ref="E2282:F2282"/>
    <mergeCell ref="I2282:O2282"/>
    <mergeCell ref="P2282:Q2282"/>
    <mergeCell ref="R2282:Z2282"/>
    <mergeCell ref="AB2282:AF2282"/>
    <mergeCell ref="V2270:W2271"/>
    <mergeCell ref="X2270:Y2271"/>
    <mergeCell ref="Z2270:Z2272"/>
    <mergeCell ref="AA2270:AA2272"/>
    <mergeCell ref="AB2270:AD2271"/>
    <mergeCell ref="AE2270:AF2271"/>
    <mergeCell ref="I2270:I2271"/>
    <mergeCell ref="J2270:K2271"/>
    <mergeCell ref="L2270:M2271"/>
    <mergeCell ref="N2270:O2271"/>
    <mergeCell ref="P2270:Q2271"/>
    <mergeCell ref="R2270:S2271"/>
    <mergeCell ref="T2270:U2271"/>
    <mergeCell ref="B2273:C2273"/>
    <mergeCell ref="B2274:C2274"/>
    <mergeCell ref="E2271:F2271"/>
    <mergeCell ref="B2272:D2272"/>
    <mergeCell ref="E2272:G2272"/>
    <mergeCell ref="H2272:I2272"/>
    <mergeCell ref="E2273:E2275"/>
    <mergeCell ref="H2273:I2273"/>
    <mergeCell ref="H2274:I2274"/>
    <mergeCell ref="B2279:C2279"/>
    <mergeCell ref="B2280:C2280"/>
    <mergeCell ref="B2284:C2284"/>
    <mergeCell ref="D2284:G2284"/>
    <mergeCell ref="E2285:F2285"/>
    <mergeCell ref="B2271:C2271"/>
    <mergeCell ref="B2275:C2275"/>
    <mergeCell ref="B2276:C2276"/>
    <mergeCell ref="E2276:E2278"/>
    <mergeCell ref="B2277:C2277"/>
    <mergeCell ref="B2278:D2278"/>
    <mergeCell ref="E2279:E2281"/>
    <mergeCell ref="H2275:I2275"/>
    <mergeCell ref="H2276:I2276"/>
    <mergeCell ref="H2277:I2277"/>
    <mergeCell ref="H2278:I2278"/>
    <mergeCell ref="H2279:I2279"/>
    <mergeCell ref="H2280:I2280"/>
    <mergeCell ref="H2281:I2281"/>
    <mergeCell ref="J2299:Z2299"/>
    <mergeCell ref="AA2299:AF2299"/>
    <mergeCell ref="B2296:C2296"/>
    <mergeCell ref="B2297:C2297"/>
    <mergeCell ref="E2297:F2297"/>
    <mergeCell ref="I2297:O2297"/>
    <mergeCell ref="P2297:Q2297"/>
    <mergeCell ref="R2297:Z2297"/>
    <mergeCell ref="AB2297:AF2297"/>
    <mergeCell ref="V2285:W2286"/>
    <mergeCell ref="X2285:Y2286"/>
    <mergeCell ref="Z2285:Z2287"/>
    <mergeCell ref="AA2285:AA2287"/>
    <mergeCell ref="AB2285:AD2286"/>
    <mergeCell ref="AE2285:AF2286"/>
    <mergeCell ref="I2285:I2286"/>
    <mergeCell ref="J2285:K2286"/>
    <mergeCell ref="L2285:M2286"/>
    <mergeCell ref="N2285:O2286"/>
    <mergeCell ref="P2285:Q2286"/>
    <mergeCell ref="R2285:S2286"/>
    <mergeCell ref="T2285:U2286"/>
    <mergeCell ref="B2288:C2288"/>
    <mergeCell ref="B2289:C2289"/>
    <mergeCell ref="E2286:F2286"/>
    <mergeCell ref="B2287:D2287"/>
    <mergeCell ref="E2287:G2287"/>
    <mergeCell ref="H2287:I2287"/>
    <mergeCell ref="E2288:E2290"/>
    <mergeCell ref="H2288:I2288"/>
    <mergeCell ref="H2289:I2289"/>
    <mergeCell ref="B2294:C2294"/>
    <mergeCell ref="B2295:C2295"/>
    <mergeCell ref="B2299:C2299"/>
    <mergeCell ref="D2299:G2299"/>
    <mergeCell ref="E2300:F2300"/>
    <mergeCell ref="B2286:C2286"/>
    <mergeCell ref="B2290:C2290"/>
    <mergeCell ref="B2291:C2291"/>
    <mergeCell ref="E2291:E2293"/>
    <mergeCell ref="B2292:C2292"/>
    <mergeCell ref="B2293:D2293"/>
    <mergeCell ref="E2294:E2296"/>
    <mergeCell ref="H2290:I2290"/>
    <mergeCell ref="H2291:I2291"/>
    <mergeCell ref="H2292:I2292"/>
    <mergeCell ref="H2293:I2293"/>
    <mergeCell ref="H2294:I2294"/>
    <mergeCell ref="H2295:I2295"/>
    <mergeCell ref="H2296:I2296"/>
  </mergeCells>
  <dataValidations>
    <dataValidation type="list" allowBlank="1" showErrorMessage="1" sqref="D8:D10 D23:D25 D38:D40 D53:D55 D68:D70 D83:D85 D98:D100 D113:D115 D128:D130 D143:D145 D158:D160 D173:D175 D188:D190 D203:D205 D218:D220 D233:D235 D248:D250 D263:D265 D278:D280 D293:D295 D308:D310 D323:D325 D338:D340 D353:D355 D368:D370 D383:D385 D398:D400 D413:D415 D428:D430 D443:D445 D458:D460 D473:D475 D488:D490 D503:D505 D518:D520 D533:D535 D548:D550 D563:D565 D578:D580 D593:D595 D608:D610 D623:D625 D638:D640 D653:D655 D668:D670 D683:D685 D698:D700 D713:D715 D728:D730 D743:D745 D758:D760 D773:D775 D788:D790 D803:D805 D818:D820 D833:D835 D848:D850 D863:D865 D878:D880 D893:D895 D908:D910 D923:D925 D938:D940 D953:D955 D968:D970 D983:D985 D998:D1000 D1013:D1015 D1028:D1030 D1043:D1045 D1058:D1060 D1073:D1075 D1088:D1090 D1103:D1105 D1118:D1120 D1133:D1135 D1148:D1150 D1163:D1165 D1178:D1180 D1193:D1195 D1208:D1210 D1223:D1225 D1238:D1240 D1253:D1255 D1268:D1270 D1283:D1285 D1298:D1300 D1313:D1315 D1328:D1330 D1343:D1345 D1358:D1360 D1373:D1375 D1388:D1390 D1403:D1405 D1418:D1420 D1433:D1435 D1448:D1450 D1463:D1465 D1478:D1480 D1493:D1495 D1508:D1510 D1523:D1525 D1538:D1540 D1553:D1555 D1568:D1570 D1583:D1585 D1598:D1600 D1613:D1615 D1628:D1630 D1643:D1645 D1658:D1660 D1673:D1675 D1688:D1690 D1703:D1705 D1718:D1720 D1733:D1735 D1748:D1750 D1763:D1765 D1778:D1780 D1793:D1795 D1808:D1810 D1823:D1825 D1838:D1840 D1853:D1855 D1868:D1870 D1883:D1885 D1898:D1900 D1913:D1915 D1928:D1930 D1943:D1945 D1958:D1960 D1973:D1975 D1988:D1990 D2003:D2005 D2018:D2020 D2033:D2035 D2048:D2050 D2063:D2065 D2078:D2080 D2093:D2095 D2108:D2110 D2123:D2125 D2138:D2140 D2153:D2155 D2168:D2170 D2183:D2185 D2198:D2200 D2213:D2215 D2228:D2230 D2243:D2245 D2258:D2260 D2273:D2275 D2288:D2290 D2303:D2305 D2318:D2320 D2333:D2335 D2348:D2350 D2363:D2365 D2378:D2380 D2393:D2395 D2408:D2410 D2423:D2425 D2438:D2440 D2453:D2455 D2468:D2470 D2483:D2485 D2498:D2500 D2513:D2515 D2528:D2530 D2543:D2545 D2558:D2560 D2573:D2575 D2588:D2590 D2603:D2605 D2618:D2620 D2633:D2635 D2648:D2650 D2663:D2665 D2678:D2680 D2693:D2695 D2708:D2710 D2723:D2725 D2738:D2740 D2753:D2755 D2768:D2770 D2783:D2785 D2798:D2800 D2813:D2815 D2828:D2830 D2843:D2845 D2858:D2860 D2873:D2875 D2888:D2890 D2903:D2905 D2918:D2920 D2933:D2935 D2948:D2950 D2963:D2965 D2978:D2980 D2993:D2995">
      <formula1>"상,중,하"</formula1>
    </dataValidation>
  </dataValidations>
  <printOptions/>
  <pageMargins bottom="0.75" footer="0.0" header="0.0" left="0.25" right="0.25" top="0.75"/>
  <pageSetup fitToHeight="0" paperSize="9" orientation="portrait"/>
  <drawing r:id="rId2"/>
  <legacyDrawing r:id="rId3"/>
</worksheet>
</file>